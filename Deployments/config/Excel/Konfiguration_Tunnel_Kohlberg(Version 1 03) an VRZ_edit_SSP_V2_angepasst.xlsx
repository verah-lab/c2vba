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openxmlformats-officedocument.oleObject" PartName="/xl/embeddings/oleObject3.bin"/>
  <Override ContentType="application/vnd.openxmlformats-officedocument.oleObject" PartName="/xl/embeddings/oleObject4.bin"/>
  <Override ContentType="application/vnd.openxmlformats-officedocument.oleObject" PartName="/xl/embeddings/oleObject5.bin"/>
  <Override ContentType="application/vnd.openxmlformats-officedocument.oleObject" PartName="/xl/embeddings/oleObject6.bin"/>
  <Override ContentType="application/vnd.openxmlformats-officedocument.oleObject" PartName="/xl/embeddings/oleObject7.bin"/>
  <Override ContentType="application/vnd.openxmlformats-officedocument.oleObject" PartName="/xl/embeddings/oleObject8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davidh\Desktop\ServiceDeployments\BY\c2vba-config-data_C\Excel\"/>
    </mc:Choice>
  </mc:AlternateContent>
  <bookViews>
    <workbookView xWindow="9990" yWindow="810" windowWidth="14010" windowHeight="8670" activeTab="1"/>
  </bookViews>
  <sheets>
    <sheet name="Änderungsübersicht" sheetId="14" r:id="rId1"/>
    <sheet name="Version 1.2, Stand 19.06.2009" sheetId="4" r:id="rId2"/>
    <sheet name="Codedef" sheetId="20" r:id="rId3"/>
  </sheets>
  <definedNames>
    <definedName name="_xlnm._FilterDatabase" localSheetId="1" hidden="1">'Version 1.2, Stand 19.06.2009'!$A$4:$U$168</definedName>
    <definedName name="_xlnm.Print_Area" localSheetId="0">Änderungsübersicht!$A$1:$D$47</definedName>
    <definedName name="_xlnm.Print_Area" localSheetId="2">Codedef!$A$1:$I$48</definedName>
    <definedName name="_xlnm.Print_Area" localSheetId="1">'Version 1.2, Stand 19.06.2009'!$A$1:$Z$167</definedName>
    <definedName name="_xlnm.Print_Titles" localSheetId="1">'Version 1.2, Stand 19.06.2009'!$1:$6</definedName>
  </definedNames>
  <calcPr calcId="162913"/>
</workbook>
</file>

<file path=xl/calcChain.xml><?xml version="1.0" encoding="utf-8"?>
<calcChain xmlns="http://schemas.openxmlformats.org/spreadsheetml/2006/main">
  <c r="E160" i="4" l="1"/>
  <c r="E158" i="4"/>
  <c r="E157" i="4"/>
  <c r="E156" i="4"/>
  <c r="E155" i="4"/>
  <c r="E154" i="4"/>
  <c r="E135" i="4"/>
  <c r="E132" i="4"/>
  <c r="E133" i="4"/>
  <c r="E118" i="4"/>
  <c r="E116" i="4"/>
  <c r="E115" i="4"/>
  <c r="E114" i="4"/>
  <c r="E106" i="4"/>
  <c r="E104" i="4"/>
  <c r="E103" i="4"/>
  <c r="E102" i="4"/>
  <c r="E90" i="4"/>
  <c r="E89" i="4"/>
  <c r="E80" i="4"/>
  <c r="E78" i="4"/>
  <c r="E77" i="4"/>
  <c r="E76" i="4"/>
  <c r="E75" i="4"/>
  <c r="E74" i="4"/>
  <c r="E55" i="4"/>
  <c r="E21" i="4"/>
  <c r="E8" i="4"/>
  <c r="E23" i="4"/>
  <c r="E22" i="4"/>
  <c r="E9" i="4"/>
  <c r="E34" i="4"/>
  <c r="E35" i="4"/>
  <c r="E33" i="4"/>
  <c r="E53" i="4"/>
  <c r="E52" i="4"/>
  <c r="E51" i="4"/>
  <c r="E37" i="4"/>
  <c r="E25" i="4"/>
  <c r="A30" i="4" l="1"/>
  <c r="B30" i="4"/>
  <c r="A48" i="4"/>
  <c r="B48" i="4"/>
  <c r="A59" i="4"/>
  <c r="B59" i="4"/>
  <c r="A99" i="4"/>
  <c r="A111" i="4"/>
  <c r="B111" i="4"/>
  <c r="A139" i="4"/>
  <c r="A129" i="4"/>
  <c r="Q66" i="4" l="1"/>
  <c r="J66" i="4"/>
  <c r="Q63" i="4"/>
  <c r="J63" i="4"/>
  <c r="Q145" i="4" l="1"/>
  <c r="J145" i="4"/>
  <c r="Q146" i="4"/>
  <c r="J146" i="4"/>
  <c r="Q143" i="4"/>
  <c r="J143" i="4"/>
  <c r="Q165" i="4" l="1"/>
  <c r="J165" i="4"/>
  <c r="Q120" i="4"/>
  <c r="J120" i="4"/>
  <c r="Q108" i="4"/>
  <c r="J108" i="4"/>
  <c r="A109" i="4"/>
  <c r="B109" i="4"/>
  <c r="J109" i="4"/>
  <c r="Q109" i="4"/>
  <c r="Q92" i="4"/>
  <c r="J92" i="4"/>
  <c r="Q85" i="4"/>
  <c r="J85" i="4"/>
  <c r="Q39" i="4"/>
  <c r="J39" i="4"/>
  <c r="Q27" i="4"/>
  <c r="J27" i="4"/>
  <c r="Q11" i="4"/>
  <c r="D160" i="4" l="1"/>
  <c r="D135" i="4"/>
  <c r="D118" i="4"/>
  <c r="D106" i="4"/>
  <c r="D90" i="4"/>
  <c r="D80" i="4"/>
  <c r="D55" i="4"/>
  <c r="D37" i="4"/>
  <c r="D25" i="4"/>
  <c r="D9" i="4"/>
  <c r="H160" i="4" l="1"/>
  <c r="H135" i="4"/>
  <c r="H118" i="4"/>
  <c r="H106" i="4"/>
  <c r="H90" i="4"/>
  <c r="H80" i="4"/>
  <c r="H55" i="4"/>
  <c r="H37" i="4"/>
  <c r="H9" i="4"/>
  <c r="H25" i="4"/>
  <c r="N157" i="4"/>
  <c r="N158" i="4" s="1"/>
  <c r="J156" i="4"/>
  <c r="J157" i="4" s="1"/>
  <c r="J158" i="4" s="1"/>
  <c r="B157" i="4"/>
  <c r="B158" i="4" s="1"/>
  <c r="N132" i="4"/>
  <c r="N133" i="4" s="1"/>
  <c r="J131" i="4"/>
  <c r="J132" i="4" s="1"/>
  <c r="J133" i="4" s="1"/>
  <c r="B132" i="4"/>
  <c r="B133" i="4" s="1"/>
  <c r="A121" i="4"/>
  <c r="A124" i="4" s="1"/>
  <c r="A127" i="4" s="1"/>
  <c r="A128" i="4" s="1"/>
  <c r="A130" i="4" s="1"/>
  <c r="N115" i="4"/>
  <c r="N116" i="4" s="1"/>
  <c r="J114" i="4"/>
  <c r="J115" i="4" s="1"/>
  <c r="J116" i="4" s="1"/>
  <c r="B114" i="4"/>
  <c r="B115" i="4" s="1"/>
  <c r="B116" i="4" s="1"/>
  <c r="A110" i="4"/>
  <c r="A112" i="4" s="1"/>
  <c r="A113" i="4" s="1"/>
  <c r="N103" i="4"/>
  <c r="N104" i="4" s="1"/>
  <c r="J102" i="4"/>
  <c r="J103" i="4" s="1"/>
  <c r="J104" i="4" s="1"/>
  <c r="B102" i="4"/>
  <c r="B103" i="4" s="1"/>
  <c r="B104" i="4" s="1"/>
  <c r="A93" i="4"/>
  <c r="A95" i="4" s="1"/>
  <c r="A97" i="4" s="1"/>
  <c r="A98" i="4" s="1"/>
  <c r="N77" i="4"/>
  <c r="N78" i="4" s="1"/>
  <c r="J76" i="4"/>
  <c r="J77" i="4" s="1"/>
  <c r="J78" i="4" s="1"/>
  <c r="B76" i="4"/>
  <c r="B77" i="4" s="1"/>
  <c r="B78" i="4" s="1"/>
  <c r="A78" i="4"/>
  <c r="A77" i="4"/>
  <c r="N52" i="4"/>
  <c r="N53" i="4" s="1"/>
  <c r="J51" i="4"/>
  <c r="J52" i="4" s="1"/>
  <c r="J53" i="4" s="1"/>
  <c r="B51" i="4"/>
  <c r="B52" i="4" s="1"/>
  <c r="B53" i="4" s="1"/>
  <c r="A40" i="4"/>
  <c r="A43" i="4" s="1"/>
  <c r="A46" i="4" s="1"/>
  <c r="A47" i="4" s="1"/>
  <c r="N34" i="4"/>
  <c r="N35" i="4" s="1"/>
  <c r="J33" i="4"/>
  <c r="J34" i="4" s="1"/>
  <c r="J35" i="4" s="1"/>
  <c r="B33" i="4"/>
  <c r="B34" i="4" s="1"/>
  <c r="B35" i="4" s="1"/>
  <c r="A28" i="4"/>
  <c r="A29" i="4" s="1"/>
  <c r="A31" i="4" s="1"/>
  <c r="A32" i="4" s="1"/>
  <c r="B21" i="4"/>
  <c r="B22" i="4" s="1"/>
  <c r="B23" i="4" s="1"/>
  <c r="J22" i="4"/>
  <c r="J23" i="4" s="1"/>
  <c r="N22" i="4"/>
  <c r="N23" i="4" s="1"/>
  <c r="A12" i="4"/>
  <c r="A14" i="4" s="1"/>
  <c r="A16" i="4" s="1"/>
  <c r="A17" i="4" s="1"/>
  <c r="A18" i="4" s="1"/>
  <c r="Q153" i="4"/>
  <c r="D155" i="4"/>
  <c r="D154" i="4"/>
  <c r="D75" i="4"/>
  <c r="D74" i="4"/>
  <c r="D114" i="4"/>
  <c r="Q113" i="4"/>
  <c r="J113" i="4"/>
  <c r="B110" i="4"/>
  <c r="B112" i="4" s="1"/>
  <c r="B113" i="4" s="1"/>
  <c r="Q112" i="4"/>
  <c r="J112" i="4"/>
  <c r="Q110" i="4"/>
  <c r="J110" i="4"/>
  <c r="Q107" i="4"/>
  <c r="J107" i="4"/>
  <c r="J106" i="4"/>
  <c r="D102" i="4"/>
  <c r="Q101" i="4"/>
  <c r="J101" i="4"/>
  <c r="Q100" i="4"/>
  <c r="J100" i="4"/>
  <c r="Q98" i="4"/>
  <c r="J98" i="4"/>
  <c r="Q97" i="4"/>
  <c r="J97" i="4"/>
  <c r="Q96" i="4"/>
  <c r="J96" i="4"/>
  <c r="Q95" i="4"/>
  <c r="J95" i="4"/>
  <c r="Q94" i="4"/>
  <c r="J94" i="4"/>
  <c r="Q93" i="4"/>
  <c r="J93" i="4"/>
  <c r="Q91" i="4"/>
  <c r="J91" i="4"/>
  <c r="J90" i="4"/>
  <c r="D51" i="4"/>
  <c r="Q50" i="4"/>
  <c r="J50" i="4"/>
  <c r="B40" i="4"/>
  <c r="B41" i="4" s="1"/>
  <c r="Q49" i="4"/>
  <c r="J49" i="4"/>
  <c r="Q47" i="4"/>
  <c r="J47" i="4"/>
  <c r="Q46" i="4"/>
  <c r="J46" i="4"/>
  <c r="Q45" i="4"/>
  <c r="J45" i="4"/>
  <c r="Q44" i="4"/>
  <c r="J44" i="4"/>
  <c r="Q43" i="4"/>
  <c r="J43" i="4"/>
  <c r="Q42" i="4"/>
  <c r="J42" i="4"/>
  <c r="Q41" i="4"/>
  <c r="J41" i="4"/>
  <c r="Q40" i="4"/>
  <c r="J40" i="4"/>
  <c r="Q38" i="4"/>
  <c r="J38" i="4"/>
  <c r="J37" i="4"/>
  <c r="D33" i="4"/>
  <c r="Q32" i="4"/>
  <c r="J32" i="4"/>
  <c r="B28" i="4"/>
  <c r="B29" i="4" s="1"/>
  <c r="B31" i="4" s="1"/>
  <c r="B32" i="4" s="1"/>
  <c r="Q31" i="4"/>
  <c r="J31" i="4"/>
  <c r="Q29" i="4"/>
  <c r="J29" i="4"/>
  <c r="Q28" i="4"/>
  <c r="J28" i="4"/>
  <c r="Q26" i="4"/>
  <c r="J26" i="4"/>
  <c r="J25" i="4"/>
  <c r="D21" i="4"/>
  <c r="Q20" i="4"/>
  <c r="B12" i="4"/>
  <c r="B14" i="4" s="1"/>
  <c r="B16" i="4" s="1"/>
  <c r="B17" i="4" s="1"/>
  <c r="Q19" i="4"/>
  <c r="Q17" i="4"/>
  <c r="Q16" i="4"/>
  <c r="Q15" i="4"/>
  <c r="Q14" i="4"/>
  <c r="Q13" i="4"/>
  <c r="Q12" i="4"/>
  <c r="Q10" i="4"/>
  <c r="J64" i="4"/>
  <c r="B61" i="4"/>
  <c r="Q62" i="4"/>
  <c r="J62" i="4"/>
  <c r="Q142" i="4"/>
  <c r="J142" i="4"/>
  <c r="Q73" i="4"/>
  <c r="J73" i="4"/>
  <c r="A61" i="4"/>
  <c r="J153" i="4"/>
  <c r="J55" i="4"/>
  <c r="Q57" i="4"/>
  <c r="A58" i="4"/>
  <c r="B58" i="4"/>
  <c r="Q58" i="4"/>
  <c r="Q60" i="4"/>
  <c r="Q61" i="4"/>
  <c r="J65" i="4"/>
  <c r="Q65" i="4"/>
  <c r="J67" i="4"/>
  <c r="Q67" i="4"/>
  <c r="J68" i="4"/>
  <c r="Q68" i="4"/>
  <c r="J69" i="4"/>
  <c r="Q69" i="4"/>
  <c r="J70" i="4"/>
  <c r="Q70" i="4"/>
  <c r="J71" i="4"/>
  <c r="Q71" i="4"/>
  <c r="J72" i="4"/>
  <c r="Q72" i="4"/>
  <c r="B74" i="4"/>
  <c r="B75" i="4" s="1"/>
  <c r="J74" i="4"/>
  <c r="J75" i="4"/>
  <c r="D76" i="4"/>
  <c r="J80" i="4"/>
  <c r="Q82" i="4"/>
  <c r="Q83" i="4"/>
  <c r="J84" i="4"/>
  <c r="Q84" i="4"/>
  <c r="J86" i="4"/>
  <c r="Q86" i="4"/>
  <c r="J87" i="4"/>
  <c r="Q87" i="4"/>
  <c r="J118" i="4"/>
  <c r="J119" i="4"/>
  <c r="Q119" i="4"/>
  <c r="J121" i="4"/>
  <c r="Q121" i="4"/>
  <c r="A122" i="4"/>
  <c r="A123" i="4" s="1"/>
  <c r="A126" i="4" s="1"/>
  <c r="J122" i="4"/>
  <c r="Q122" i="4"/>
  <c r="J123" i="4"/>
  <c r="Q123" i="4"/>
  <c r="J127" i="4"/>
  <c r="Q127" i="4"/>
  <c r="J130" i="4"/>
  <c r="Q130" i="4"/>
  <c r="J124" i="4"/>
  <c r="Q124" i="4"/>
  <c r="J125" i="4"/>
  <c r="Q125" i="4"/>
  <c r="J126" i="4"/>
  <c r="Q126" i="4"/>
  <c r="J128" i="4"/>
  <c r="Q128" i="4"/>
  <c r="Q131" i="4"/>
  <c r="J135" i="4"/>
  <c r="J137" i="4"/>
  <c r="Q137" i="4"/>
  <c r="A138" i="4"/>
  <c r="J138" i="4"/>
  <c r="Q138" i="4"/>
  <c r="J140" i="4"/>
  <c r="Q140" i="4"/>
  <c r="J141" i="4"/>
  <c r="Q141" i="4"/>
  <c r="J147" i="4"/>
  <c r="Q147" i="4"/>
  <c r="J148" i="4"/>
  <c r="Q148" i="4"/>
  <c r="J149" i="4"/>
  <c r="Q149" i="4"/>
  <c r="J150" i="4"/>
  <c r="Q150" i="4"/>
  <c r="J151" i="4"/>
  <c r="Q151" i="4"/>
  <c r="J152" i="4"/>
  <c r="Q152" i="4"/>
  <c r="J154" i="4"/>
  <c r="J155" i="4"/>
  <c r="D156" i="4"/>
  <c r="J160" i="4"/>
  <c r="J162" i="4"/>
  <c r="Q162" i="4"/>
  <c r="A163" i="4"/>
  <c r="J163" i="4"/>
  <c r="Q163" i="4"/>
  <c r="J164" i="4"/>
  <c r="Q164" i="4"/>
  <c r="J166" i="4"/>
  <c r="Q166" i="4"/>
  <c r="J167" i="4"/>
  <c r="Q167" i="4"/>
  <c r="B19" i="4" l="1"/>
  <c r="B20" i="4" s="1"/>
  <c r="B18" i="4"/>
  <c r="A125" i="4"/>
  <c r="A94" i="4"/>
  <c r="A96" i="4" s="1"/>
  <c r="D77" i="4"/>
  <c r="D78" i="4"/>
  <c r="B13" i="4"/>
  <c r="B15" i="4" s="1"/>
  <c r="D22" i="4"/>
  <c r="D23" i="4"/>
  <c r="D35" i="4"/>
  <c r="D34" i="4"/>
  <c r="A115" i="4"/>
  <c r="A114" i="4"/>
  <c r="A116" i="4" s="1"/>
  <c r="A102" i="4"/>
  <c r="A104" i="4" s="1"/>
  <c r="A100" i="4"/>
  <c r="A101" i="4" s="1"/>
  <c r="A103" i="4" s="1"/>
  <c r="A41" i="4"/>
  <c r="A13" i="4"/>
  <c r="A15" i="4" s="1"/>
  <c r="A51" i="4"/>
  <c r="A53" i="4" s="1"/>
  <c r="A49" i="4"/>
  <c r="A50" i="4" s="1"/>
  <c r="A52" i="4" s="1"/>
  <c r="D116" i="4"/>
  <c r="D115" i="4"/>
  <c r="B42" i="4"/>
  <c r="B45" i="4" s="1"/>
  <c r="B44" i="4"/>
  <c r="A19" i="4"/>
  <c r="A20" i="4" s="1"/>
  <c r="A22" i="4" s="1"/>
  <c r="A21" i="4"/>
  <c r="A23" i="4" s="1"/>
  <c r="D132" i="4"/>
  <c r="D133" i="4"/>
  <c r="D157" i="4"/>
  <c r="D158" i="4"/>
  <c r="D53" i="4"/>
  <c r="D52" i="4"/>
  <c r="D104" i="4"/>
  <c r="D103" i="4"/>
  <c r="A132" i="4"/>
  <c r="A131" i="4"/>
  <c r="A133" i="4" s="1"/>
  <c r="A34" i="4"/>
  <c r="A33" i="4"/>
  <c r="A35" i="4" s="1"/>
  <c r="B43" i="4"/>
  <c r="B46" i="4" s="1"/>
  <c r="B47" i="4" s="1"/>
  <c r="B49" i="4" s="1"/>
  <c r="B50" i="4" s="1"/>
  <c r="A42" i="4" l="1"/>
  <c r="A45" i="4" s="1"/>
  <c r="A44" i="4"/>
</calcChain>
</file>

<file path=xl/sharedStrings.xml><?xml version="1.0" encoding="utf-8"?>
<sst xmlns="http://schemas.openxmlformats.org/spreadsheetml/2006/main" count="929" uniqueCount="399">
  <si>
    <t>Autor(en)</t>
  </si>
  <si>
    <t>Version</t>
  </si>
  <si>
    <t xml:space="preserve">Datum </t>
  </si>
  <si>
    <t>Änderung</t>
  </si>
  <si>
    <t>QSG</t>
  </si>
  <si>
    <t>1.01</t>
  </si>
  <si>
    <t>Ersterstellung</t>
  </si>
  <si>
    <t>1.02</t>
  </si>
  <si>
    <t>Zeilen 84-85: Änderung in den Spalten EAK-Kanal und De-Kanal</t>
  </si>
  <si>
    <t>Thamer</t>
  </si>
  <si>
    <t>an VRZ</t>
  </si>
  <si>
    <t>Aufbereitung von Tabellen-Hintergrundfarben zur Markierung der FG1-Daten,</t>
  </si>
  <si>
    <t>weitergeleitet an H. Eisele (VRZ)</t>
  </si>
  <si>
    <t>Eisele (VRZ)</t>
  </si>
  <si>
    <t>Knotennummern eingetragen</t>
  </si>
  <si>
    <t>Port in FR Lindau im Bereich FG6 auf 202 geändert</t>
  </si>
  <si>
    <t>Baubesprecheung vom 19.03.03</t>
  </si>
  <si>
    <r>
      <t xml:space="preserve">                    </t>
    </r>
    <r>
      <rPr>
        <b/>
        <sz val="18"/>
        <color indexed="8"/>
        <rFont val="Arial"/>
        <family val="2"/>
      </rPr>
      <t xml:space="preserve">                 Stationsparameter  Tunnel Kohlberg A96</t>
    </r>
  </si>
  <si>
    <t xml:space="preserve"> Netzlage </t>
  </si>
  <si>
    <t>Logische Adressen</t>
  </si>
  <si>
    <t xml:space="preserve">Physikalische Adressen </t>
  </si>
  <si>
    <t>Angaben für FG4 aus TLS2002</t>
  </si>
  <si>
    <t>Anzahl</t>
  </si>
  <si>
    <t xml:space="preserve">Ort </t>
  </si>
  <si>
    <t>Eigen-</t>
  </si>
  <si>
    <t>Knotennummer</t>
  </si>
  <si>
    <t>Inselbus</t>
  </si>
  <si>
    <t>Lokalbus</t>
  </si>
  <si>
    <t>TLS-Typ</t>
  </si>
  <si>
    <t>Hersteller</t>
  </si>
  <si>
    <t>Str_</t>
  </si>
  <si>
    <t>WVZ-Typ</t>
  </si>
  <si>
    <t>Anzeigeprinzip</t>
  </si>
  <si>
    <t>Steuerungsprinzip</t>
  </si>
  <si>
    <t>Codedefinition</t>
  </si>
  <si>
    <t>Komponenten</t>
  </si>
  <si>
    <t>BAB</t>
  </si>
  <si>
    <t>BAB-km</t>
  </si>
  <si>
    <t>schaft</t>
  </si>
  <si>
    <t>Bezeichner</t>
  </si>
  <si>
    <t>IP-Adresse</t>
  </si>
  <si>
    <t>Dezimal</t>
  </si>
  <si>
    <t>Hex</t>
  </si>
  <si>
    <t>Loccode</t>
  </si>
  <si>
    <t>Distanz</t>
  </si>
  <si>
    <t>FG</t>
  </si>
  <si>
    <t>DE-Kanal</t>
  </si>
  <si>
    <t>Port</t>
  </si>
  <si>
    <t>Slave</t>
  </si>
  <si>
    <r>
      <t>EAK-K</t>
    </r>
    <r>
      <rPr>
        <sz val="9"/>
        <rFont val="Arial"/>
        <family val="2"/>
      </rPr>
      <t>anal</t>
    </r>
  </si>
  <si>
    <t>Bemerkungen</t>
  </si>
  <si>
    <t xml:space="preserve">Code </t>
  </si>
  <si>
    <t>Richtung</t>
  </si>
  <si>
    <t>möglich (j / n)</t>
  </si>
  <si>
    <t>Fahrtrichtung München</t>
  </si>
  <si>
    <t>A 96</t>
  </si>
  <si>
    <t>SSt</t>
  </si>
  <si>
    <t>SSt 101</t>
  </si>
  <si>
    <t>AQ</t>
  </si>
  <si>
    <t>Cluster WVZ101_102</t>
  </si>
  <si>
    <t>O</t>
  </si>
  <si>
    <t>WVZ</t>
  </si>
  <si>
    <t>B1,C1</t>
  </si>
  <si>
    <t>b</t>
  </si>
  <si>
    <t>in "Codedef "</t>
  </si>
  <si>
    <t xml:space="preserve">WVZ101_Helligkeit </t>
  </si>
  <si>
    <t xml:space="preserve">WVZ102_Helligkeit </t>
  </si>
  <si>
    <t>VLT</t>
  </si>
  <si>
    <t>Türkontakt der Station</t>
  </si>
  <si>
    <t>Stromversorgung</t>
  </si>
  <si>
    <t>6</t>
  </si>
  <si>
    <t>5</t>
  </si>
  <si>
    <t>Überspannungsschutz</t>
  </si>
  <si>
    <t>SSt 102</t>
  </si>
  <si>
    <t>Cluster WVZ103_104</t>
  </si>
  <si>
    <t>1</t>
  </si>
  <si>
    <t>A3</t>
  </si>
  <si>
    <t>2</t>
  </si>
  <si>
    <t xml:space="preserve">WVZ103_Helligkeit </t>
  </si>
  <si>
    <t xml:space="preserve">WVZ104_Helligkeit </t>
  </si>
  <si>
    <t>SSt 103</t>
  </si>
  <si>
    <t>Cluster WVZ105_106</t>
  </si>
  <si>
    <t>A1,B2,C2</t>
  </si>
  <si>
    <t xml:space="preserve">   </t>
  </si>
  <si>
    <t xml:space="preserve">WVZ105_Helligkeit </t>
  </si>
  <si>
    <t xml:space="preserve">WVZ106_Helligkeit </t>
  </si>
  <si>
    <t>SSt 104</t>
  </si>
  <si>
    <t>MQ</t>
  </si>
  <si>
    <t>DS101</t>
  </si>
  <si>
    <t/>
  </si>
  <si>
    <t>DS102</t>
  </si>
  <si>
    <t>DS205</t>
  </si>
  <si>
    <t>W</t>
  </si>
  <si>
    <t>DS206</t>
  </si>
  <si>
    <t>WTA</t>
  </si>
  <si>
    <t>Cluster INFO101</t>
  </si>
  <si>
    <t>INFO101</t>
  </si>
  <si>
    <t>VLSA</t>
  </si>
  <si>
    <t>SCH</t>
  </si>
  <si>
    <t>VLSA205-GV</t>
  </si>
  <si>
    <t>SCH101, HFS, Störungesmeldung, FR  München</t>
  </si>
  <si>
    <t>SCH102, 1.UEFS, Störungesmeldung, FR  München</t>
  </si>
  <si>
    <t>SSt 105</t>
  </si>
  <si>
    <t>DS103</t>
  </si>
  <si>
    <t>DS104</t>
  </si>
  <si>
    <t>Cluster WVZ107_8</t>
  </si>
  <si>
    <t>A2</t>
  </si>
  <si>
    <t>Fahrtrichtung Lindau</t>
  </si>
  <si>
    <t>SSt 201</t>
  </si>
  <si>
    <t>Cluster WVZ201_202</t>
  </si>
  <si>
    <t>B1</t>
  </si>
  <si>
    <t>C1</t>
  </si>
  <si>
    <t xml:space="preserve">WVZ201_Helligkeit </t>
  </si>
  <si>
    <t xml:space="preserve">WVZ202_Helligkeit </t>
  </si>
  <si>
    <t>SSt 202</t>
  </si>
  <si>
    <t>Cluster WVZ203_204</t>
  </si>
  <si>
    <t xml:space="preserve">WVZ203_Helligkeit </t>
  </si>
  <si>
    <t xml:space="preserve">WVZ204_Helligkeit </t>
  </si>
  <si>
    <t>SSt 203</t>
  </si>
  <si>
    <t>Cluster WVZ205</t>
  </si>
  <si>
    <t xml:space="preserve">WVZ205_Helligkeit </t>
  </si>
  <si>
    <t xml:space="preserve">WVZ206_Helligkeit </t>
  </si>
  <si>
    <t>SSt 204</t>
  </si>
  <si>
    <t>DS105</t>
  </si>
  <si>
    <t>DS106</t>
  </si>
  <si>
    <t>DS201</t>
  </si>
  <si>
    <t>DS202</t>
  </si>
  <si>
    <t>Cluster INFO201</t>
  </si>
  <si>
    <t>INFO201</t>
  </si>
  <si>
    <t>VLSA105-GV</t>
  </si>
  <si>
    <t>SCH201, HFS, Störungesmeldung, FR Lindau</t>
  </si>
  <si>
    <t>SCH202,1.UEFS, Störungesmeldung, FR Lindau</t>
  </si>
  <si>
    <t>SSt 205</t>
  </si>
  <si>
    <t>DS203</t>
  </si>
  <si>
    <t>DS204</t>
  </si>
  <si>
    <t>Cluster WVZ207_8</t>
  </si>
  <si>
    <t>Bezeichnung</t>
  </si>
  <si>
    <t>A</t>
  </si>
  <si>
    <t>A1</t>
  </si>
  <si>
    <t>B</t>
  </si>
  <si>
    <t>B2</t>
  </si>
  <si>
    <t>C</t>
  </si>
  <si>
    <t>C2</t>
  </si>
  <si>
    <t>StVO-Nr.</t>
  </si>
  <si>
    <t>Code:Fkt</t>
  </si>
  <si>
    <t>bmp</t>
  </si>
  <si>
    <t>Z 274-58</t>
  </si>
  <si>
    <t>26:1</t>
  </si>
  <si>
    <t>zul. Höchstgeschwindigkeit 80</t>
  </si>
  <si>
    <t>Z 274-56</t>
  </si>
  <si>
    <t>24:1</t>
  </si>
  <si>
    <t>zul. Höchstgeschwindigkeit 60</t>
  </si>
  <si>
    <t>Z 274–54</t>
  </si>
  <si>
    <t>22:1</t>
  </si>
  <si>
    <t>zul. Höchstgeschwindigkeit 40</t>
  </si>
  <si>
    <t>22:0</t>
  </si>
  <si>
    <t>dunkel</t>
  </si>
  <si>
    <t>Typ B</t>
  </si>
  <si>
    <t>Z 123</t>
  </si>
  <si>
    <t>8:1</t>
  </si>
  <si>
    <t>Baustelle</t>
  </si>
  <si>
    <t>Z 124</t>
  </si>
  <si>
    <t>9:1</t>
  </si>
  <si>
    <t>Stau</t>
  </si>
  <si>
    <t>Z 131</t>
  </si>
  <si>
    <t>12:1</t>
  </si>
  <si>
    <t>Lichtzeichenanlage (nur bei LED14 an SSt13)</t>
  </si>
  <si>
    <t>Z 250</t>
  </si>
  <si>
    <t>39:1</t>
  </si>
  <si>
    <t>Verbot für Fahrzeuge aller Art</t>
  </si>
  <si>
    <t>8:0</t>
  </si>
  <si>
    <t>Typ C</t>
  </si>
  <si>
    <t>99:1</t>
  </si>
  <si>
    <t>"Tunnel gesperrt"</t>
  </si>
  <si>
    <t>62:1</t>
  </si>
  <si>
    <t>"STAU"</t>
  </si>
  <si>
    <t>201:1</t>
  </si>
  <si>
    <t xml:space="preserve">"BAUSTELLE" </t>
  </si>
  <si>
    <t>LSA</t>
  </si>
  <si>
    <t>108:1</t>
  </si>
  <si>
    <t>gelb</t>
  </si>
  <si>
    <t>108:2</t>
  </si>
  <si>
    <t>gelb blink.</t>
  </si>
  <si>
    <t>107:1</t>
  </si>
  <si>
    <t>rot</t>
  </si>
  <si>
    <t>107:0</t>
  </si>
  <si>
    <t>aus</t>
  </si>
  <si>
    <t>WLZ</t>
  </si>
  <si>
    <t>61:2</t>
  </si>
  <si>
    <t>61:0</t>
  </si>
  <si>
    <t>Schranke</t>
  </si>
  <si>
    <t>202:1</t>
  </si>
  <si>
    <t>Schranke offen</t>
  </si>
  <si>
    <t>Schranke geschlossen</t>
  </si>
  <si>
    <t>245:1</t>
  </si>
  <si>
    <t>Zustand unbestimmt</t>
  </si>
  <si>
    <t>Ergänzung SSP Consult</t>
  </si>
  <si>
    <t>AQ_A96_81115_Mch</t>
  </si>
  <si>
    <t>AQ_A96_81215_Mch</t>
  </si>
  <si>
    <t>AQ_A96_81315_Mch</t>
  </si>
  <si>
    <t>LSA_A96_81409_Mch</t>
  </si>
  <si>
    <t>HS_A96_81450_Mch</t>
  </si>
  <si>
    <t>LSA_A96_81529_Mch</t>
  </si>
  <si>
    <t>LSA_GV_A96_81529_Lin</t>
  </si>
  <si>
    <t>AQ_A96_81822_Mch</t>
  </si>
  <si>
    <t>AQ_A96_82639_Lin</t>
  </si>
  <si>
    <t>AQ_A96_82378_Lin</t>
  </si>
  <si>
    <t>AQ_A96_82478_Lin</t>
  </si>
  <si>
    <t>LSA_A96_82278_Lin</t>
  </si>
  <si>
    <t>HS_A96_82247_Lin</t>
  </si>
  <si>
    <t>LSA_A96_82150_Lin</t>
  </si>
  <si>
    <t>LSA_GV_A96_82150_Mch</t>
  </si>
  <si>
    <t>AQ_A96_81823_Lin</t>
  </si>
  <si>
    <t>MQ_A96_81520_Mch</t>
  </si>
  <si>
    <t>MQ_A96_81520_Lin</t>
  </si>
  <si>
    <t>HS_A96_81451_Mch</t>
  </si>
  <si>
    <t>AQ_A96_81409_Mch</t>
  </si>
  <si>
    <t>MQ_A96_81822_Mch</t>
  </si>
  <si>
    <t>MQ_A96_82172_Mch</t>
  </si>
  <si>
    <t>MQ_A96_82159_Lin</t>
  </si>
  <si>
    <t>AQ_A96_82278_Lin</t>
  </si>
  <si>
    <t>HS_A96_82248_Lin</t>
  </si>
  <si>
    <t>MQ_A96_81823_Lin</t>
  </si>
  <si>
    <t>D. Hermanns (HeuBoe)</t>
  </si>
  <si>
    <t>AQ WVZ101_102</t>
  </si>
  <si>
    <t>AQ WVZ103_104</t>
  </si>
  <si>
    <t>AQ WVZ105_106</t>
  </si>
  <si>
    <t>AQ WVZ107_8</t>
  </si>
  <si>
    <t>AQ WVZ201_202</t>
  </si>
  <si>
    <t>AQ WVZ203_204</t>
  </si>
  <si>
    <t>AQ WVZ205</t>
  </si>
  <si>
    <t>AQ WVZ207_8</t>
  </si>
  <si>
    <t>- Bezeichner für SSTs vergeben</t>
  </si>
  <si>
    <t>- je eigene Zeilen für AQ und Cluster angelegt (vorher gab es dafür nur eine Zeile)</t>
  </si>
  <si>
    <t>- automatisch hochgezählte BAB-Nummern auf A96 zurückgesetzt (war A97-A110…)</t>
  </si>
  <si>
    <t>1.03 .. V3</t>
  </si>
  <si>
    <t>AQ INFO201</t>
  </si>
  <si>
    <t>AQ INFO101</t>
  </si>
  <si>
    <t>Cluster VLSA_SCH_201_204</t>
  </si>
  <si>
    <t>AQ VLSA_SCH_201_204</t>
  </si>
  <si>
    <t>Cluster VLSA_SCH_101_104</t>
  </si>
  <si>
    <t>AQ VLSA_SCH_101_104</t>
  </si>
  <si>
    <t>- Dopplung von ID (Spalte Bemerkung) für "Cluster VLSA_SCH" aufgelöst, indem ID erweitert wurde:</t>
  </si>
  <si>
    <r>
      <t xml:space="preserve">    -&gt; es gibt nun </t>
    </r>
    <r>
      <rPr>
        <b/>
        <sz val="10"/>
        <color theme="9" tint="-0.499984740745262"/>
        <rFont val="Microsoft Sans Serif"/>
        <family val="2"/>
      </rPr>
      <t xml:space="preserve">Cluster VLSA_SCH_101_104 </t>
    </r>
    <r>
      <rPr>
        <sz val="10"/>
        <color theme="9" tint="-0.499984740745262"/>
        <rFont val="Microsoft Sans Serif"/>
        <family val="2"/>
      </rPr>
      <t xml:space="preserve">    und   </t>
    </r>
    <r>
      <rPr>
        <b/>
        <sz val="10"/>
        <color theme="9" tint="-0.499984740745262"/>
        <rFont val="Microsoft Sans Serif"/>
        <family val="2"/>
      </rPr>
      <t>Cluster VLSA_SCH_201_204</t>
    </r>
  </si>
  <si>
    <t>WVZ101.1_B1</t>
  </si>
  <si>
    <t>WVZ101.2_C1</t>
  </si>
  <si>
    <t>WVZ102.1_B2</t>
  </si>
  <si>
    <t>WVZ102.2_C2</t>
  </si>
  <si>
    <t xml:space="preserve"> BA101.1-2_BL1</t>
  </si>
  <si>
    <t xml:space="preserve"> BA102.1-2_BL2</t>
  </si>
  <si>
    <t>WVZ103.1_A1</t>
  </si>
  <si>
    <t>WVZ104.1_A2</t>
  </si>
  <si>
    <t>WVZ105.1_A1</t>
  </si>
  <si>
    <t>WVZ105.2_B1</t>
  </si>
  <si>
    <t>WVZ105.3_C1</t>
  </si>
  <si>
    <t>WVZ106.1_A2</t>
  </si>
  <si>
    <t>WVZ106.2_B2</t>
  </si>
  <si>
    <t>WVZ106.3_C2</t>
  </si>
  <si>
    <t>BA105.1-2_BL1</t>
  </si>
  <si>
    <t>BA106.1-2_BL2</t>
  </si>
  <si>
    <t>INFO101_A1</t>
  </si>
  <si>
    <t>WVZ107.1_A1</t>
  </si>
  <si>
    <t>WVZ108.1_A2</t>
  </si>
  <si>
    <t>WVZ201.1_B1</t>
  </si>
  <si>
    <t>WVZ201.2_C1</t>
  </si>
  <si>
    <t>WVZ202.1_B2</t>
  </si>
  <si>
    <t>WVZ202.2_C2</t>
  </si>
  <si>
    <t xml:space="preserve"> BA201.1-2_BL1</t>
  </si>
  <si>
    <t xml:space="preserve"> BA202.1-2_BL2</t>
  </si>
  <si>
    <t>WVZ203.1_A1</t>
  </si>
  <si>
    <t>WVZ204.1_A2</t>
  </si>
  <si>
    <t>WVZ205.1_A1</t>
  </si>
  <si>
    <t>WVZ205.2_B1</t>
  </si>
  <si>
    <t>WVZ205.3_C1</t>
  </si>
  <si>
    <t>WVZ206.1_A2</t>
  </si>
  <si>
    <t>WVZ206.2_B2</t>
  </si>
  <si>
    <t>WVZ206.3_C2</t>
  </si>
  <si>
    <t>BA205.1-2_BL1</t>
  </si>
  <si>
    <t>BA206.1-2_BL2</t>
  </si>
  <si>
    <t>INFO201_A1</t>
  </si>
  <si>
    <t>WVZ207.1_A1</t>
  </si>
  <si>
    <t>WVZ208.1_A2</t>
  </si>
  <si>
    <t>- WZG Typ Indikatoren ans Bezeichner angehangen, damit Importer diese erkennt</t>
  </si>
  <si>
    <t>D.Hermanns (HeuBoe)</t>
  </si>
  <si>
    <t>1.03 .. V4</t>
  </si>
  <si>
    <t>- WZG Typ Indikatoren an Bezeichner für Halbschranken korrigiert</t>
  </si>
  <si>
    <t xml:space="preserve">  - in V3 am 16.10.2025 wurde "_C?" an Bezeichner angehangen</t>
  </si>
  <si>
    <t xml:space="preserve">  - Korrektur:  Umbenennung in "_HS?" , damit der Importer daraus nun Schranken erkennt</t>
  </si>
  <si>
    <t>VLSA101</t>
  </si>
  <si>
    <t>VLSA102</t>
  </si>
  <si>
    <t>SCH101</t>
  </si>
  <si>
    <t>SCH102</t>
  </si>
  <si>
    <t>VLSA103</t>
  </si>
  <si>
    <t>VLSA104</t>
  </si>
  <si>
    <t>VLSA201</t>
  </si>
  <si>
    <t>VLSA202</t>
  </si>
  <si>
    <t>SCH201</t>
  </si>
  <si>
    <t>SCH202</t>
  </si>
  <si>
    <t>VLSA203</t>
  </si>
  <si>
    <t>VLSA204</t>
  </si>
  <si>
    <t>GMA_A96_81115_Mch</t>
  </si>
  <si>
    <t>WZG_A96_81115_Mch_B1</t>
  </si>
  <si>
    <t>WZG_A96_81115_Mch_B2</t>
  </si>
  <si>
    <t>WZG_A96_81115_Mch_C1</t>
  </si>
  <si>
    <t>WZG_A96_81115_Mch_C2</t>
  </si>
  <si>
    <t>WZG_A96_81115_Mch_BL1</t>
  </si>
  <si>
    <t>WZG_A96_81115_Mch_BL2</t>
  </si>
  <si>
    <t>WUD_A96_81115_Mch_HK1</t>
  </si>
  <si>
    <t>WUD_A96_81115_Mch_HK2</t>
  </si>
  <si>
    <t>UFD</t>
  </si>
  <si>
    <t>MU</t>
  </si>
  <si>
    <t>DET_A96_81520_Mch_H1</t>
  </si>
  <si>
    <t>DET_A96_81520_Mch_H2</t>
  </si>
  <si>
    <t>DET_A96_81520_Lin_H1</t>
  </si>
  <si>
    <t>DET_A96_81520_Lin_H2</t>
  </si>
  <si>
    <t>AQ_A96_81409_Mch_WTA</t>
  </si>
  <si>
    <t>Cluster_AQ_A96_81409_Mch</t>
  </si>
  <si>
    <t>Cluster VLSA_SCH_81409</t>
  </si>
  <si>
    <t>AQ VLSA_SCH_81409</t>
  </si>
  <si>
    <t>LSA_A96_81409_Mch_LSA1</t>
  </si>
  <si>
    <t>LSA_A96_81409_Mch_LSA2</t>
  </si>
  <si>
    <t>LSA_A96_81529_Mch_LSA3</t>
  </si>
  <si>
    <t>LSA_A96_81529_Mch_LSA4</t>
  </si>
  <si>
    <t>LSA_GV_A96_81529_Lin_LSA5</t>
  </si>
  <si>
    <t>HS_A96_81450_Mch_HS1</t>
  </si>
  <si>
    <t>HS_A96_81450_Mch_HS2</t>
  </si>
  <si>
    <t>Cluster_AQ_A96_81115_Mch</t>
  </si>
  <si>
    <t>Cluster_AQ_A96_81215_Mch</t>
  </si>
  <si>
    <t>Cluster_AQ_A96_81315_Mch</t>
  </si>
  <si>
    <t>AQ_A96_81215_Mch_A1</t>
  </si>
  <si>
    <t>AQ_A96_81315_Mch_A1</t>
  </si>
  <si>
    <t>AQ_A96_81215_Mch_A2</t>
  </si>
  <si>
    <t>GMA_A96_81215_Mch</t>
  </si>
  <si>
    <t>WUD_A96_81215_Mch_HK1</t>
  </si>
  <si>
    <t>WUD_A96_81215_Mch_HK2</t>
  </si>
  <si>
    <t>WUD_A96_81315_Mch_HK1</t>
  </si>
  <si>
    <t>AQ_A96_81315_Mch_B1</t>
  </si>
  <si>
    <t>AQ_A96_81315_Mch_C1</t>
  </si>
  <si>
    <t>AQ_A96_81315_Mch_A2</t>
  </si>
  <si>
    <t>AQ_A96_81315_Mch_B2</t>
  </si>
  <si>
    <t>AQ_A96_81315_Mch_C2</t>
  </si>
  <si>
    <t>AQ_A96_81315_Mch_BL1</t>
  </si>
  <si>
    <t>AQ_A96_81315_Mch_BL2</t>
  </si>
  <si>
    <t>GMA_A96_81315_Mch</t>
  </si>
  <si>
    <t>WUD_A96_81315_Mch_HK2</t>
  </si>
  <si>
    <t>DET_A96_81822_Mch_H1</t>
  </si>
  <si>
    <t>DET_A96_81822_Mch_H2</t>
  </si>
  <si>
    <t>Cluster_AQ_A96_81822_Mch</t>
  </si>
  <si>
    <t>AQ_A96_81822_Mch_A1</t>
  </si>
  <si>
    <t>AQ_A96_81822_Mch_A2</t>
  </si>
  <si>
    <t>Cluster_AQ_A96_82639_Lin</t>
  </si>
  <si>
    <t>AQ_A96_82639_Lin_B1</t>
  </si>
  <si>
    <t>AQ_A96_82639_Lin_C1</t>
  </si>
  <si>
    <t>AQ_A96_82639_Lin_B2</t>
  </si>
  <si>
    <t>AQ_A96_82639_Lin_C2</t>
  </si>
  <si>
    <t>AQ_A96_82639_Lin_BL1</t>
  </si>
  <si>
    <t>AQ_A96_82639_Lin_BL2</t>
  </si>
  <si>
    <t>GMA_A96_82639_Lin</t>
  </si>
  <si>
    <t>WUD_A96_82639_Lin_HK1</t>
  </si>
  <si>
    <t>WUD_A96_82639_Lin_HK2</t>
  </si>
  <si>
    <t>ClusterAQ_A96_82478_Lin</t>
  </si>
  <si>
    <t>AQ_A96_82478_Lin_A1</t>
  </si>
  <si>
    <t>AQ_A96_82478_Lin_A2</t>
  </si>
  <si>
    <t>GMA_A96_82478_Lin</t>
  </si>
  <si>
    <t>WUD_A96_82478_Lin_HK1</t>
  </si>
  <si>
    <t>WUD_A96_82478_Lin_HK2</t>
  </si>
  <si>
    <t>ClusterAQ_A96_82378_Lin</t>
  </si>
  <si>
    <t>AQ_A96_82378_Lin_A1</t>
  </si>
  <si>
    <t>AQ_A96_82378_Lin_A2</t>
  </si>
  <si>
    <t>AQ_A96_82378_Lin_B2</t>
  </si>
  <si>
    <t>AQ_A96_82378_Lin_B1</t>
  </si>
  <si>
    <t>AQ_A96_82378_Lin_C1</t>
  </si>
  <si>
    <t>AQ_A96_82378_Lin_C2</t>
  </si>
  <si>
    <t>AQ_A96_82378_Lin_BL1</t>
  </si>
  <si>
    <t>AQ_A96_82378_Lin_BL2</t>
  </si>
  <si>
    <t>GMA_A96_82378_Lin</t>
  </si>
  <si>
    <t>WUD_A96_82378_Lin_HK1</t>
  </si>
  <si>
    <t>WUD_A96_82378_Lin_HK2</t>
  </si>
  <si>
    <t>DET_A96_82172_Mch_H1</t>
  </si>
  <si>
    <t>DET_A96_82172_Mch_H2</t>
  </si>
  <si>
    <t>DET_A96_82159_Lin_H1</t>
  </si>
  <si>
    <t>DET_A96_82159_Lin_H2</t>
  </si>
  <si>
    <t>Cluster_AQ_A96_82278_Lin</t>
  </si>
  <si>
    <t>Cluster_AQ_A96_81823_Lin</t>
  </si>
  <si>
    <t>AQ_A96_82278_Lin_WTA</t>
  </si>
  <si>
    <t>Cluster VLSA_SCH_82278</t>
  </si>
  <si>
    <t>AQ_VLSA_SCH_82279</t>
  </si>
  <si>
    <t>LSA_A96_82278_Lin_LSA1</t>
  </si>
  <si>
    <t>LSA_A96_82278_Lin_LSA2</t>
  </si>
  <si>
    <t>HS_A96_82247_Lin_HS1</t>
  </si>
  <si>
    <t>HS_A96_82247_Lin_HS2</t>
  </si>
  <si>
    <t>LSA_A96_82150_Lin_LSA3</t>
  </si>
  <si>
    <t>LSA_A96_82150_Lin_LSA4</t>
  </si>
  <si>
    <t>LSA_GV_A96_82150_Mch_LSA5</t>
  </si>
  <si>
    <t>DET_A96_81823_Lin_H1</t>
  </si>
  <si>
    <t>DET_A96_81823_Lin_H2</t>
  </si>
  <si>
    <t>AQ_A96_81823_Lin_A1</t>
  </si>
  <si>
    <t>AQ_A96_81823_Lin_A2</t>
  </si>
  <si>
    <t>Bezeichner (alt)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</si>
</sst>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4">
    <font>
      <sz val="10"/>
      <name val="Arial"/>
    </font>
    <font>
      <sz val="10"/>
      <name val="Arial"/>
      <family val="2"/>
    </font>
    <font>
      <sz val="10"/>
      <name val="Geneva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Geneva"/>
    </font>
    <font>
      <sz val="10"/>
      <name val="Arial"/>
      <family val="2"/>
    </font>
    <font>
      <sz val="9"/>
      <name val="Arial"/>
      <family val="2"/>
    </font>
    <font>
      <sz val="10"/>
      <name val="Microsoft Sans Serif"/>
      <family val="2"/>
    </font>
    <font>
      <sz val="9"/>
      <name val="Geneva"/>
    </font>
    <font>
      <sz val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10"/>
      <color indexed="10"/>
      <name val="Geneva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Geneva"/>
    </font>
    <font>
      <sz val="10"/>
      <color indexed="8"/>
      <name val="Geneva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0"/>
      <name val="Times New Roman"/>
      <family val="1"/>
    </font>
    <font>
      <sz val="8.5"/>
      <name val="Arial"/>
      <family val="2"/>
    </font>
    <font>
      <sz val="9.5"/>
      <name val="Arial"/>
      <family val="2"/>
    </font>
    <font>
      <sz val="10"/>
      <color indexed="10"/>
      <name val="Arial"/>
      <family val="2"/>
    </font>
    <font>
      <sz val="9.5"/>
      <color indexed="10"/>
      <name val="Arial"/>
      <family val="2"/>
    </font>
    <font>
      <b/>
      <sz val="8.5"/>
      <name val="MS Sans Serif"/>
      <family val="2"/>
    </font>
    <font>
      <sz val="8"/>
      <name val="Arial"/>
      <family val="2"/>
    </font>
    <font>
      <sz val="9"/>
      <name val="MS Sans Serif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sz val="9.5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Geneva"/>
    </font>
    <font>
      <sz val="8.5"/>
      <color indexed="8"/>
      <name val="Arial"/>
      <family val="2"/>
    </font>
    <font>
      <sz val="9.5"/>
      <color theme="1"/>
      <name val="Arial"/>
      <family val="2"/>
    </font>
    <font>
      <sz val="10"/>
      <color theme="9" tint="-0.499984740745262"/>
      <name val="Arial"/>
      <family val="2"/>
    </font>
    <font>
      <sz val="9.5"/>
      <color theme="9" tint="-0.499984740745262"/>
      <name val="Arial"/>
      <family val="2"/>
    </font>
    <font>
      <sz val="10"/>
      <color theme="9" tint="-0.499984740745262"/>
      <name val="Geneva"/>
    </font>
    <font>
      <b/>
      <sz val="10"/>
      <color theme="9" tint="-0.499984740745262"/>
      <name val="Geneva"/>
    </font>
    <font>
      <sz val="10"/>
      <color theme="9" tint="-0.499984740745262"/>
      <name val="Microsoft Sans Serif"/>
      <family val="2"/>
    </font>
    <font>
      <b/>
      <sz val="10"/>
      <color theme="9" tint="-0.499984740745262"/>
      <name val="Arial"/>
      <family val="2"/>
    </font>
    <font>
      <b/>
      <sz val="10"/>
      <color theme="9" tint="-0.499984740745262"/>
      <name val="Microsoft Sans Serif"/>
      <family val="2"/>
    </font>
    <font>
      <b/>
      <sz val="10"/>
      <color theme="0" tint="-0.499984740745262"/>
      <name val="Geneva"/>
    </font>
    <font>
      <sz val="9.5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b/>
      <sz val="10"/>
      <color theme="0" tint="-0.499984740745262"/>
      <name val="Arial"/>
      <family val="2"/>
    </font>
    <font>
      <b/>
      <sz val="9.5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22"/>
      </left>
      <right/>
      <top style="double">
        <color indexed="22"/>
      </top>
      <bottom/>
      <diagonal/>
    </border>
    <border>
      <left/>
      <right/>
      <top style="double">
        <color indexed="22"/>
      </top>
      <bottom/>
      <diagonal/>
    </border>
    <border>
      <left/>
      <right style="double">
        <color indexed="22"/>
      </right>
      <top style="double">
        <color indexed="22"/>
      </top>
      <bottom/>
      <diagonal/>
    </border>
    <border>
      <left style="double">
        <color indexed="22"/>
      </left>
      <right/>
      <top/>
      <bottom/>
      <diagonal/>
    </border>
    <border>
      <left/>
      <right style="double">
        <color indexed="22"/>
      </right>
      <top/>
      <bottom/>
      <diagonal/>
    </border>
    <border>
      <left style="double">
        <color indexed="22"/>
      </left>
      <right/>
      <top/>
      <bottom style="double">
        <color indexed="22"/>
      </bottom>
      <diagonal/>
    </border>
    <border>
      <left/>
      <right/>
      <top/>
      <bottom style="double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22"/>
      </bottom>
      <diagonal/>
    </border>
    <border>
      <left/>
      <right style="double">
        <color indexed="22"/>
      </right>
      <top/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353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2" fillId="0" borderId="0" xfId="3"/>
    <xf numFmtId="0" fontId="2" fillId="0" borderId="0" xfId="0" applyFont="1"/>
    <xf numFmtId="0" fontId="2" fillId="0" borderId="0" xfId="3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/>
    <xf numFmtId="49" fontId="3" fillId="0" borderId="1" xfId="0" applyNumberFormat="1" applyFont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9" fillId="0" borderId="0" xfId="3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/>
    <xf numFmtId="49" fontId="3" fillId="0" borderId="0" xfId="0" applyNumberFormat="1" applyFont="1"/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0" xfId="0" applyFont="1"/>
    <xf numFmtId="0" fontId="6" fillId="0" borderId="0" xfId="3" applyFont="1"/>
    <xf numFmtId="0" fontId="13" fillId="0" borderId="0" xfId="0" applyFont="1"/>
    <xf numFmtId="0" fontId="2" fillId="0" borderId="0" xfId="3" applyAlignment="1">
      <alignment horizontal="left" vertical="center"/>
    </xf>
    <xf numFmtId="0" fontId="10" fillId="0" borderId="0" xfId="3" applyFon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49" fontId="17" fillId="0" borderId="0" xfId="0" applyNumberFormat="1" applyFont="1" applyAlignment="1">
      <alignment vertical="top"/>
    </xf>
    <xf numFmtId="49" fontId="17" fillId="0" borderId="0" xfId="0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2" fillId="0" borderId="0" xfId="3" applyFont="1" applyAlignment="1">
      <alignment horizontal="center"/>
    </xf>
    <xf numFmtId="0" fontId="22" fillId="0" borderId="0" xfId="3" applyFont="1" applyAlignment="1">
      <alignment horizontal="left"/>
    </xf>
    <xf numFmtId="0" fontId="22" fillId="0" borderId="3" xfId="3" applyFont="1" applyBorder="1" applyAlignment="1">
      <alignment horizontal="center"/>
    </xf>
    <xf numFmtId="0" fontId="22" fillId="0" borderId="1" xfId="3" applyFont="1" applyBorder="1" applyAlignment="1">
      <alignment horizontal="left"/>
    </xf>
    <xf numFmtId="0" fontId="21" fillId="0" borderId="0" xfId="0" applyFont="1" applyAlignment="1">
      <alignment horizontal="center" wrapText="1"/>
    </xf>
    <xf numFmtId="0" fontId="23" fillId="0" borderId="0" xfId="3" applyFont="1" applyAlignment="1">
      <alignment horizontal="right"/>
    </xf>
    <xf numFmtId="0" fontId="23" fillId="0" borderId="0" xfId="3" applyFont="1"/>
    <xf numFmtId="164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16" fillId="0" borderId="0" xfId="0" applyFont="1"/>
    <xf numFmtId="0" fontId="23" fillId="0" borderId="0" xfId="0" applyFont="1"/>
    <xf numFmtId="0" fontId="16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/>
    </xf>
    <xf numFmtId="0" fontId="6" fillId="3" borderId="0" xfId="3" applyFont="1" applyFill="1" applyAlignment="1">
      <alignment horizontal="center"/>
    </xf>
    <xf numFmtId="0" fontId="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3" xfId="0" applyFont="1" applyBorder="1"/>
    <xf numFmtId="0" fontId="25" fillId="0" borderId="4" xfId="0" applyFont="1" applyBorder="1"/>
    <xf numFmtId="0" fontId="25" fillId="0" borderId="5" xfId="0" applyFont="1" applyBorder="1" applyAlignment="1">
      <alignment horizontal="center"/>
    </xf>
    <xf numFmtId="0" fontId="25" fillId="0" borderId="6" xfId="0" applyFont="1" applyBorder="1"/>
    <xf numFmtId="0" fontId="25" fillId="0" borderId="0" xfId="0" applyFont="1"/>
    <xf numFmtId="0" fontId="6" fillId="3" borderId="0" xfId="3" applyFont="1" applyFill="1"/>
    <xf numFmtId="0" fontId="13" fillId="0" borderId="0" xfId="0" applyFont="1" applyAlignment="1">
      <alignment horizontal="center"/>
    </xf>
    <xf numFmtId="49" fontId="26" fillId="0" borderId="0" xfId="0" applyNumberFormat="1" applyFont="1" applyAlignment="1">
      <alignment vertical="top"/>
    </xf>
    <xf numFmtId="49" fontId="26" fillId="0" borderId="0" xfId="0" applyNumberFormat="1" applyFont="1" applyAlignment="1">
      <alignment horizontal="center" vertical="top"/>
    </xf>
    <xf numFmtId="0" fontId="15" fillId="0" borderId="0" xfId="3" applyFont="1"/>
    <xf numFmtId="0" fontId="25" fillId="0" borderId="7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3" xfId="0" applyFont="1" applyBorder="1" applyAlignment="1">
      <alignment horizontal="right"/>
    </xf>
    <xf numFmtId="0" fontId="27" fillId="0" borderId="4" xfId="0" applyFont="1" applyBorder="1" applyAlignment="1">
      <alignment horizontal="center"/>
    </xf>
    <xf numFmtId="164" fontId="25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4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5" fillId="0" borderId="0" xfId="0" applyFont="1" applyAlignment="1">
      <alignment wrapText="1"/>
    </xf>
    <xf numFmtId="164" fontId="2" fillId="0" borderId="0" xfId="3" applyNumberFormat="1" applyAlignment="1">
      <alignment horizontal="center"/>
    </xf>
    <xf numFmtId="0" fontId="10" fillId="0" borderId="0" xfId="3" applyFont="1" applyAlignment="1">
      <alignment horizontal="center"/>
    </xf>
    <xf numFmtId="0" fontId="2" fillId="0" borderId="0" xfId="3" applyAlignment="1">
      <alignment horizontal="right"/>
    </xf>
    <xf numFmtId="164" fontId="3" fillId="3" borderId="0" xfId="0" applyNumberFormat="1" applyFont="1" applyFill="1" applyAlignment="1">
      <alignment horizontal="center"/>
    </xf>
    <xf numFmtId="0" fontId="6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1" fontId="25" fillId="0" borderId="0" xfId="0" applyNumberFormat="1" applyFont="1" applyAlignment="1">
      <alignment horizontal="center"/>
    </xf>
    <xf numFmtId="1" fontId="25" fillId="0" borderId="4" xfId="0" applyNumberFormat="1" applyFont="1" applyBorder="1" applyAlignment="1">
      <alignment horizontal="center"/>
    </xf>
    <xf numFmtId="1" fontId="25" fillId="0" borderId="5" xfId="0" applyNumberFormat="1" applyFont="1" applyBorder="1" applyAlignment="1">
      <alignment horizontal="center"/>
    </xf>
    <xf numFmtId="1" fontId="25" fillId="0" borderId="8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3" quotePrefix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1" fontId="25" fillId="0" borderId="7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left"/>
    </xf>
    <xf numFmtId="0" fontId="32" fillId="0" borderId="0" xfId="0" applyFont="1"/>
    <xf numFmtId="0" fontId="8" fillId="0" borderId="0" xfId="0" applyFont="1"/>
    <xf numFmtId="1" fontId="8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center" vertical="top"/>
    </xf>
    <xf numFmtId="20" fontId="0" fillId="0" borderId="0" xfId="0" applyNumberFormat="1" applyAlignment="1">
      <alignment vertical="center"/>
    </xf>
    <xf numFmtId="20" fontId="3" fillId="0" borderId="0" xfId="0" applyNumberFormat="1" applyFont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0" fillId="0" borderId="4" xfId="0" applyBorder="1"/>
    <xf numFmtId="0" fontId="25" fillId="0" borderId="9" xfId="0" applyFont="1" applyBorder="1"/>
    <xf numFmtId="0" fontId="12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6" fillId="0" borderId="0" xfId="0" applyNumberFormat="1" applyFont="1" applyAlignment="1">
      <alignment horizontal="center"/>
    </xf>
    <xf numFmtId="49" fontId="35" fillId="0" borderId="0" xfId="0" applyNumberFormat="1" applyFont="1" applyAlignment="1">
      <alignment horizontal="center"/>
    </xf>
    <xf numFmtId="49" fontId="35" fillId="0" borderId="0" xfId="0" applyNumberFormat="1" applyFont="1" applyAlignment="1">
      <alignment horizontal="center" vertical="center"/>
    </xf>
    <xf numFmtId="49" fontId="35" fillId="0" borderId="10" xfId="0" applyNumberFormat="1" applyFont="1" applyBorder="1" applyAlignment="1">
      <alignment horizontal="center"/>
    </xf>
    <xf numFmtId="0" fontId="3" fillId="0" borderId="11" xfId="1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49" fontId="35" fillId="0" borderId="12" xfId="0" applyNumberFormat="1" applyFont="1" applyBorder="1" applyAlignment="1">
      <alignment horizontal="center"/>
    </xf>
    <xf numFmtId="0" fontId="0" fillId="0" borderId="13" xfId="0" applyBorder="1"/>
    <xf numFmtId="0" fontId="34" fillId="0" borderId="14" xfId="1" applyFont="1" applyBorder="1" applyAlignment="1">
      <alignment horizontal="left"/>
    </xf>
    <xf numFmtId="0" fontId="0" fillId="0" borderId="15" xfId="0" applyBorder="1"/>
    <xf numFmtId="0" fontId="34" fillId="0" borderId="16" xfId="1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49" fontId="35" fillId="0" borderId="18" xfId="0" applyNumberFormat="1" applyFont="1" applyBorder="1" applyAlignment="1">
      <alignment horizontal="center"/>
    </xf>
    <xf numFmtId="0" fontId="0" fillId="0" borderId="19" xfId="0" applyBorder="1"/>
    <xf numFmtId="0" fontId="3" fillId="0" borderId="11" xfId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3" fillId="0" borderId="1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49" fontId="35" fillId="0" borderId="17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49" fontId="35" fillId="0" borderId="17" xfId="0" applyNumberFormat="1" applyFont="1" applyBorder="1" applyAlignment="1">
      <alignment horizontal="center"/>
    </xf>
    <xf numFmtId="0" fontId="3" fillId="0" borderId="11" xfId="0" applyFont="1" applyBorder="1"/>
    <xf numFmtId="0" fontId="8" fillId="0" borderId="12" xfId="0" applyFont="1" applyBorder="1"/>
    <xf numFmtId="0" fontId="36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0" fillId="0" borderId="14" xfId="0" applyBorder="1"/>
    <xf numFmtId="0" fontId="25" fillId="0" borderId="15" xfId="0" applyFont="1" applyBorder="1" applyAlignment="1">
      <alignment horizontal="center"/>
    </xf>
    <xf numFmtId="0" fontId="10" fillId="0" borderId="15" xfId="3" applyFont="1" applyBorder="1"/>
    <xf numFmtId="0" fontId="0" fillId="0" borderId="16" xfId="0" applyBorder="1"/>
    <xf numFmtId="0" fontId="25" fillId="0" borderId="17" xfId="0" applyFont="1" applyBorder="1"/>
    <xf numFmtId="0" fontId="25" fillId="0" borderId="19" xfId="0" applyFont="1" applyBorder="1"/>
    <xf numFmtId="0" fontId="0" fillId="0" borderId="11" xfId="0" applyBorder="1"/>
    <xf numFmtId="0" fontId="25" fillId="0" borderId="12" xfId="0" applyFont="1" applyBorder="1"/>
    <xf numFmtId="49" fontId="36" fillId="0" borderId="12" xfId="0" applyNumberFormat="1" applyFont="1" applyBorder="1" applyAlignment="1">
      <alignment horizontal="center"/>
    </xf>
    <xf numFmtId="0" fontId="25" fillId="0" borderId="15" xfId="0" applyFont="1" applyBorder="1"/>
    <xf numFmtId="0" fontId="1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23" fillId="0" borderId="0" xfId="3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16" fillId="0" borderId="0" xfId="2" applyFont="1" applyAlignment="1">
      <alignment horizontal="center" wrapText="1"/>
    </xf>
    <xf numFmtId="0" fontId="24" fillId="0" borderId="0" xfId="0" applyFont="1" applyAlignment="1">
      <alignment horizontal="right"/>
    </xf>
    <xf numFmtId="0" fontId="24" fillId="0" borderId="0" xfId="2" applyFont="1" applyAlignment="1">
      <alignment horizontal="center" wrapText="1"/>
    </xf>
    <xf numFmtId="0" fontId="38" fillId="0" borderId="0" xfId="0" applyFont="1" applyAlignment="1">
      <alignment horizontal="center"/>
    </xf>
    <xf numFmtId="49" fontId="23" fillId="0" borderId="0" xfId="0" applyNumberFormat="1" applyFont="1" applyAlignment="1">
      <alignment horizontal="center"/>
    </xf>
    <xf numFmtId="0" fontId="24" fillId="0" borderId="0" xfId="0" quotePrefix="1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3" fillId="0" borderId="0" xfId="3" quotePrefix="1" applyFont="1" applyAlignment="1">
      <alignment horizontal="center"/>
    </xf>
    <xf numFmtId="0" fontId="39" fillId="3" borderId="0" xfId="3" applyFont="1" applyFill="1" applyAlignment="1">
      <alignment horizontal="center"/>
    </xf>
    <xf numFmtId="164" fontId="19" fillId="3" borderId="0" xfId="0" applyNumberFormat="1" applyFont="1" applyFill="1" applyAlignment="1">
      <alignment horizontal="center"/>
    </xf>
    <xf numFmtId="0" fontId="39" fillId="3" borderId="0" xfId="3" applyFont="1" applyFill="1"/>
    <xf numFmtId="0" fontId="19" fillId="3" borderId="0" xfId="0" applyFont="1" applyFill="1" applyAlignment="1">
      <alignment horizontal="center"/>
    </xf>
    <xf numFmtId="1" fontId="19" fillId="3" borderId="0" xfId="0" applyNumberFormat="1" applyFont="1" applyFill="1" applyAlignment="1">
      <alignment horizontal="center"/>
    </xf>
    <xf numFmtId="0" fontId="39" fillId="0" borderId="0" xfId="3" applyFont="1" applyAlignment="1">
      <alignment horizontal="right"/>
    </xf>
    <xf numFmtId="0" fontId="39" fillId="0" borderId="0" xfId="3" applyFont="1" applyAlignment="1">
      <alignment horizontal="center"/>
    </xf>
    <xf numFmtId="0" fontId="39" fillId="0" borderId="0" xfId="3" applyFont="1"/>
    <xf numFmtId="164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2" fillId="0" borderId="0" xfId="3" applyFont="1"/>
    <xf numFmtId="0" fontId="40" fillId="0" borderId="0" xfId="0" applyFont="1" applyAlignment="1">
      <alignment horizontal="center"/>
    </xf>
    <xf numFmtId="0" fontId="21" fillId="0" borderId="0" xfId="0" applyFont="1" applyAlignment="1">
      <alignment wrapText="1"/>
    </xf>
    <xf numFmtId="164" fontId="23" fillId="0" borderId="0" xfId="3" applyNumberFormat="1" applyFont="1" applyAlignment="1">
      <alignment horizontal="center"/>
    </xf>
    <xf numFmtId="1" fontId="23" fillId="0" borderId="0" xfId="3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6" fillId="6" borderId="0" xfId="3" applyFont="1" applyFill="1"/>
    <xf numFmtId="0" fontId="1" fillId="5" borderId="0" xfId="0" applyFont="1" applyFill="1" applyAlignment="1">
      <alignment horizontal="center"/>
    </xf>
    <xf numFmtId="0" fontId="1" fillId="0" borderId="0" xfId="2" applyFont="1" applyAlignment="1">
      <alignment horizontal="center" wrapText="1"/>
    </xf>
    <xf numFmtId="0" fontId="28" fillId="7" borderId="0" xfId="0" applyFont="1" applyFill="1" applyAlignment="1">
      <alignment horizontal="left"/>
    </xf>
    <xf numFmtId="0" fontId="16" fillId="7" borderId="0" xfId="0" applyFont="1" applyFill="1"/>
    <xf numFmtId="164" fontId="4" fillId="0" borderId="0" xfId="0" applyNumberFormat="1" applyFont="1" applyFill="1" applyAlignment="1">
      <alignment horizontal="center"/>
    </xf>
    <xf numFmtId="164" fontId="24" fillId="0" borderId="0" xfId="0" applyNumberFormat="1" applyFont="1" applyFill="1" applyAlignment="1">
      <alignment horizontal="center"/>
    </xf>
    <xf numFmtId="0" fontId="2" fillId="8" borderId="0" xfId="3" applyFill="1" applyAlignment="1">
      <alignment horizontal="left" vertical="center"/>
    </xf>
    <xf numFmtId="0" fontId="2" fillId="8" borderId="0" xfId="3" applyFill="1"/>
    <xf numFmtId="0" fontId="10" fillId="8" borderId="0" xfId="3" applyFont="1" applyFill="1"/>
    <xf numFmtId="0" fontId="1" fillId="8" borderId="0" xfId="0" applyFont="1" applyFill="1"/>
    <xf numFmtId="0" fontId="6" fillId="8" borderId="0" xfId="3" applyFont="1" applyFill="1"/>
    <xf numFmtId="0" fontId="18" fillId="8" borderId="0" xfId="0" applyFont="1" applyFill="1" applyAlignment="1">
      <alignment vertical="top"/>
    </xf>
    <xf numFmtId="0" fontId="26" fillId="8" borderId="0" xfId="0" applyFont="1" applyFill="1" applyAlignment="1">
      <alignment vertical="top"/>
    </xf>
    <xf numFmtId="0" fontId="1" fillId="8" borderId="0" xfId="0" applyFont="1" applyFill="1" applyAlignment="1">
      <alignment horizontal="center"/>
    </xf>
    <xf numFmtId="0" fontId="1" fillId="8" borderId="0" xfId="2" applyFont="1" applyFill="1" applyAlignment="1">
      <alignment horizontal="center" wrapText="1"/>
    </xf>
    <xf numFmtId="0" fontId="15" fillId="8" borderId="0" xfId="0" applyFont="1" applyFill="1" applyAlignment="1">
      <alignment horizontal="center"/>
    </xf>
    <xf numFmtId="0" fontId="16" fillId="8" borderId="0" xfId="0" applyFont="1" applyFill="1"/>
    <xf numFmtId="0" fontId="23" fillId="8" borderId="0" xfId="0" applyFont="1" applyFill="1"/>
    <xf numFmtId="0" fontId="17" fillId="8" borderId="0" xfId="0" applyFont="1" applyFill="1" applyAlignment="1">
      <alignment vertical="top"/>
    </xf>
    <xf numFmtId="0" fontId="39" fillId="8" borderId="0" xfId="3" applyFont="1" applyFill="1"/>
    <xf numFmtId="0" fontId="1" fillId="0" borderId="0" xfId="0" applyFont="1" applyFill="1"/>
    <xf numFmtId="1" fontId="4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/>
    <xf numFmtId="1" fontId="24" fillId="0" borderId="0" xfId="0" applyNumberFormat="1" applyFont="1" applyFill="1" applyAlignment="1">
      <alignment horizontal="center"/>
    </xf>
    <xf numFmtId="0" fontId="41" fillId="7" borderId="0" xfId="0" applyFont="1" applyFill="1" applyAlignment="1">
      <alignment horizontal="left"/>
    </xf>
    <xf numFmtId="0" fontId="41" fillId="9" borderId="0" xfId="0" applyFont="1" applyFill="1" applyAlignment="1">
      <alignment horizontal="left"/>
    </xf>
    <xf numFmtId="0" fontId="7" fillId="8" borderId="0" xfId="0" applyFont="1" applyFill="1"/>
    <xf numFmtId="164" fontId="42" fillId="12" borderId="0" xfId="0" applyNumberFormat="1" applyFont="1" applyFill="1" applyAlignment="1">
      <alignment horizontal="center"/>
    </xf>
    <xf numFmtId="1" fontId="42" fillId="12" borderId="0" xfId="0" applyNumberFormat="1" applyFont="1" applyFill="1" applyAlignment="1">
      <alignment horizontal="center"/>
    </xf>
    <xf numFmtId="0" fontId="42" fillId="12" borderId="0" xfId="0" applyFont="1" applyFill="1" applyAlignment="1">
      <alignment horizontal="center"/>
    </xf>
    <xf numFmtId="0" fontId="44" fillId="12" borderId="0" xfId="3" applyFont="1" applyFill="1" applyAlignment="1">
      <alignment horizontal="center"/>
    </xf>
    <xf numFmtId="0" fontId="42" fillId="12" borderId="0" xfId="0" applyFont="1" applyFill="1"/>
    <xf numFmtId="0" fontId="42" fillId="12" borderId="0" xfId="0" applyFont="1" applyFill="1" applyAlignment="1">
      <alignment horizontal="right"/>
    </xf>
    <xf numFmtId="164" fontId="42" fillId="12" borderId="0" xfId="0" applyNumberFormat="1" applyFont="1" applyFill="1" applyAlignment="1">
      <alignment horizontal="center" vertical="top"/>
    </xf>
    <xf numFmtId="0" fontId="42" fillId="12" borderId="0" xfId="2" applyFont="1" applyFill="1" applyAlignment="1">
      <alignment horizontal="center" wrapText="1"/>
    </xf>
    <xf numFmtId="0" fontId="1" fillId="0" borderId="3" xfId="0" applyFont="1" applyBorder="1" applyAlignment="1"/>
    <xf numFmtId="0" fontId="1" fillId="0" borderId="4" xfId="0" applyFont="1" applyBorder="1" applyAlignment="1"/>
    <xf numFmtId="0" fontId="8" fillId="0" borderId="5" xfId="0" applyFont="1" applyBorder="1" applyAlignment="1"/>
    <xf numFmtId="0" fontId="1" fillId="0" borderId="0" xfId="0" applyFont="1" applyAlignment="1"/>
    <xf numFmtId="0" fontId="45" fillId="12" borderId="0" xfId="3" applyFont="1" applyFill="1" applyAlignment="1"/>
    <xf numFmtId="0" fontId="28" fillId="0" borderId="0" xfId="0" applyFont="1" applyAlignment="1"/>
    <xf numFmtId="0" fontId="4" fillId="0" borderId="0" xfId="0" applyFont="1" applyAlignment="1"/>
    <xf numFmtId="0" fontId="43" fillId="12" borderId="0" xfId="0" applyFont="1" applyFill="1" applyAlignment="1"/>
    <xf numFmtId="0" fontId="37" fillId="0" borderId="0" xfId="0" applyFont="1" applyAlignment="1"/>
    <xf numFmtId="0" fontId="16" fillId="0" borderId="0" xfId="0" applyFont="1" applyAlignment="1"/>
    <xf numFmtId="0" fontId="23" fillId="0" borderId="0" xfId="3" applyFont="1" applyAlignment="1"/>
    <xf numFmtId="0" fontId="2" fillId="0" borderId="0" xfId="3" applyAlignment="1"/>
    <xf numFmtId="0" fontId="42" fillId="12" borderId="29" xfId="0" applyFont="1" applyFill="1" applyBorder="1"/>
    <xf numFmtId="49" fontId="47" fillId="12" borderId="22" xfId="0" applyNumberFormat="1" applyFont="1" applyFill="1" applyBorder="1"/>
    <xf numFmtId="14" fontId="42" fillId="12" borderId="22" xfId="0" applyNumberFormat="1" applyFont="1" applyFill="1" applyBorder="1" applyAlignment="1">
      <alignment horizontal="left"/>
    </xf>
    <xf numFmtId="0" fontId="46" fillId="12" borderId="30" xfId="0" quotePrefix="1" applyFont="1" applyFill="1" applyBorder="1" applyAlignment="1">
      <alignment horizontal="left"/>
    </xf>
    <xf numFmtId="0" fontId="42" fillId="12" borderId="7" xfId="0" applyFont="1" applyFill="1" applyBorder="1"/>
    <xf numFmtId="49" fontId="47" fillId="12" borderId="0" xfId="0" applyNumberFormat="1" applyFont="1" applyFill="1" applyBorder="1"/>
    <xf numFmtId="14" fontId="42" fillId="12" borderId="0" xfId="0" applyNumberFormat="1" applyFont="1" applyFill="1" applyBorder="1" applyAlignment="1">
      <alignment horizontal="left"/>
    </xf>
    <xf numFmtId="0" fontId="46" fillId="12" borderId="4" xfId="0" quotePrefix="1" applyFont="1" applyFill="1" applyBorder="1" applyAlignment="1">
      <alignment horizontal="left"/>
    </xf>
    <xf numFmtId="14" fontId="1" fillId="12" borderId="0" xfId="0" applyNumberFormat="1" applyFont="1" applyFill="1" applyBorder="1" applyAlignment="1">
      <alignment horizontal="left"/>
    </xf>
    <xf numFmtId="0" fontId="46" fillId="12" borderId="4" xfId="0" quotePrefix="1" applyFont="1" applyFill="1" applyBorder="1"/>
    <xf numFmtId="0" fontId="1" fillId="0" borderId="7" xfId="0" applyFont="1" applyBorder="1"/>
    <xf numFmtId="49" fontId="3" fillId="0" borderId="0" xfId="0" applyNumberFormat="1" applyFont="1" applyBorder="1"/>
    <xf numFmtId="14" fontId="1" fillId="0" borderId="0" xfId="0" applyNumberFormat="1" applyFont="1" applyBorder="1" applyAlignment="1">
      <alignment horizontal="left"/>
    </xf>
    <xf numFmtId="0" fontId="1" fillId="0" borderId="8" xfId="0" applyFont="1" applyBorder="1"/>
    <xf numFmtId="14" fontId="1" fillId="0" borderId="1" xfId="0" applyNumberFormat="1" applyFont="1" applyBorder="1" applyAlignment="1">
      <alignment horizontal="left"/>
    </xf>
    <xf numFmtId="0" fontId="46" fillId="12" borderId="6" xfId="0" quotePrefix="1" applyFont="1" applyFill="1" applyBorder="1"/>
    <xf numFmtId="0" fontId="46" fillId="12" borderId="29" xfId="0" quotePrefix="1" applyFont="1" applyFill="1" applyBorder="1"/>
    <xf numFmtId="0" fontId="46" fillId="12" borderId="22" xfId="0" quotePrefix="1" applyFont="1" applyFill="1" applyBorder="1"/>
    <xf numFmtId="0" fontId="46" fillId="12" borderId="30" xfId="0" quotePrefix="1" applyFont="1" applyFill="1" applyBorder="1"/>
    <xf numFmtId="0" fontId="1" fillId="0" borderId="29" xfId="0" applyFont="1" applyBorder="1"/>
    <xf numFmtId="49" fontId="3" fillId="0" borderId="22" xfId="0" applyNumberFormat="1" applyFont="1" applyBorder="1"/>
    <xf numFmtId="14" fontId="1" fillId="0" borderId="22" xfId="0" applyNumberFormat="1" applyFont="1" applyBorder="1" applyAlignment="1">
      <alignment horizontal="left"/>
    </xf>
    <xf numFmtId="0" fontId="9" fillId="0" borderId="30" xfId="0" applyFont="1" applyBorder="1"/>
    <xf numFmtId="0" fontId="0" fillId="0" borderId="6" xfId="0" applyBorder="1"/>
    <xf numFmtId="0" fontId="0" fillId="0" borderId="30" xfId="0" applyBorder="1"/>
    <xf numFmtId="0" fontId="9" fillId="0" borderId="6" xfId="0" applyFont="1" applyBorder="1" applyAlignment="1">
      <alignment horizontal="left"/>
    </xf>
    <xf numFmtId="0" fontId="9" fillId="0" borderId="4" xfId="0" applyFont="1" applyBorder="1"/>
    <xf numFmtId="0" fontId="9" fillId="0" borderId="4" xfId="3" applyFont="1" applyBorder="1"/>
    <xf numFmtId="0" fontId="9" fillId="0" borderId="4" xfId="0" applyFont="1" applyBorder="1" applyAlignment="1">
      <alignment horizontal="left"/>
    </xf>
    <xf numFmtId="0" fontId="9" fillId="0" borderId="6" xfId="0" applyFont="1" applyBorder="1"/>
    <xf numFmtId="14" fontId="3" fillId="0" borderId="1" xfId="0" applyNumberFormat="1" applyFont="1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46" fillId="12" borderId="22" xfId="0" quotePrefix="1" applyNumberFormat="1" applyFont="1" applyFill="1" applyBorder="1" applyAlignment="1">
      <alignment horizontal="left"/>
    </xf>
    <xf numFmtId="0" fontId="1" fillId="0" borderId="7" xfId="0" applyFont="1" applyBorder="1" applyAlignment="1"/>
    <xf numFmtId="0" fontId="1" fillId="0" borderId="0" xfId="0" applyFont="1" applyBorder="1" applyAlignment="1"/>
    <xf numFmtId="164" fontId="1" fillId="0" borderId="0" xfId="0" applyNumberFormat="1" applyFont="1" applyFill="1" applyAlignment="1">
      <alignment horizontal="center"/>
    </xf>
    <xf numFmtId="164" fontId="1" fillId="12" borderId="0" xfId="0" applyNumberFormat="1" applyFont="1" applyFill="1" applyAlignment="1">
      <alignment horizontal="center"/>
    </xf>
    <xf numFmtId="0" fontId="2" fillId="12" borderId="0" xfId="3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0" fontId="41" fillId="12" borderId="0" xfId="0" applyFont="1" applyFill="1" applyAlignment="1">
      <alignment horizontal="left"/>
    </xf>
    <xf numFmtId="0" fontId="8" fillId="12" borderId="0" xfId="0" applyFont="1" applyFill="1" applyAlignment="1">
      <alignment horizontal="center"/>
    </xf>
    <xf numFmtId="0" fontId="1" fillId="12" borderId="0" xfId="0" applyFont="1" applyFill="1"/>
    <xf numFmtId="1" fontId="4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1" fillId="12" borderId="0" xfId="0" applyFont="1" applyFill="1" applyAlignment="1">
      <alignment horizontal="right"/>
    </xf>
    <xf numFmtId="0" fontId="4" fillId="12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0" fontId="16" fillId="12" borderId="0" xfId="0" applyFont="1" applyFill="1" applyAlignment="1">
      <alignment horizontal="left"/>
    </xf>
    <xf numFmtId="0" fontId="6" fillId="12" borderId="0" xfId="3" applyFont="1" applyFill="1" applyAlignment="1">
      <alignment horizontal="center"/>
    </xf>
    <xf numFmtId="0" fontId="28" fillId="12" borderId="0" xfId="0" applyFont="1" applyFill="1" applyAlignment="1">
      <alignment horizontal="left"/>
    </xf>
    <xf numFmtId="0" fontId="6" fillId="12" borderId="0" xfId="3" applyFont="1" applyFill="1"/>
    <xf numFmtId="0" fontId="3" fillId="12" borderId="0" xfId="0" applyFont="1" applyFill="1" applyAlignment="1">
      <alignment horizontal="center"/>
    </xf>
    <xf numFmtId="1" fontId="3" fillId="12" borderId="0" xfId="0" applyNumberFormat="1" applyFont="1" applyFill="1" applyAlignment="1">
      <alignment horizontal="center"/>
    </xf>
    <xf numFmtId="0" fontId="6" fillId="12" borderId="0" xfId="3" applyFont="1" applyFill="1" applyAlignment="1">
      <alignment horizontal="right"/>
    </xf>
    <xf numFmtId="0" fontId="23" fillId="12" borderId="0" xfId="3" applyFont="1" applyFill="1" applyAlignment="1">
      <alignment horizontal="right"/>
    </xf>
    <xf numFmtId="0" fontId="30" fillId="12" borderId="0" xfId="0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0" fontId="16" fillId="12" borderId="0" xfId="0" applyFont="1" applyFill="1"/>
    <xf numFmtId="0" fontId="24" fillId="12" borderId="0" xfId="0" applyFont="1" applyFill="1" applyAlignment="1">
      <alignment horizontal="center"/>
    </xf>
    <xf numFmtId="164" fontId="24" fillId="12" borderId="0" xfId="0" applyNumberFormat="1" applyFont="1" applyFill="1" applyAlignment="1">
      <alignment horizontal="center"/>
    </xf>
    <xf numFmtId="0" fontId="0" fillId="12" borderId="0" xfId="0" applyFill="1"/>
    <xf numFmtId="0" fontId="39" fillId="12" borderId="0" xfId="3" applyFont="1" applyFill="1"/>
    <xf numFmtId="0" fontId="19" fillId="12" borderId="0" xfId="0" applyFont="1" applyFill="1" applyAlignment="1">
      <alignment horizontal="center"/>
    </xf>
    <xf numFmtId="1" fontId="19" fillId="12" borderId="0" xfId="0" applyNumberFormat="1" applyFont="1" applyFill="1" applyAlignment="1">
      <alignment horizontal="center"/>
    </xf>
    <xf numFmtId="0" fontId="39" fillId="12" borderId="0" xfId="3" applyFont="1" applyFill="1" applyAlignment="1">
      <alignment horizontal="center"/>
    </xf>
    <xf numFmtId="0" fontId="39" fillId="12" borderId="0" xfId="3" applyFont="1" applyFill="1" applyAlignment="1">
      <alignment horizontal="right"/>
    </xf>
    <xf numFmtId="0" fontId="23" fillId="12" borderId="0" xfId="3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9" fillId="0" borderId="7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1" xfId="0" applyFont="1" applyBorder="1"/>
    <xf numFmtId="0" fontId="16" fillId="0" borderId="22" xfId="0" applyFont="1" applyBorder="1"/>
    <xf numFmtId="0" fontId="16" fillId="0" borderId="23" xfId="0" applyFont="1" applyBorder="1"/>
    <xf numFmtId="164" fontId="25" fillId="0" borderId="7" xfId="0" applyNumberFormat="1" applyFont="1" applyBorder="1" applyAlignment="1">
      <alignment horizontal="center"/>
    </xf>
    <xf numFmtId="164" fontId="25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right" wrapText="1"/>
    </xf>
    <xf numFmtId="0" fontId="25" fillId="0" borderId="5" xfId="0" applyFont="1" applyBorder="1" applyAlignment="1">
      <alignment horizontal="right" wrapText="1"/>
    </xf>
    <xf numFmtId="1" fontId="25" fillId="0" borderId="0" xfId="0" applyNumberFormat="1" applyFont="1" applyAlignment="1">
      <alignment horizontal="center"/>
    </xf>
    <xf numFmtId="1" fontId="25" fillId="0" borderId="4" xfId="0" applyNumberFormat="1" applyFont="1" applyBorder="1" applyAlignment="1">
      <alignment horizontal="center"/>
    </xf>
    <xf numFmtId="0" fontId="25" fillId="0" borderId="3" xfId="0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22" fillId="0" borderId="4" xfId="3" applyFont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22" fillId="0" borderId="3" xfId="3" applyFont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1" fontId="25" fillId="0" borderId="7" xfId="0" applyNumberFormat="1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33" fillId="0" borderId="0" xfId="0" applyFont="1"/>
    <xf numFmtId="0" fontId="33" fillId="0" borderId="17" xfId="0" applyFont="1" applyBorder="1"/>
    <xf numFmtId="0" fontId="33" fillId="0" borderId="12" xfId="0" applyFont="1" applyBorder="1"/>
    <xf numFmtId="0" fontId="25" fillId="0" borderId="0" xfId="0" applyFont="1"/>
    <xf numFmtId="0" fontId="25" fillId="0" borderId="12" xfId="0" applyFont="1" applyBorder="1"/>
    <xf numFmtId="0" fontId="25" fillId="0" borderId="17" xfId="0" applyFont="1" applyBorder="1"/>
    <xf numFmtId="0" fontId="6" fillId="2" borderId="25" xfId="3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1" fillId="4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33" fillId="0" borderId="28" xfId="0" applyFont="1" applyBorder="1"/>
    <xf numFmtId="0" fontId="33" fillId="0" borderId="4" xfId="0" applyFont="1" applyBorder="1"/>
    <xf numFmtId="0" fontId="33" fillId="0" borderId="24" xfId="0" applyFont="1" applyBorder="1"/>
    <xf numFmtId="0" fontId="49" fillId="12" borderId="0" xfId="3" applyFont="1" applyFill="1" applyAlignment="1"/>
    <xf numFmtId="0" fontId="50" fillId="7" borderId="0" xfId="0" applyFont="1" applyFill="1" applyAlignment="1"/>
    <xf numFmtId="164" fontId="51" fillId="12" borderId="0" xfId="0" applyNumberFormat="1" applyFont="1" applyFill="1" applyAlignment="1"/>
    <xf numFmtId="164" fontId="51" fillId="0" borderId="0" xfId="0" applyNumberFormat="1" applyFont="1" applyAlignment="1"/>
    <xf numFmtId="0" fontId="50" fillId="0" borderId="0" xfId="0" applyFont="1" applyAlignment="1"/>
    <xf numFmtId="0" fontId="51" fillId="0" borderId="0" xfId="0" applyFont="1" applyAlignment="1"/>
    <xf numFmtId="0" fontId="50" fillId="12" borderId="0" xfId="0" applyFont="1" applyFill="1" applyAlignment="1"/>
    <xf numFmtId="0" fontId="50" fillId="10" borderId="0" xfId="0" applyFont="1" applyFill="1" applyAlignment="1"/>
    <xf numFmtId="0" fontId="50" fillId="0" borderId="0" xfId="0" applyFont="1" applyFill="1" applyAlignment="1"/>
    <xf numFmtId="0" fontId="52" fillId="0" borderId="0" xfId="0" applyFont="1" applyAlignment="1"/>
    <xf numFmtId="0" fontId="50" fillId="11" borderId="0" xfId="0" applyFont="1" applyFill="1" applyAlignment="1"/>
    <xf numFmtId="0" fontId="53" fillId="0" borderId="0" xfId="0" applyFont="1" applyAlignment="1"/>
    <xf numFmtId="0" fontId="6" fillId="13" borderId="0" xfId="3" applyFont="1" applyFill="1" applyAlignment="1"/>
  </cellXfs>
  <cellStyles count="4">
    <cellStyle name="Standard" xfId="0" builtinId="0"/>
    <cellStyle name="Standard_AB - RFB Klagenfurt" xfId="1"/>
    <cellStyle name="Standard_Tabelle1" xfId="2"/>
    <cellStyle name="Standard_UZ_Werder_020111" xfId="3"/>
  </cellStyles>
  <dxfs count="0"/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11" Target="../customXml/item4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9.png" Type="http://schemas.openxmlformats.org/officeDocument/2006/relationships/image"/><Relationship Id="rId2" Target="../media/image10.png" Type="http://schemas.openxmlformats.org/officeDocument/2006/relationships/image"/><Relationship Id="rId3" Target="../media/image11.emf" Type="http://schemas.openxmlformats.org/officeDocument/2006/relationships/image"/><Relationship Id="rId4" Target="../media/image12.emf" Type="http://schemas.openxmlformats.org/officeDocument/2006/relationships/image"/><Relationship Id="rId5" Target="../media/image13.png" Type="http://schemas.openxmlformats.org/officeDocument/2006/relationships/image"/><Relationship Id="rId6" Target="../media/image14.png" Type="http://schemas.openxmlformats.org/officeDocument/2006/relationships/image"/><Relationship Id="rId7" Target="../media/image15.png" Type="http://schemas.openxmlformats.org/officeDocument/2006/relationships/image"/><Relationship Id="rId8" Target="../media/image16.png" Type="http://schemas.openxmlformats.org/officeDocument/2006/relationships/image"/></Relationships>
</file>

<file path=xl/drawings/_rels/vmlDrawing1.vml.rels><?xml version="1.0" encoding="UTF-8" standalone="yes"?><Relationships xmlns="http://schemas.openxmlformats.org/package/2006/relationships"><Relationship Id="rId1" Target="../media/image2.emf" Type="http://schemas.openxmlformats.org/officeDocument/2006/relationships/image"/><Relationship Id="rId2" Target="../media/image3.wmf" Type="http://schemas.openxmlformats.org/officeDocument/2006/relationships/image"/><Relationship Id="rId3" Target="../media/image4.emf" Type="http://schemas.openxmlformats.org/officeDocument/2006/relationships/image"/><Relationship Id="rId4" Target="../media/image5.emf" Type="http://schemas.openxmlformats.org/officeDocument/2006/relationships/image"/><Relationship Id="rId5" Target="../media/image6.emf" Type="http://schemas.openxmlformats.org/officeDocument/2006/relationships/image"/><Relationship Id="rId6" Target="../media/image7.emf" Type="http://schemas.openxmlformats.org/officeDocument/2006/relationships/image"/><Relationship Id="rId7" Target="../media/image8.w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0</xdr:row>
      <xdr:rowOff>66675</xdr:rowOff>
    </xdr:from>
    <xdr:to>
      <xdr:col>19</xdr:col>
      <xdr:colOff>171450</xdr:colOff>
      <xdr:row>0</xdr:row>
      <xdr:rowOff>476250</xdr:rowOff>
    </xdr:to>
    <xdr:pic>
      <xdr:nvPicPr>
        <xdr:cNvPr id="1101" name="Picture 66" descr="LOGOQSG 01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66675"/>
          <a:ext cx="800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76200</xdr:colOff>
          <xdr:row>23</xdr:row>
          <xdr:rowOff>47625</xdr:rowOff>
        </xdr:from>
        <xdr:to>
          <xdr:col>8</xdr:col>
          <xdr:colOff>419100</xdr:colOff>
          <xdr:row>23</xdr:row>
          <xdr:rowOff>381000</xdr:rowOff>
        </xdr:to>
        <xdr:sp macro="" textlink="">
          <xdr:nvSpPr>
            <xdr:cNvPr id="9243" name="Object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2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24</xdr:row>
          <xdr:rowOff>47625</xdr:rowOff>
        </xdr:from>
        <xdr:to>
          <xdr:col>8</xdr:col>
          <xdr:colOff>419100</xdr:colOff>
          <xdr:row>24</xdr:row>
          <xdr:rowOff>381000</xdr:rowOff>
        </xdr:to>
        <xdr:sp macro="" textlink="">
          <xdr:nvSpPr>
            <xdr:cNvPr id="9246" name="Object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2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104775</xdr:colOff>
          <xdr:row>25</xdr:row>
          <xdr:rowOff>66675</xdr:rowOff>
        </xdr:from>
        <xdr:to>
          <xdr:col>8</xdr:col>
          <xdr:colOff>409575</xdr:colOff>
          <xdr:row>25</xdr:row>
          <xdr:rowOff>371475</xdr:rowOff>
        </xdr:to>
        <xdr:sp macro="" textlink="">
          <xdr:nvSpPr>
            <xdr:cNvPr id="9252" name="Object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2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35</xdr:row>
          <xdr:rowOff>38100</xdr:rowOff>
        </xdr:from>
        <xdr:to>
          <xdr:col>8</xdr:col>
          <xdr:colOff>323850</xdr:colOff>
          <xdr:row>35</xdr:row>
          <xdr:rowOff>314325</xdr:rowOff>
        </xdr:to>
        <xdr:sp macro="" textlink="">
          <xdr:nvSpPr>
            <xdr:cNvPr id="9257" name="Object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2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37</xdr:row>
          <xdr:rowOff>38100</xdr:rowOff>
        </xdr:from>
        <xdr:to>
          <xdr:col>8</xdr:col>
          <xdr:colOff>323850</xdr:colOff>
          <xdr:row>37</xdr:row>
          <xdr:rowOff>333375</xdr:rowOff>
        </xdr:to>
        <xdr:sp macro="" textlink="">
          <xdr:nvSpPr>
            <xdr:cNvPr id="9258" name="Object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2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38</xdr:row>
          <xdr:rowOff>38100</xdr:rowOff>
        </xdr:from>
        <xdr:to>
          <xdr:col>8</xdr:col>
          <xdr:colOff>323850</xdr:colOff>
          <xdr:row>38</xdr:row>
          <xdr:rowOff>314325</xdr:rowOff>
        </xdr:to>
        <xdr:sp macro="" textlink="">
          <xdr:nvSpPr>
            <xdr:cNvPr id="9260" name="Object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2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8</xdr:col>
      <xdr:colOff>123825</xdr:colOff>
      <xdr:row>41</xdr:row>
      <xdr:rowOff>28575</xdr:rowOff>
    </xdr:from>
    <xdr:to>
      <xdr:col>8</xdr:col>
      <xdr:colOff>314325</xdr:colOff>
      <xdr:row>41</xdr:row>
      <xdr:rowOff>228600</xdr:rowOff>
    </xdr:to>
    <xdr:pic>
      <xdr:nvPicPr>
        <xdr:cNvPr id="9275" name="Picture 45">
          <a:extLst>
            <a:ext uri="{FF2B5EF4-FFF2-40B4-BE49-F238E27FC236}">
              <a16:creationId xmlns:a16="http://schemas.microsoft.com/office/drawing/2014/main" id="{00000000-0008-0000-0200-00003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0001250"/>
          <a:ext cx="190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123825</xdr:colOff>
      <xdr:row>42</xdr:row>
      <xdr:rowOff>28575</xdr:rowOff>
    </xdr:from>
    <xdr:to>
      <xdr:col>8</xdr:col>
      <xdr:colOff>314325</xdr:colOff>
      <xdr:row>42</xdr:row>
      <xdr:rowOff>200025</xdr:rowOff>
    </xdr:to>
    <xdr:pic>
      <xdr:nvPicPr>
        <xdr:cNvPr id="9276" name="Picture 46">
          <a:extLst>
            <a:ext uri="{FF2B5EF4-FFF2-40B4-BE49-F238E27FC236}">
              <a16:creationId xmlns:a16="http://schemas.microsoft.com/office/drawing/2014/main" id="{00000000-0008-0000-0200-00003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0239375"/>
          <a:ext cx="1905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36</xdr:row>
          <xdr:rowOff>38100</xdr:rowOff>
        </xdr:from>
        <xdr:to>
          <xdr:col>8</xdr:col>
          <xdr:colOff>323850</xdr:colOff>
          <xdr:row>36</xdr:row>
          <xdr:rowOff>314325</xdr:rowOff>
        </xdr:to>
        <xdr:sp macro="" textlink="">
          <xdr:nvSpPr>
            <xdr:cNvPr id="9263" name="Object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2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8</xdr:col>
      <xdr:colOff>38100</xdr:colOff>
      <xdr:row>46</xdr:row>
      <xdr:rowOff>38100</xdr:rowOff>
    </xdr:from>
    <xdr:to>
      <xdr:col>8</xdr:col>
      <xdr:colOff>447675</xdr:colOff>
      <xdr:row>46</xdr:row>
      <xdr:rowOff>276225</xdr:rowOff>
    </xdr:to>
    <xdr:pic>
      <xdr:nvPicPr>
        <xdr:cNvPr id="9277" name="Picture 48">
          <a:extLst>
            <a:ext uri="{FF2B5EF4-FFF2-40B4-BE49-F238E27FC236}">
              <a16:creationId xmlns:a16="http://schemas.microsoft.com/office/drawing/2014/main" id="{00000000-0008-0000-0200-00003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1106150"/>
          <a:ext cx="4095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66675</xdr:colOff>
      <xdr:row>45</xdr:row>
      <xdr:rowOff>0</xdr:rowOff>
    </xdr:from>
    <xdr:to>
      <xdr:col>8</xdr:col>
      <xdr:colOff>238125</xdr:colOff>
      <xdr:row>45</xdr:row>
      <xdr:rowOff>304800</xdr:rowOff>
    </xdr:to>
    <xdr:pic>
      <xdr:nvPicPr>
        <xdr:cNvPr id="9278" name="Picture 49">
          <a:extLst>
            <a:ext uri="{FF2B5EF4-FFF2-40B4-BE49-F238E27FC236}">
              <a16:creationId xmlns:a16="http://schemas.microsoft.com/office/drawing/2014/main" id="{00000000-0008-0000-0200-00003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4876800" y="10801350"/>
          <a:ext cx="304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66675</xdr:colOff>
      <xdr:row>20</xdr:row>
      <xdr:rowOff>47625</xdr:rowOff>
    </xdr:from>
    <xdr:to>
      <xdr:col>8</xdr:col>
      <xdr:colOff>400050</xdr:colOff>
      <xdr:row>20</xdr:row>
      <xdr:rowOff>381000</xdr:rowOff>
    </xdr:to>
    <xdr:pic>
      <xdr:nvPicPr>
        <xdr:cNvPr id="9279" name="Picture 50">
          <a:extLst>
            <a:ext uri="{FF2B5EF4-FFF2-40B4-BE49-F238E27FC236}">
              <a16:creationId xmlns:a16="http://schemas.microsoft.com/office/drawing/2014/main" id="{00000000-0008-0000-02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4286250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19</xdr:row>
      <xdr:rowOff>38100</xdr:rowOff>
    </xdr:from>
    <xdr:to>
      <xdr:col>8</xdr:col>
      <xdr:colOff>400050</xdr:colOff>
      <xdr:row>20</xdr:row>
      <xdr:rowOff>0</xdr:rowOff>
    </xdr:to>
    <xdr:pic>
      <xdr:nvPicPr>
        <xdr:cNvPr id="9280" name="Picture 51">
          <a:extLst>
            <a:ext uri="{FF2B5EF4-FFF2-40B4-BE49-F238E27FC236}">
              <a16:creationId xmlns:a16="http://schemas.microsoft.com/office/drawing/2014/main" id="{00000000-0008-0000-02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3886200"/>
          <a:ext cx="3524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17</xdr:row>
      <xdr:rowOff>28575</xdr:rowOff>
    </xdr:from>
    <xdr:to>
      <xdr:col>8</xdr:col>
      <xdr:colOff>400050</xdr:colOff>
      <xdr:row>17</xdr:row>
      <xdr:rowOff>381000</xdr:rowOff>
    </xdr:to>
    <xdr:pic>
      <xdr:nvPicPr>
        <xdr:cNvPr id="9281" name="Picture 52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3095625"/>
          <a:ext cx="3429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18</xdr:row>
      <xdr:rowOff>47625</xdr:rowOff>
    </xdr:from>
    <xdr:to>
      <xdr:col>8</xdr:col>
      <xdr:colOff>390525</xdr:colOff>
      <xdr:row>19</xdr:row>
      <xdr:rowOff>9525</xdr:rowOff>
    </xdr:to>
    <xdr:pic>
      <xdr:nvPicPr>
        <xdr:cNvPr id="9282" name="Picture 53">
          <a:extLst>
            <a:ext uri="{FF2B5EF4-FFF2-40B4-BE49-F238E27FC236}">
              <a16:creationId xmlns:a16="http://schemas.microsoft.com/office/drawing/2014/main" id="{00000000-0008-0000-02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3505200"/>
          <a:ext cx="3429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76200</xdr:colOff>
          <xdr:row>26</xdr:row>
          <xdr:rowOff>9525</xdr:rowOff>
        </xdr:from>
        <xdr:to>
          <xdr:col>8</xdr:col>
          <xdr:colOff>419100</xdr:colOff>
          <xdr:row>26</xdr:row>
          <xdr:rowOff>352425</xdr:rowOff>
        </xdr:to>
        <xdr:sp macro="" textlink="">
          <xdr:nvSpPr>
            <xdr:cNvPr id="9270" name="Object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0200-00003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85725</xdr:colOff>
      <xdr:row>27</xdr:row>
      <xdr:rowOff>28575</xdr:rowOff>
    </xdr:from>
    <xdr:to>
      <xdr:col>8</xdr:col>
      <xdr:colOff>419100</xdr:colOff>
      <xdr:row>27</xdr:row>
      <xdr:rowOff>342900</xdr:rowOff>
    </xdr:to>
    <xdr:pic>
      <xdr:nvPicPr>
        <xdr:cNvPr id="9283" name="Picture 55">
          <a:extLst>
            <a:ext uri="{FF2B5EF4-FFF2-40B4-BE49-F238E27FC236}">
              <a16:creationId xmlns:a16="http://schemas.microsoft.com/office/drawing/2014/main" id="{00000000-0008-0000-0200-00004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6562725"/>
          <a:ext cx="3333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10" Target="../embeddings/oleObject4.bin" Type="http://schemas.openxmlformats.org/officeDocument/2006/relationships/oleObject"/><Relationship Id="rId11" Target="../media/image5.emf" Type="http://schemas.openxmlformats.org/officeDocument/2006/relationships/image"/><Relationship Id="rId12" Target="../embeddings/oleObject5.bin" Type="http://schemas.openxmlformats.org/officeDocument/2006/relationships/oleObject"/><Relationship Id="rId13" Target="../media/image6.emf" Type="http://schemas.openxmlformats.org/officeDocument/2006/relationships/image"/><Relationship Id="rId14" Target="../embeddings/oleObject6.bin" Type="http://schemas.openxmlformats.org/officeDocument/2006/relationships/oleObject"/><Relationship Id="rId15" Target="../media/image7.emf" Type="http://schemas.openxmlformats.org/officeDocument/2006/relationships/image"/><Relationship Id="rId16" Target="../embeddings/oleObject7.bin" Type="http://schemas.openxmlformats.org/officeDocument/2006/relationships/oleObject"/><Relationship Id="rId17" Target="../embeddings/oleObject8.bin" Type="http://schemas.openxmlformats.org/officeDocument/2006/relationships/oleObject"/><Relationship Id="rId18" Target="../media/image8.wmf" Type="http://schemas.openxmlformats.org/officeDocument/2006/relationships/image"/><Relationship Id="rId2" Target="../drawings/drawing2.xml" Type="http://schemas.openxmlformats.org/officeDocument/2006/relationships/drawing"/><Relationship Id="rId3" Target="../drawings/vmlDrawing1.vml" Type="http://schemas.openxmlformats.org/officeDocument/2006/relationships/vmlDrawing"/><Relationship Id="rId4" Target="../embeddings/oleObject1.bin" Type="http://schemas.openxmlformats.org/officeDocument/2006/relationships/oleObject"/><Relationship Id="rId5" Target="../media/image2.emf" Type="http://schemas.openxmlformats.org/officeDocument/2006/relationships/image"/><Relationship Id="rId6" Target="../embeddings/oleObject2.bin" Type="http://schemas.openxmlformats.org/officeDocument/2006/relationships/oleObject"/><Relationship Id="rId7" Target="../media/image3.wmf" Type="http://schemas.openxmlformats.org/officeDocument/2006/relationships/image"/><Relationship Id="rId8" Target="../embeddings/oleObject3.bin" Type="http://schemas.openxmlformats.org/officeDocument/2006/relationships/oleObject"/><Relationship Id="rId9" Target="../media/image4.emf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>
    <pageSetUpPr fitToPage="1"/>
  </sheetPr>
  <dimension ref="A1:I162"/>
  <sheetViews>
    <sheetView topLeftCell="A2" zoomScaleNormal="100" workbookViewId="0">
      <selection activeCell="D25" sqref="D25"/>
    </sheetView>
  </sheetViews>
  <sheetFormatPr baseColWidth="10" defaultColWidth="8.85546875" defaultRowHeight="12.75"/>
  <cols>
    <col min="1" max="1" width="21.140625" customWidth="1"/>
    <col min="2" max="2" width="13.28515625" style="18" customWidth="1"/>
    <col min="3" max="3" width="12.28515625" style="11" customWidth="1"/>
    <col min="4" max="4" width="85.28515625" customWidth="1"/>
    <col min="5" max="5" width="22.140625" customWidth="1"/>
    <col min="6" max="256" width="11.42578125" customWidth="1"/>
  </cols>
  <sheetData>
    <row r="1" spans="1:9">
      <c r="A1" s="9" t="s">
        <v>0</v>
      </c>
      <c r="B1" s="10" t="s">
        <v>1</v>
      </c>
      <c r="C1" s="267" t="s">
        <v>2</v>
      </c>
      <c r="D1" s="9" t="s">
        <v>3</v>
      </c>
      <c r="E1" s="3"/>
    </row>
    <row r="2" spans="1:9">
      <c r="A2" s="21"/>
      <c r="C2" s="26"/>
      <c r="D2" s="21"/>
      <c r="E2" s="21"/>
      <c r="F2" s="21"/>
      <c r="G2" s="18"/>
      <c r="H2" s="26"/>
      <c r="I2" s="13"/>
    </row>
    <row r="3" spans="1:9">
      <c r="A3" s="256" t="s">
        <v>4</v>
      </c>
      <c r="B3" s="257" t="s">
        <v>5</v>
      </c>
      <c r="C3" s="258">
        <v>39947</v>
      </c>
      <c r="D3" s="259" t="s">
        <v>6</v>
      </c>
      <c r="E3" s="21"/>
      <c r="F3" s="21"/>
      <c r="G3" s="18"/>
      <c r="H3" s="26"/>
      <c r="I3" s="14"/>
    </row>
    <row r="4" spans="1:9">
      <c r="A4" s="247"/>
      <c r="B4" s="248"/>
      <c r="C4" s="268"/>
      <c r="D4" s="264"/>
      <c r="E4" s="21"/>
      <c r="F4" s="21"/>
      <c r="G4" s="18"/>
      <c r="H4" s="26"/>
      <c r="I4" s="13"/>
    </row>
    <row r="5" spans="1:9">
      <c r="A5" s="256"/>
      <c r="B5" s="257" t="s">
        <v>7</v>
      </c>
      <c r="C5" s="258">
        <v>39983</v>
      </c>
      <c r="D5" s="259" t="s">
        <v>8</v>
      </c>
      <c r="E5" s="21"/>
      <c r="F5" s="21"/>
      <c r="G5" s="18"/>
      <c r="H5" s="26"/>
      <c r="I5" s="15"/>
    </row>
    <row r="6" spans="1:9">
      <c r="A6" s="250"/>
      <c r="B6" s="10"/>
      <c r="C6" s="251"/>
      <c r="D6" s="266"/>
      <c r="E6" s="21"/>
      <c r="F6" s="21"/>
      <c r="G6" s="18"/>
      <c r="H6" s="26"/>
      <c r="I6" s="15"/>
    </row>
    <row r="7" spans="1:9">
      <c r="A7" s="247" t="s">
        <v>9</v>
      </c>
      <c r="B7" s="248" t="s">
        <v>10</v>
      </c>
      <c r="C7" s="249">
        <v>40016</v>
      </c>
      <c r="D7" s="265" t="s">
        <v>11</v>
      </c>
      <c r="E7" s="21"/>
      <c r="F7" s="21"/>
      <c r="G7" s="18"/>
      <c r="H7" s="26"/>
      <c r="I7" s="13"/>
    </row>
    <row r="8" spans="1:9">
      <c r="A8" s="247"/>
      <c r="B8" s="248"/>
      <c r="C8" s="268"/>
      <c r="D8" s="263" t="s">
        <v>12</v>
      </c>
      <c r="E8" s="21"/>
      <c r="F8" s="21"/>
      <c r="G8" s="18"/>
      <c r="H8" s="26"/>
      <c r="I8" s="15"/>
    </row>
    <row r="9" spans="1:9">
      <c r="A9" s="250"/>
      <c r="B9" s="10"/>
      <c r="C9" s="251"/>
      <c r="D9" s="262"/>
      <c r="E9" s="21"/>
      <c r="F9" s="21"/>
      <c r="G9" s="18"/>
      <c r="H9" s="26"/>
    </row>
    <row r="10" spans="1:9">
      <c r="A10" s="256" t="s">
        <v>13</v>
      </c>
      <c r="B10" s="257"/>
      <c r="C10" s="258">
        <v>40018</v>
      </c>
      <c r="D10" s="261" t="s">
        <v>14</v>
      </c>
      <c r="E10" s="21"/>
      <c r="F10" s="21"/>
      <c r="G10" s="18"/>
      <c r="H10" s="26"/>
      <c r="I10" s="15"/>
    </row>
    <row r="11" spans="1:9">
      <c r="A11" s="250"/>
      <c r="B11" s="10"/>
      <c r="C11" s="251"/>
      <c r="D11" s="262"/>
      <c r="E11" s="21"/>
      <c r="F11" s="21"/>
      <c r="G11" s="18"/>
      <c r="H11" s="26"/>
      <c r="I11" s="13"/>
    </row>
    <row r="12" spans="1:9">
      <c r="A12" s="256" t="s">
        <v>13</v>
      </c>
      <c r="B12" s="257"/>
      <c r="C12" s="258">
        <v>45001</v>
      </c>
      <c r="D12" s="259" t="s">
        <v>15</v>
      </c>
      <c r="E12" s="21"/>
      <c r="F12" s="21"/>
      <c r="G12" s="18"/>
      <c r="H12" s="26"/>
      <c r="I12" s="19"/>
    </row>
    <row r="13" spans="1:9">
      <c r="A13" s="250"/>
      <c r="B13" s="10"/>
      <c r="C13" s="251"/>
      <c r="D13" s="260"/>
      <c r="E13" s="21"/>
      <c r="F13" s="21"/>
      <c r="G13" s="18"/>
      <c r="H13" s="26"/>
      <c r="I13" s="15"/>
    </row>
    <row r="14" spans="1:9">
      <c r="A14" s="237" t="s">
        <v>223</v>
      </c>
      <c r="B14" s="238" t="s">
        <v>235</v>
      </c>
      <c r="C14" s="239">
        <v>45946</v>
      </c>
      <c r="D14" s="240" t="s">
        <v>232</v>
      </c>
      <c r="E14" s="21"/>
      <c r="F14" s="21"/>
      <c r="G14" s="18"/>
      <c r="H14" s="26"/>
      <c r="I14" s="16"/>
    </row>
    <row r="15" spans="1:9">
      <c r="A15" s="241"/>
      <c r="B15" s="242"/>
      <c r="C15" s="243"/>
      <c r="D15" s="244" t="s">
        <v>233</v>
      </c>
      <c r="E15" s="21"/>
      <c r="F15" s="21"/>
      <c r="G15" s="18"/>
      <c r="H15" s="26"/>
      <c r="I15" s="13"/>
    </row>
    <row r="16" spans="1:9">
      <c r="A16" s="241"/>
      <c r="B16" s="242"/>
      <c r="C16" s="245"/>
      <c r="D16" s="246" t="s">
        <v>234</v>
      </c>
      <c r="E16" s="21"/>
      <c r="F16" s="21"/>
      <c r="G16" s="18"/>
      <c r="H16" s="26"/>
      <c r="I16" s="13"/>
    </row>
    <row r="17" spans="1:9">
      <c r="A17" s="247"/>
      <c r="B17" s="248"/>
      <c r="C17" s="249"/>
      <c r="D17" s="246" t="s">
        <v>242</v>
      </c>
      <c r="E17" s="21"/>
      <c r="F17" s="21"/>
      <c r="G17" s="18"/>
      <c r="H17" s="26"/>
      <c r="I17" s="13"/>
    </row>
    <row r="18" spans="1:9">
      <c r="A18" s="247"/>
      <c r="B18" s="248"/>
      <c r="C18" s="249"/>
      <c r="D18" s="246" t="s">
        <v>243</v>
      </c>
      <c r="E18" s="21"/>
      <c r="F18" s="21"/>
      <c r="G18" s="18"/>
      <c r="H18" s="26"/>
      <c r="I18" s="13"/>
    </row>
    <row r="19" spans="1:9">
      <c r="A19" s="247"/>
      <c r="B19" s="248"/>
      <c r="C19" s="249"/>
      <c r="D19" s="246" t="s">
        <v>282</v>
      </c>
      <c r="E19" s="21"/>
      <c r="F19" s="21"/>
      <c r="G19" s="18"/>
      <c r="H19" s="26"/>
      <c r="I19" s="13"/>
    </row>
    <row r="20" spans="1:9">
      <c r="A20" s="250"/>
      <c r="B20" s="10"/>
      <c r="C20" s="251"/>
      <c r="D20" s="252"/>
      <c r="E20" s="21"/>
      <c r="F20" s="21"/>
      <c r="G20" s="18"/>
      <c r="H20" s="26"/>
      <c r="I20" s="13"/>
    </row>
    <row r="21" spans="1:9">
      <c r="A21" s="253" t="s">
        <v>283</v>
      </c>
      <c r="B21" s="254" t="s">
        <v>284</v>
      </c>
      <c r="C21" s="269">
        <v>45992</v>
      </c>
      <c r="D21" s="255" t="s">
        <v>285</v>
      </c>
      <c r="E21" s="21"/>
      <c r="F21" s="21"/>
      <c r="G21" s="18"/>
      <c r="H21" s="27"/>
      <c r="I21" s="16"/>
    </row>
    <row r="22" spans="1:9">
      <c r="A22" s="247"/>
      <c r="B22" s="248"/>
      <c r="C22" s="249"/>
      <c r="D22" s="246" t="s">
        <v>286</v>
      </c>
      <c r="E22" s="21"/>
      <c r="F22" s="21"/>
      <c r="G22" s="18"/>
      <c r="H22" s="27"/>
      <c r="I22" s="13"/>
    </row>
    <row r="23" spans="1:9">
      <c r="A23" s="247"/>
      <c r="B23" s="248"/>
      <c r="C23" s="249"/>
      <c r="D23" s="246" t="s">
        <v>287</v>
      </c>
      <c r="E23" s="21"/>
      <c r="F23" s="21"/>
      <c r="G23" s="18"/>
      <c r="H23" s="27"/>
      <c r="I23" s="13"/>
    </row>
    <row r="24" spans="1:9">
      <c r="A24" s="250"/>
      <c r="B24" s="10"/>
      <c r="C24" s="251"/>
      <c r="D24" s="252"/>
      <c r="E24" s="21"/>
      <c r="F24" s="21"/>
      <c r="G24" s="18"/>
      <c r="H24" s="27"/>
      <c r="I24" s="13"/>
    </row>
    <row r="25" spans="1:9">
      <c r="A25" s="21"/>
      <c r="C25" s="26"/>
      <c r="D25" s="15"/>
      <c r="E25" s="21"/>
      <c r="F25" s="21"/>
      <c r="G25" s="18"/>
      <c r="H25" s="27"/>
      <c r="I25" s="13"/>
    </row>
    <row r="26" spans="1:9">
      <c r="A26" s="21"/>
      <c r="C26" s="26"/>
      <c r="D26" s="15"/>
      <c r="E26" s="21"/>
      <c r="F26" s="21"/>
      <c r="G26" s="18"/>
      <c r="H26" s="27"/>
      <c r="I26" s="13"/>
    </row>
    <row r="27" spans="1:9">
      <c r="A27" s="21"/>
      <c r="C27" s="26"/>
      <c r="D27" s="15"/>
      <c r="E27" s="21"/>
      <c r="F27" s="21"/>
      <c r="G27" s="18"/>
      <c r="H27" s="27"/>
      <c r="I27" s="13"/>
    </row>
    <row r="28" spans="1:9">
      <c r="A28" s="21"/>
      <c r="C28" s="26"/>
      <c r="D28" s="15"/>
      <c r="E28" s="21"/>
      <c r="F28" s="21"/>
      <c r="G28" s="18"/>
      <c r="H28" s="27"/>
      <c r="I28" s="13"/>
    </row>
    <row r="29" spans="1:9">
      <c r="A29" s="21"/>
      <c r="C29" s="26"/>
      <c r="D29" s="15"/>
      <c r="E29" s="21"/>
    </row>
    <row r="30" spans="1:9">
      <c r="A30" s="21"/>
      <c r="C30" s="26"/>
      <c r="D30" s="15"/>
      <c r="E30" s="21"/>
      <c r="F30" s="18"/>
      <c r="G30" s="26"/>
      <c r="H30" s="13"/>
    </row>
    <row r="31" spans="1:9">
      <c r="A31" s="21"/>
      <c r="C31" s="26"/>
      <c r="D31" s="4"/>
      <c r="F31" s="18"/>
      <c r="G31" s="12"/>
    </row>
    <row r="32" spans="1:9">
      <c r="A32" s="21"/>
      <c r="C32" s="26"/>
      <c r="D32" s="15"/>
      <c r="E32" s="21"/>
      <c r="F32" s="18"/>
      <c r="G32" s="27"/>
      <c r="H32" s="13"/>
    </row>
    <row r="33" spans="1:8">
      <c r="A33" s="21"/>
      <c r="D33" s="12"/>
      <c r="G33" s="27"/>
      <c r="H33" s="13"/>
    </row>
    <row r="34" spans="1:8">
      <c r="A34" s="21"/>
      <c r="C34" s="26"/>
      <c r="D34" s="15"/>
    </row>
    <row r="35" spans="1:8">
      <c r="D35" s="15"/>
    </row>
    <row r="36" spans="1:8">
      <c r="D36" s="15"/>
    </row>
    <row r="37" spans="1:8">
      <c r="D37" s="15"/>
    </row>
    <row r="38" spans="1:8">
      <c r="D38" s="15"/>
    </row>
    <row r="39" spans="1:8">
      <c r="A39" s="21"/>
      <c r="C39" s="26"/>
      <c r="D39" s="15"/>
    </row>
    <row r="40" spans="1:8">
      <c r="A40" s="21"/>
      <c r="C40" s="26"/>
      <c r="D40" s="19"/>
    </row>
    <row r="41" spans="1:8">
      <c r="A41" s="21"/>
      <c r="C41" s="26"/>
      <c r="D41" s="15"/>
    </row>
    <row r="42" spans="1:8">
      <c r="D42" s="12"/>
    </row>
    <row r="43" spans="1:8">
      <c r="C43" s="26"/>
      <c r="D43" s="12"/>
    </row>
    <row r="44" spans="1:8">
      <c r="A44" s="21"/>
      <c r="D44" s="12"/>
    </row>
    <row r="45" spans="1:8">
      <c r="C45" s="26"/>
      <c r="D45" s="12"/>
    </row>
    <row r="48" spans="1:8">
      <c r="D48" s="12"/>
    </row>
    <row r="49" spans="4:8">
      <c r="D49" s="12"/>
    </row>
    <row r="52" spans="4:8">
      <c r="D52" s="12"/>
      <c r="E52" s="1"/>
      <c r="F52" s="1"/>
      <c r="G52" s="7"/>
      <c r="H52" s="7"/>
    </row>
    <row r="53" spans="4:8">
      <c r="D53" s="8"/>
    </row>
    <row r="54" spans="4:8">
      <c r="D54" s="8"/>
    </row>
    <row r="56" spans="4:8">
      <c r="D56" s="4"/>
    </row>
    <row r="57" spans="4:8">
      <c r="D57" s="4"/>
    </row>
    <row r="58" spans="4:8">
      <c r="D58" s="8"/>
    </row>
    <row r="60" spans="4:8">
      <c r="D60" s="4"/>
    </row>
    <row r="61" spans="4:8">
      <c r="D61" s="6"/>
      <c r="E61" s="6"/>
      <c r="F61" s="4"/>
    </row>
    <row r="62" spans="4:8">
      <c r="D62" s="8"/>
      <c r="E62" s="1"/>
      <c r="F62" s="2"/>
    </row>
    <row r="63" spans="4:8">
      <c r="D63" s="8"/>
      <c r="E63" s="1"/>
      <c r="F63" s="2"/>
    </row>
    <row r="64" spans="4:8">
      <c r="E64" s="1"/>
      <c r="F64" s="2"/>
    </row>
    <row r="65" spans="5:6">
      <c r="E65" s="1"/>
      <c r="F65" s="2"/>
    </row>
    <row r="83" spans="4:4">
      <c r="D83" s="17"/>
    </row>
    <row r="125" spans="5:5">
      <c r="E125" t="s">
        <v>16</v>
      </c>
    </row>
    <row r="140" spans="4:4">
      <c r="D140" s="2"/>
    </row>
    <row r="162" spans="4:4">
      <c r="D162" s="2"/>
    </row>
  </sheetData>
  <phoneticPr fontId="0" type="noConversion"/>
  <pageMargins left="0.39370078740157483" right="0.19685039370078741" top="0.98425196850393704" bottom="0.98425196850393704" header="0.51181102362204722" footer="0.51181102362204722"/>
  <pageSetup paperSize="9" scale="9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N187"/>
  <sheetViews>
    <sheetView tabSelected="1" view="pageBreakPreview" zoomScaleNormal="86" zoomScaleSheetLayoutView="100" workbookViewId="0">
      <pane ySplit="5" topLeftCell="A6" activePane="bottomLeft" state="frozen"/>
      <selection pane="bottomLeft" activeCell="E95" sqref="E95"/>
    </sheetView>
  </sheetViews>
  <sheetFormatPr baseColWidth="10" defaultColWidth="11.42578125" defaultRowHeight="12.75"/>
  <cols>
    <col min="1" max="1" width="5.42578125" style="4" customWidth="1"/>
    <col min="2" max="2" width="11.85546875" style="83" customWidth="1"/>
    <col min="3" max="3" width="14.7109375" style="6" customWidth="1"/>
    <col min="4" max="4" width="14" style="236" customWidth="1"/>
    <col min="5" max="5" width="28.28515625" style="236" customWidth="1"/>
    <col min="6" max="6" width="3.5703125" style="84" customWidth="1"/>
    <col min="7" max="8" width="2.7109375" style="84" customWidth="1"/>
    <col min="9" max="9" width="2.7109375" style="97" customWidth="1"/>
    <col min="10" max="11" width="3.85546875" style="97" customWidth="1"/>
    <col min="12" max="12" width="9.5703125" style="97" customWidth="1"/>
    <col min="13" max="15" width="3.85546875" style="97" customWidth="1"/>
    <col min="16" max="16" width="8.42578125" style="97" customWidth="1"/>
    <col min="17" max="17" width="29.28515625" style="4" customWidth="1"/>
    <col min="18" max="18" width="4.85546875" style="85" customWidth="1"/>
    <col min="19" max="19" width="4.140625" style="6" customWidth="1"/>
    <col min="20" max="20" width="3.28515625" style="6" customWidth="1"/>
    <col min="21" max="21" width="15.42578125" style="4" customWidth="1"/>
    <col min="22" max="23" width="7.5703125" style="47" customWidth="1"/>
    <col min="24" max="24" width="17.28515625" style="48" customWidth="1"/>
    <col min="25" max="25" width="3.42578125" style="48" customWidth="1"/>
    <col min="26" max="26" width="22.42578125" style="4" customWidth="1"/>
    <col min="27" max="16384" width="11.42578125" style="4"/>
  </cols>
  <sheetData>
    <row r="1" spans="1:32" s="24" customFormat="1" ht="42.75" customHeight="1">
      <c r="A1" s="306" t="s">
        <v>17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194" t="s">
        <v>196</v>
      </c>
    </row>
    <row r="2" spans="1:32" ht="5.25" customHeight="1">
      <c r="A2" s="308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10"/>
      <c r="V2" s="309"/>
      <c r="W2" s="309"/>
      <c r="X2" s="309"/>
      <c r="Y2" s="311"/>
      <c r="Z2" s="195"/>
    </row>
    <row r="3" spans="1:32" s="25" customFormat="1">
      <c r="A3" s="325" t="s">
        <v>18</v>
      </c>
      <c r="B3" s="325"/>
      <c r="C3" s="72"/>
      <c r="D3" s="225"/>
      <c r="E3" s="270"/>
      <c r="F3" s="70"/>
      <c r="G3" s="70"/>
      <c r="H3" s="70"/>
      <c r="I3" s="324" t="s">
        <v>19</v>
      </c>
      <c r="J3" s="316"/>
      <c r="K3" s="316"/>
      <c r="L3" s="317"/>
      <c r="M3" s="324" t="s">
        <v>20</v>
      </c>
      <c r="N3" s="316"/>
      <c r="O3" s="316"/>
      <c r="P3" s="317"/>
      <c r="Q3" s="60"/>
      <c r="R3" s="73"/>
      <c r="S3" s="72"/>
      <c r="T3" s="70"/>
      <c r="U3" s="117"/>
      <c r="V3" s="42" t="s">
        <v>21</v>
      </c>
      <c r="W3" s="42"/>
      <c r="X3" s="43"/>
      <c r="Y3" s="44" t="s">
        <v>22</v>
      </c>
      <c r="Z3" s="196"/>
    </row>
    <row r="4" spans="1:32" s="25" customFormat="1" ht="12.75" customHeight="1">
      <c r="A4" s="312" t="s">
        <v>23</v>
      </c>
      <c r="B4" s="313"/>
      <c r="C4" s="71" t="s">
        <v>24</v>
      </c>
      <c r="D4" s="226"/>
      <c r="E4" s="271"/>
      <c r="F4" s="59"/>
      <c r="G4" s="70"/>
      <c r="H4" s="59"/>
      <c r="I4" s="102" t="s">
        <v>25</v>
      </c>
      <c r="J4" s="92"/>
      <c r="K4" s="92"/>
      <c r="L4" s="92"/>
      <c r="M4" s="316" t="s">
        <v>26</v>
      </c>
      <c r="N4" s="317"/>
      <c r="O4" s="316" t="s">
        <v>27</v>
      </c>
      <c r="P4" s="317"/>
      <c r="Q4" s="61"/>
      <c r="R4" s="314" t="s">
        <v>28</v>
      </c>
      <c r="S4" s="74" t="s">
        <v>29</v>
      </c>
      <c r="T4" s="70" t="s">
        <v>30</v>
      </c>
      <c r="U4" s="318" t="s">
        <v>31</v>
      </c>
      <c r="V4" s="320" t="s">
        <v>32</v>
      </c>
      <c r="W4" s="322" t="s">
        <v>33</v>
      </c>
      <c r="X4" s="43" t="s">
        <v>34</v>
      </c>
      <c r="Y4" s="322" t="s">
        <v>35</v>
      </c>
      <c r="Z4" s="196"/>
    </row>
    <row r="5" spans="1:32" s="25" customFormat="1" ht="12">
      <c r="A5" s="62" t="s">
        <v>36</v>
      </c>
      <c r="B5" s="75" t="s">
        <v>37</v>
      </c>
      <c r="C5" s="62" t="s">
        <v>38</v>
      </c>
      <c r="D5" s="227" t="s">
        <v>398</v>
      </c>
      <c r="E5" s="227" t="s">
        <v>39</v>
      </c>
      <c r="F5" s="62" t="s">
        <v>40</v>
      </c>
      <c r="G5" s="70" t="s">
        <v>41</v>
      </c>
      <c r="H5" s="62" t="s">
        <v>42</v>
      </c>
      <c r="I5" s="93" t="s">
        <v>43</v>
      </c>
      <c r="J5" s="93" t="s">
        <v>44</v>
      </c>
      <c r="K5" s="93" t="s">
        <v>45</v>
      </c>
      <c r="L5" s="93" t="s">
        <v>46</v>
      </c>
      <c r="M5" s="93" t="s">
        <v>47</v>
      </c>
      <c r="N5" s="94" t="s">
        <v>48</v>
      </c>
      <c r="O5" s="94" t="s">
        <v>48</v>
      </c>
      <c r="P5" s="95" t="s">
        <v>49</v>
      </c>
      <c r="Q5" s="63" t="s">
        <v>50</v>
      </c>
      <c r="R5" s="315"/>
      <c r="S5" s="76" t="s">
        <v>51</v>
      </c>
      <c r="T5" s="77" t="s">
        <v>52</v>
      </c>
      <c r="U5" s="319"/>
      <c r="V5" s="321"/>
      <c r="W5" s="323"/>
      <c r="X5" s="45" t="s">
        <v>53</v>
      </c>
      <c r="Y5" s="323"/>
      <c r="Z5" s="196"/>
    </row>
    <row r="6" spans="1:32" s="25" customFormat="1">
      <c r="A6" s="59"/>
      <c r="B6" s="78"/>
      <c r="C6" s="59"/>
      <c r="D6" s="228"/>
      <c r="E6" s="230"/>
      <c r="F6" s="59"/>
      <c r="G6" s="59"/>
      <c r="H6" s="59"/>
      <c r="I6" s="91"/>
      <c r="J6" s="91"/>
      <c r="K6" s="91"/>
      <c r="L6" s="91"/>
      <c r="M6" s="91"/>
      <c r="N6" s="91"/>
      <c r="O6" s="91"/>
      <c r="P6" s="96"/>
      <c r="Q6" s="64"/>
      <c r="R6" s="79"/>
      <c r="S6" s="80"/>
      <c r="T6" s="81"/>
      <c r="U6" s="82"/>
      <c r="V6" s="46"/>
      <c r="W6" s="46"/>
      <c r="X6" s="43"/>
      <c r="Y6" s="46"/>
      <c r="Z6" s="196"/>
    </row>
    <row r="7" spans="1:32" s="25" customFormat="1">
      <c r="A7" s="59"/>
      <c r="B7" s="78"/>
      <c r="C7" s="59"/>
      <c r="D7" s="228"/>
      <c r="E7" s="230"/>
      <c r="F7" s="59"/>
      <c r="G7" s="59"/>
      <c r="H7" s="59"/>
      <c r="I7" s="91"/>
      <c r="J7" s="91"/>
      <c r="K7" s="91"/>
      <c r="L7" s="91"/>
      <c r="M7" s="91"/>
      <c r="N7" s="91"/>
      <c r="O7" s="91"/>
      <c r="P7" s="96"/>
      <c r="Q7" s="64"/>
      <c r="R7" s="79"/>
      <c r="S7" s="80"/>
      <c r="T7" s="81"/>
      <c r="U7" s="82"/>
      <c r="V7" s="46"/>
      <c r="W7" s="46"/>
      <c r="X7" s="43"/>
      <c r="Y7" s="46"/>
      <c r="Z7" s="196"/>
    </row>
    <row r="8" spans="1:32" s="20" customFormat="1" ht="12" customHeight="1">
      <c r="A8" s="6"/>
      <c r="B8" s="55"/>
      <c r="C8" s="55"/>
      <c r="D8" s="349" t="s">
        <v>54</v>
      </c>
      <c r="E8" s="351" t="str">
        <f t="shared" ref="E8" si="0">D8</f>
        <v>Fahrtrichtung München</v>
      </c>
      <c r="F8" s="80"/>
      <c r="G8" s="80"/>
      <c r="H8" s="80"/>
      <c r="I8" s="1"/>
      <c r="J8" s="89"/>
      <c r="K8" s="7"/>
      <c r="L8" s="58"/>
      <c r="M8" s="7"/>
      <c r="N8" s="7"/>
      <c r="O8" s="58"/>
      <c r="P8" s="58"/>
      <c r="Q8" s="5"/>
      <c r="R8" s="158"/>
      <c r="S8" s="7"/>
      <c r="T8" s="7"/>
      <c r="U8" s="4"/>
      <c r="V8" s="37"/>
      <c r="W8" s="37"/>
      <c r="X8" s="37"/>
      <c r="Y8" s="37"/>
      <c r="Z8" s="197"/>
      <c r="AA8" s="21"/>
      <c r="AB8" s="21"/>
      <c r="AC8" s="21"/>
      <c r="AD8" s="21"/>
      <c r="AE8" s="21"/>
      <c r="AF8" s="21"/>
    </row>
    <row r="9" spans="1:32" s="22" customFormat="1" ht="12.6" customHeight="1">
      <c r="A9" s="57" t="s">
        <v>55</v>
      </c>
      <c r="B9" s="86">
        <v>81.114999999999995</v>
      </c>
      <c r="C9" s="57" t="s">
        <v>56</v>
      </c>
      <c r="D9" s="340" t="str">
        <f>Q9</f>
        <v>SSt 101</v>
      </c>
      <c r="E9" s="229" t="str">
        <f>D9</f>
        <v>SSt 101</v>
      </c>
      <c r="F9" s="65"/>
      <c r="G9" s="187">
        <v>9607881</v>
      </c>
      <c r="H9" s="187" t="str">
        <f>DEC2HEX(G9)</f>
        <v>929AC9</v>
      </c>
      <c r="I9" s="98"/>
      <c r="J9" s="100">
        <v>1</v>
      </c>
      <c r="K9" s="57"/>
      <c r="L9" s="57"/>
      <c r="M9" s="57">
        <v>201</v>
      </c>
      <c r="N9" s="57">
        <v>1</v>
      </c>
      <c r="O9" s="57"/>
      <c r="P9" s="57"/>
      <c r="Q9" s="65" t="s">
        <v>57</v>
      </c>
      <c r="R9" s="87"/>
      <c r="S9" s="88"/>
      <c r="T9" s="88"/>
      <c r="U9" s="6"/>
      <c r="V9" s="47"/>
      <c r="W9" s="47"/>
      <c r="X9" s="47"/>
      <c r="Y9" s="47"/>
      <c r="Z9" s="198"/>
    </row>
    <row r="10" spans="1:32" s="21" customFormat="1">
      <c r="A10" s="6" t="s">
        <v>55</v>
      </c>
      <c r="B10" s="192">
        <v>81.114999999999995</v>
      </c>
      <c r="C10" s="217" t="s">
        <v>61</v>
      </c>
      <c r="D10" s="341" t="s">
        <v>59</v>
      </c>
      <c r="E10" s="214" t="s">
        <v>326</v>
      </c>
      <c r="J10" s="89">
        <v>1</v>
      </c>
      <c r="K10" s="7">
        <v>4</v>
      </c>
      <c r="L10" s="7">
        <v>194</v>
      </c>
      <c r="M10" s="6">
        <v>201</v>
      </c>
      <c r="N10" s="7">
        <v>1</v>
      </c>
      <c r="O10" s="7">
        <v>4</v>
      </c>
      <c r="P10" s="7">
        <v>0</v>
      </c>
      <c r="Q10" s="21" t="str">
        <f>CONCATENATE(D10,", FR ",IF(OR(T10="W",T10="S"),"Lindau","München"))</f>
        <v>Cluster WVZ101_102, FR München</v>
      </c>
      <c r="R10" s="158"/>
      <c r="S10" s="7">
        <v>20</v>
      </c>
      <c r="T10" s="89" t="s">
        <v>60</v>
      </c>
      <c r="U10" s="1"/>
      <c r="V10" s="50"/>
      <c r="W10" s="49"/>
      <c r="X10" s="51"/>
      <c r="Y10" s="50"/>
      <c r="Z10" s="214" t="s">
        <v>197</v>
      </c>
      <c r="AA10"/>
      <c r="AB10"/>
      <c r="AC10"/>
      <c r="AD10"/>
      <c r="AE10"/>
      <c r="AF10"/>
    </row>
    <row r="11" spans="1:32" s="21" customFormat="1">
      <c r="A11" s="217" t="s">
        <v>55</v>
      </c>
      <c r="B11" s="217">
        <v>81.114999999999995</v>
      </c>
      <c r="C11" s="217" t="s">
        <v>58</v>
      </c>
      <c r="D11" s="342" t="s">
        <v>224</v>
      </c>
      <c r="E11" s="214" t="s">
        <v>197</v>
      </c>
      <c r="F11" s="217"/>
      <c r="G11" s="217"/>
      <c r="H11" s="217"/>
      <c r="I11" s="217"/>
      <c r="J11" s="218">
        <v>1</v>
      </c>
      <c r="K11" s="219">
        <v>4</v>
      </c>
      <c r="L11" s="219"/>
      <c r="M11" s="220">
        <v>201</v>
      </c>
      <c r="N11" s="219">
        <v>1</v>
      </c>
      <c r="O11" s="219">
        <v>4</v>
      </c>
      <c r="P11" s="219">
        <v>0</v>
      </c>
      <c r="Q11" s="221" t="str">
        <f>CONCATENATE(D11,", FR ",IF(OR(T11="W",T11="S"),"Lindau","München"))</f>
        <v>AQ WVZ101_102, FR München</v>
      </c>
      <c r="R11" s="222"/>
      <c r="S11" s="219">
        <v>20</v>
      </c>
      <c r="T11" s="218" t="s">
        <v>60</v>
      </c>
      <c r="U11" s="219"/>
      <c r="V11" s="219"/>
      <c r="W11" s="217"/>
      <c r="X11" s="221"/>
      <c r="Y11" s="219"/>
      <c r="Z11" s="214"/>
      <c r="AA11"/>
      <c r="AB11"/>
      <c r="AC11"/>
      <c r="AD11"/>
      <c r="AE11"/>
      <c r="AF11"/>
    </row>
    <row r="12" spans="1:32" s="21" customFormat="1" ht="12" customHeight="1">
      <c r="A12" s="6" t="str">
        <f>A10</f>
        <v>A 96</v>
      </c>
      <c r="B12" s="55">
        <f>B10</f>
        <v>81.114999999999995</v>
      </c>
      <c r="C12" s="55" t="s">
        <v>61</v>
      </c>
      <c r="D12" s="342" t="s">
        <v>244</v>
      </c>
      <c r="E12" s="214" t="s">
        <v>301</v>
      </c>
      <c r="F12" s="23"/>
      <c r="G12" s="23"/>
      <c r="H12" s="23"/>
      <c r="J12" s="89">
        <v>1</v>
      </c>
      <c r="K12" s="7">
        <v>4</v>
      </c>
      <c r="L12" s="7">
        <v>65</v>
      </c>
      <c r="M12" s="6">
        <v>201</v>
      </c>
      <c r="N12" s="7">
        <v>1</v>
      </c>
      <c r="O12" s="58">
        <v>4</v>
      </c>
      <c r="P12" s="58">
        <v>2</v>
      </c>
      <c r="Q12" s="21" t="str">
        <f>CONCATENATE(D12,", HFS,  FR ",IF(OR(T12="W",T12="S"),"Lindau","München"))</f>
        <v>WVZ101.1_B1, HFS,  FR München</v>
      </c>
      <c r="R12" s="158"/>
      <c r="S12" s="7">
        <v>20</v>
      </c>
      <c r="T12" s="89" t="s">
        <v>60</v>
      </c>
      <c r="U12" s="1" t="s">
        <v>62</v>
      </c>
      <c r="V12" s="36" t="s">
        <v>63</v>
      </c>
      <c r="W12" s="36">
        <v>3</v>
      </c>
      <c r="X12" s="53" t="s">
        <v>64</v>
      </c>
      <c r="Y12" s="36">
        <v>1</v>
      </c>
      <c r="Z12" s="197"/>
    </row>
    <row r="13" spans="1:32" s="21" customFormat="1" ht="12" customHeight="1">
      <c r="A13" s="6" t="str">
        <f>A12</f>
        <v>A 96</v>
      </c>
      <c r="B13" s="55">
        <f>B12</f>
        <v>81.114999999999995</v>
      </c>
      <c r="C13" s="55" t="s">
        <v>61</v>
      </c>
      <c r="D13" s="342" t="s">
        <v>245</v>
      </c>
      <c r="E13" s="214" t="s">
        <v>303</v>
      </c>
      <c r="J13" s="89">
        <v>1</v>
      </c>
      <c r="K13" s="7">
        <v>4</v>
      </c>
      <c r="L13" s="7">
        <v>73</v>
      </c>
      <c r="M13" s="6">
        <v>201</v>
      </c>
      <c r="N13" s="7">
        <v>1</v>
      </c>
      <c r="O13" s="58">
        <v>4</v>
      </c>
      <c r="P13" s="58">
        <v>3</v>
      </c>
      <c r="Q13" s="21" t="str">
        <f>CONCATENATE(D13,", HFS,  FR ",IF(OR(T13="W",T13="S"),"Lindau","München"))</f>
        <v>WVZ101.2_C1, HFS,  FR München</v>
      </c>
      <c r="R13" s="158"/>
      <c r="S13" s="7">
        <v>20</v>
      </c>
      <c r="T13" s="89" t="s">
        <v>60</v>
      </c>
      <c r="U13" s="1" t="s">
        <v>62</v>
      </c>
      <c r="V13" s="36"/>
      <c r="W13" s="36"/>
      <c r="X13" s="53"/>
      <c r="Y13" s="36"/>
      <c r="Z13" s="197"/>
    </row>
    <row r="14" spans="1:32" s="21" customFormat="1">
      <c r="A14" s="6" t="str">
        <f t="shared" ref="A14:B16" si="1">A12</f>
        <v>A 96</v>
      </c>
      <c r="B14" s="55">
        <f t="shared" si="1"/>
        <v>81.114999999999995</v>
      </c>
      <c r="C14" s="55" t="s">
        <v>61</v>
      </c>
      <c r="D14" s="342" t="s">
        <v>246</v>
      </c>
      <c r="E14" s="214" t="s">
        <v>302</v>
      </c>
      <c r="J14" s="89">
        <v>1</v>
      </c>
      <c r="K14" s="7">
        <v>4</v>
      </c>
      <c r="L14" s="7">
        <v>66</v>
      </c>
      <c r="M14" s="6">
        <v>201</v>
      </c>
      <c r="N14" s="7">
        <v>1</v>
      </c>
      <c r="O14" s="58">
        <v>4</v>
      </c>
      <c r="P14" s="58">
        <v>5</v>
      </c>
      <c r="Q14" s="21" t="str">
        <f>CONCATENATE(D14,", 1.UEFS, FR ",IF(OR(T14="W",T14="S"),"Lindau","München"))</f>
        <v>WVZ102.1_B2, 1.UEFS, FR München</v>
      </c>
      <c r="R14" s="158"/>
      <c r="S14" s="7">
        <v>20</v>
      </c>
      <c r="T14" s="89" t="s">
        <v>60</v>
      </c>
      <c r="U14" s="1" t="s">
        <v>62</v>
      </c>
      <c r="V14" s="36" t="s">
        <v>63</v>
      </c>
      <c r="W14" s="36">
        <v>3</v>
      </c>
      <c r="X14" s="53" t="s">
        <v>64</v>
      </c>
      <c r="Y14" s="36">
        <v>1</v>
      </c>
      <c r="Z14" s="197"/>
    </row>
    <row r="15" spans="1:32" s="21" customFormat="1">
      <c r="A15" s="6" t="str">
        <f t="shared" si="1"/>
        <v>A 96</v>
      </c>
      <c r="B15" s="55">
        <f t="shared" si="1"/>
        <v>81.114999999999995</v>
      </c>
      <c r="C15" s="55" t="s">
        <v>61</v>
      </c>
      <c r="D15" s="342" t="s">
        <v>247</v>
      </c>
      <c r="E15" s="214" t="s">
        <v>304</v>
      </c>
      <c r="J15" s="89">
        <v>1</v>
      </c>
      <c r="K15" s="7">
        <v>4</v>
      </c>
      <c r="L15" s="7">
        <v>74</v>
      </c>
      <c r="M15" s="6">
        <v>201</v>
      </c>
      <c r="N15" s="7">
        <v>1</v>
      </c>
      <c r="O15" s="58">
        <v>4</v>
      </c>
      <c r="P15" s="58">
        <v>6</v>
      </c>
      <c r="Q15" s="21" t="str">
        <f>CONCATENATE(D15,", 1.UEFS, FR ",IF(OR(T15="W",T15="S"),"Lindau","München"))</f>
        <v>WVZ102.2_C2, 1.UEFS, FR München</v>
      </c>
      <c r="R15" s="158"/>
      <c r="S15" s="7">
        <v>20</v>
      </c>
      <c r="T15" s="89" t="s">
        <v>60</v>
      </c>
      <c r="U15" s="1" t="s">
        <v>62</v>
      </c>
      <c r="V15" s="36" t="s">
        <v>63</v>
      </c>
      <c r="W15" s="36">
        <v>3</v>
      </c>
      <c r="X15" s="53" t="s">
        <v>64</v>
      </c>
      <c r="Y15" s="36">
        <v>1</v>
      </c>
      <c r="Z15" s="197"/>
    </row>
    <row r="16" spans="1:32" s="21" customFormat="1">
      <c r="A16" s="6" t="str">
        <f t="shared" si="1"/>
        <v>A 96</v>
      </c>
      <c r="B16" s="55">
        <f t="shared" si="1"/>
        <v>81.114999999999995</v>
      </c>
      <c r="C16" s="55" t="s">
        <v>61</v>
      </c>
      <c r="D16" s="342" t="s">
        <v>248</v>
      </c>
      <c r="E16" s="214" t="s">
        <v>305</v>
      </c>
      <c r="F16" s="101"/>
      <c r="G16" s="101"/>
      <c r="H16" s="101"/>
      <c r="J16" s="89">
        <v>1</v>
      </c>
      <c r="K16" s="7">
        <v>4</v>
      </c>
      <c r="L16" s="7">
        <v>25</v>
      </c>
      <c r="M16" s="6">
        <v>201</v>
      </c>
      <c r="N16" s="7">
        <v>1</v>
      </c>
      <c r="O16" s="58">
        <v>4</v>
      </c>
      <c r="P16" s="58">
        <v>101</v>
      </c>
      <c r="Q16" s="21" t="str">
        <f>CONCATENATE(D16,", HFS,  FR ",IF(OR(T16="W",T16="S"),"Lindau","München"))</f>
        <v xml:space="preserve"> BA101.1-2_BL1, HFS,  FR München</v>
      </c>
      <c r="R16" s="158"/>
      <c r="S16" s="7">
        <v>20</v>
      </c>
      <c r="T16" s="89" t="s">
        <v>60</v>
      </c>
      <c r="U16" s="1"/>
      <c r="V16" s="36" t="s">
        <v>63</v>
      </c>
      <c r="W16" s="36">
        <v>3</v>
      </c>
      <c r="X16" s="53" t="s">
        <v>64</v>
      </c>
      <c r="Y16" s="36">
        <v>1</v>
      </c>
      <c r="Z16" s="197"/>
    </row>
    <row r="17" spans="1:40" s="21" customFormat="1">
      <c r="A17" s="6" t="str">
        <f t="shared" ref="A17:B20" si="2">A16</f>
        <v>A 96</v>
      </c>
      <c r="B17" s="55">
        <f t="shared" si="2"/>
        <v>81.114999999999995</v>
      </c>
      <c r="C17" s="55" t="s">
        <v>61</v>
      </c>
      <c r="D17" s="342" t="s">
        <v>249</v>
      </c>
      <c r="E17" s="214" t="s">
        <v>306</v>
      </c>
      <c r="F17" s="80"/>
      <c r="G17" s="80"/>
      <c r="H17" s="80"/>
      <c r="J17" s="89">
        <v>1</v>
      </c>
      <c r="K17" s="7">
        <v>4</v>
      </c>
      <c r="L17" s="7">
        <v>26</v>
      </c>
      <c r="M17" s="6">
        <v>201</v>
      </c>
      <c r="N17" s="7">
        <v>1</v>
      </c>
      <c r="O17" s="58">
        <v>4</v>
      </c>
      <c r="P17" s="159">
        <v>102</v>
      </c>
      <c r="Q17" s="51" t="str">
        <f>CONCATENATE(D17,", 1.UEFS, FR ",IF(OR(T17="W",T17="S"),"Lindau","München"))</f>
        <v xml:space="preserve"> BA102.1-2_BL2, 1.UEFS, FR München</v>
      </c>
      <c r="R17" s="158"/>
      <c r="S17" s="7">
        <v>20</v>
      </c>
      <c r="T17" s="89" t="s">
        <v>60</v>
      </c>
      <c r="U17" s="1"/>
      <c r="V17" s="36" t="s">
        <v>63</v>
      </c>
      <c r="W17" s="36">
        <v>3</v>
      </c>
      <c r="X17" s="53" t="s">
        <v>64</v>
      </c>
      <c r="Y17" s="36">
        <v>1</v>
      </c>
      <c r="Z17" s="197"/>
    </row>
    <row r="18" spans="1:40" s="278" customFormat="1">
      <c r="A18" s="274" t="str">
        <f t="shared" si="2"/>
        <v>A 96</v>
      </c>
      <c r="B18" s="275">
        <f t="shared" si="2"/>
        <v>81.114999999999995</v>
      </c>
      <c r="C18" s="273" t="s">
        <v>310</v>
      </c>
      <c r="D18" s="342"/>
      <c r="E18" s="276" t="s">
        <v>300</v>
      </c>
      <c r="F18" s="277"/>
      <c r="G18" s="277"/>
      <c r="H18" s="277"/>
      <c r="J18" s="279"/>
      <c r="K18" s="280"/>
      <c r="L18" s="280"/>
      <c r="M18" s="274"/>
      <c r="N18" s="280"/>
      <c r="O18" s="281"/>
      <c r="P18" s="294"/>
      <c r="Q18" s="295"/>
      <c r="R18" s="282"/>
      <c r="S18" s="280"/>
      <c r="T18" s="279"/>
      <c r="U18" s="283"/>
      <c r="V18" s="284"/>
      <c r="W18" s="284"/>
      <c r="X18" s="285"/>
      <c r="Y18" s="284"/>
    </row>
    <row r="19" spans="1:40" s="21" customFormat="1">
      <c r="A19" s="6" t="str">
        <f>A17</f>
        <v>A 96</v>
      </c>
      <c r="B19" s="55">
        <f>B17</f>
        <v>81.114999999999995</v>
      </c>
      <c r="C19" s="273" t="s">
        <v>309</v>
      </c>
      <c r="D19" s="343" t="s">
        <v>65</v>
      </c>
      <c r="E19" s="214" t="s">
        <v>307</v>
      </c>
      <c r="F19" s="80"/>
      <c r="G19" s="80"/>
      <c r="H19" s="80"/>
      <c r="J19" s="89">
        <v>1</v>
      </c>
      <c r="K19" s="7">
        <v>3</v>
      </c>
      <c r="L19" s="7">
        <v>1</v>
      </c>
      <c r="M19" s="6">
        <v>201</v>
      </c>
      <c r="N19" s="7">
        <v>1</v>
      </c>
      <c r="O19" s="58">
        <v>4</v>
      </c>
      <c r="P19" s="159">
        <v>1</v>
      </c>
      <c r="Q19" s="51" t="str">
        <f>CONCATENATE(D19,", FR ",IF(OR(T19="W",T19="S"),"Lindau","München"))</f>
        <v>WVZ101_Helligkeit , FR München</v>
      </c>
      <c r="R19" s="158">
        <v>61</v>
      </c>
      <c r="S19" s="7">
        <v>20</v>
      </c>
      <c r="T19" s="89" t="s">
        <v>60</v>
      </c>
      <c r="U19" s="1"/>
      <c r="V19" s="36" t="s">
        <v>63</v>
      </c>
      <c r="W19" s="36">
        <v>3</v>
      </c>
      <c r="X19" s="53" t="s">
        <v>64</v>
      </c>
      <c r="Y19" s="36">
        <v>1</v>
      </c>
      <c r="Z19" s="197"/>
    </row>
    <row r="20" spans="1:40" s="21" customFormat="1">
      <c r="A20" s="6" t="str">
        <f t="shared" si="2"/>
        <v>A 96</v>
      </c>
      <c r="B20" s="55">
        <f t="shared" si="2"/>
        <v>81.114999999999995</v>
      </c>
      <c r="C20" s="273" t="s">
        <v>309</v>
      </c>
      <c r="D20" s="343" t="s">
        <v>66</v>
      </c>
      <c r="E20" s="214" t="s">
        <v>308</v>
      </c>
      <c r="F20" s="80"/>
      <c r="G20" s="80"/>
      <c r="H20" s="80"/>
      <c r="J20" s="89">
        <v>1</v>
      </c>
      <c r="K20" s="7">
        <v>3</v>
      </c>
      <c r="L20" s="7">
        <v>2</v>
      </c>
      <c r="M20" s="6">
        <v>201</v>
      </c>
      <c r="N20" s="7">
        <v>1</v>
      </c>
      <c r="O20" s="58">
        <v>4</v>
      </c>
      <c r="P20" s="159">
        <v>2</v>
      </c>
      <c r="Q20" s="51" t="str">
        <f>CONCATENATE(D20,", FR ",IF(OR(T20="W",T20="S"),"Lindau","München"))</f>
        <v>WVZ102_Helligkeit , FR München</v>
      </c>
      <c r="R20" s="158">
        <v>61</v>
      </c>
      <c r="S20" s="7">
        <v>20</v>
      </c>
      <c r="T20" s="89" t="s">
        <v>60</v>
      </c>
      <c r="U20" s="1"/>
      <c r="V20" s="36" t="s">
        <v>63</v>
      </c>
      <c r="W20" s="36">
        <v>3</v>
      </c>
      <c r="X20" s="53" t="s">
        <v>64</v>
      </c>
      <c r="Y20" s="36">
        <v>1</v>
      </c>
      <c r="Z20" s="197"/>
    </row>
    <row r="21" spans="1:40" s="21" customFormat="1" ht="12.6" customHeight="1">
      <c r="A21" s="6" t="str">
        <f>A17</f>
        <v>A 96</v>
      </c>
      <c r="B21" s="55">
        <f>B9</f>
        <v>81.114999999999995</v>
      </c>
      <c r="C21" s="55" t="s">
        <v>67</v>
      </c>
      <c r="D21" s="344" t="str">
        <f>CONCATENATE(C21,"/SSt",N21)</f>
        <v>VLT/SSt1</v>
      </c>
      <c r="E21" s="230" t="str">
        <f>D21</f>
        <v>VLT/SSt1</v>
      </c>
      <c r="F21" s="80"/>
      <c r="G21" s="80"/>
      <c r="H21" s="80"/>
      <c r="I21" s="7"/>
      <c r="J21" s="89">
        <v>1</v>
      </c>
      <c r="K21" s="7">
        <v>6</v>
      </c>
      <c r="L21" s="58">
        <v>1</v>
      </c>
      <c r="M21" s="6">
        <v>201</v>
      </c>
      <c r="N21" s="7">
        <v>1</v>
      </c>
      <c r="O21" s="58">
        <v>6</v>
      </c>
      <c r="P21" s="58">
        <v>1</v>
      </c>
      <c r="Q21" s="5" t="s">
        <v>68</v>
      </c>
      <c r="R21" s="158">
        <v>48</v>
      </c>
      <c r="S21" s="7">
        <v>20</v>
      </c>
      <c r="T21" s="89" t="s">
        <v>60</v>
      </c>
      <c r="U21" s="4"/>
      <c r="V21" s="37"/>
      <c r="W21" s="37"/>
      <c r="X21" s="37"/>
      <c r="Y21" s="37"/>
      <c r="Z21" s="197"/>
      <c r="AA21"/>
      <c r="AB21"/>
      <c r="AC21"/>
      <c r="AD21"/>
      <c r="AE21"/>
      <c r="AF21"/>
    </row>
    <row r="22" spans="1:40" s="21" customFormat="1" ht="12.6" customHeight="1">
      <c r="A22" s="6" t="str">
        <f>A20</f>
        <v>A 96</v>
      </c>
      <c r="B22" s="55">
        <f>B21</f>
        <v>81.114999999999995</v>
      </c>
      <c r="C22" s="55" t="s">
        <v>67</v>
      </c>
      <c r="D22" s="344" t="str">
        <f>CONCATENATE(C22,"/SSt",N23)</f>
        <v>VLT/SSt1</v>
      </c>
      <c r="E22" s="230" t="str">
        <f t="shared" ref="E22:E23" si="3">D22</f>
        <v>VLT/SSt1</v>
      </c>
      <c r="F22" s="59"/>
      <c r="G22" s="59"/>
      <c r="H22" s="59"/>
      <c r="I22" s="7"/>
      <c r="J22" s="89">
        <f>J21</f>
        <v>1</v>
      </c>
      <c r="K22" s="7">
        <v>6</v>
      </c>
      <c r="L22" s="58">
        <v>4</v>
      </c>
      <c r="M22" s="6">
        <v>201</v>
      </c>
      <c r="N22" s="7">
        <f>N21</f>
        <v>1</v>
      </c>
      <c r="O22" s="58">
        <v>6</v>
      </c>
      <c r="P22" s="58">
        <v>4</v>
      </c>
      <c r="Q22" s="5" t="s">
        <v>69</v>
      </c>
      <c r="R22" s="158">
        <v>51</v>
      </c>
      <c r="S22" s="7">
        <v>20</v>
      </c>
      <c r="T22" s="89" t="s">
        <v>60</v>
      </c>
      <c r="U22" s="7"/>
      <c r="V22" s="36"/>
      <c r="W22" s="38"/>
      <c r="X22" s="38"/>
      <c r="Y22" s="39"/>
      <c r="Z22" s="199"/>
      <c r="AA22"/>
      <c r="AB22"/>
      <c r="AC22"/>
      <c r="AD22"/>
      <c r="AE22"/>
      <c r="AF22"/>
      <c r="AN22" s="4"/>
    </row>
    <row r="23" spans="1:40" s="23" customFormat="1" ht="12.6" customHeight="1">
      <c r="A23" s="6" t="str">
        <f>A21</f>
        <v>A 96</v>
      </c>
      <c r="B23" s="55">
        <f>B22</f>
        <v>81.114999999999995</v>
      </c>
      <c r="C23" s="55" t="s">
        <v>67</v>
      </c>
      <c r="D23" s="344" t="str">
        <f>CONCATENATE(C23,"1/SSt",RIGHT(N23,1))</f>
        <v>VLT1/SSt1</v>
      </c>
      <c r="E23" s="230" t="str">
        <f t="shared" si="3"/>
        <v>VLT1/SSt1</v>
      </c>
      <c r="F23" s="59"/>
      <c r="G23" s="59"/>
      <c r="H23" s="59"/>
      <c r="I23" s="7"/>
      <c r="J23" s="89">
        <f>J22</f>
        <v>1</v>
      </c>
      <c r="K23" s="7">
        <v>6</v>
      </c>
      <c r="L23" s="1">
        <v>5</v>
      </c>
      <c r="M23" s="6">
        <v>201</v>
      </c>
      <c r="N23" s="7">
        <f>N22</f>
        <v>1</v>
      </c>
      <c r="O23" s="58" t="s">
        <v>70</v>
      </c>
      <c r="P23" s="58" t="s">
        <v>71</v>
      </c>
      <c r="Q23" s="5" t="s">
        <v>72</v>
      </c>
      <c r="R23" s="158">
        <v>54</v>
      </c>
      <c r="S23" s="7">
        <v>20</v>
      </c>
      <c r="T23" s="89" t="s">
        <v>60</v>
      </c>
      <c r="U23" s="7"/>
      <c r="V23" s="66"/>
      <c r="W23" s="67"/>
      <c r="X23" s="67"/>
      <c r="Y23" s="68"/>
      <c r="Z23" s="200"/>
      <c r="AA23"/>
      <c r="AB23"/>
      <c r="AC23"/>
      <c r="AD23"/>
      <c r="AE23"/>
      <c r="AF23"/>
      <c r="AN23" s="69"/>
    </row>
    <row r="24" spans="1:40" s="21" customFormat="1" ht="12.6" customHeight="1">
      <c r="A24" s="6"/>
      <c r="B24" s="55"/>
      <c r="C24" s="55"/>
      <c r="D24" s="345"/>
      <c r="E24" s="230"/>
      <c r="I24" s="1"/>
      <c r="J24" s="89"/>
      <c r="K24" s="7"/>
      <c r="L24" s="58"/>
      <c r="M24" s="7"/>
      <c r="N24" s="7"/>
      <c r="O24" s="58"/>
      <c r="P24" s="58"/>
      <c r="Q24" s="5"/>
      <c r="R24" s="158"/>
      <c r="S24" s="7"/>
      <c r="T24" s="7"/>
      <c r="U24" s="4"/>
      <c r="V24" s="37"/>
      <c r="W24" s="37"/>
      <c r="X24" s="37"/>
      <c r="Y24" s="37"/>
      <c r="Z24" s="197"/>
      <c r="AA24"/>
      <c r="AB24"/>
      <c r="AC24"/>
      <c r="AD24"/>
      <c r="AE24"/>
      <c r="AF24"/>
    </row>
    <row r="25" spans="1:40" s="22" customFormat="1" ht="12.6" customHeight="1">
      <c r="A25" s="57" t="s">
        <v>55</v>
      </c>
      <c r="B25" s="86">
        <v>81.215000000000003</v>
      </c>
      <c r="C25" s="57" t="s">
        <v>56</v>
      </c>
      <c r="D25" s="340" t="str">
        <f>Q25</f>
        <v>SSt 102</v>
      </c>
      <c r="E25" s="229" t="str">
        <f>D25</f>
        <v>SSt 102</v>
      </c>
      <c r="F25" s="65"/>
      <c r="G25" s="187">
        <v>9607883</v>
      </c>
      <c r="H25" s="187" t="str">
        <f>DEC2HEX(G25)</f>
        <v>929ACB</v>
      </c>
      <c r="I25" s="98"/>
      <c r="J25" s="100">
        <f t="shared" ref="J25:J33" si="4">N25</f>
        <v>2</v>
      </c>
      <c r="K25" s="57"/>
      <c r="L25" s="57"/>
      <c r="M25" s="57">
        <v>201</v>
      </c>
      <c r="N25" s="57">
        <v>2</v>
      </c>
      <c r="O25" s="57"/>
      <c r="P25" s="57"/>
      <c r="Q25" s="65" t="s">
        <v>73</v>
      </c>
      <c r="R25" s="87"/>
      <c r="S25" s="88"/>
      <c r="T25" s="88"/>
      <c r="U25" s="6"/>
      <c r="V25" s="47"/>
      <c r="W25" s="47"/>
      <c r="X25" s="47"/>
      <c r="Y25" s="47"/>
      <c r="Z25" s="198"/>
    </row>
    <row r="26" spans="1:40" s="21" customFormat="1">
      <c r="A26" s="6" t="s">
        <v>55</v>
      </c>
      <c r="B26" s="55">
        <v>81.215000000000003</v>
      </c>
      <c r="C26" s="217" t="s">
        <v>61</v>
      </c>
      <c r="D26" s="341" t="s">
        <v>74</v>
      </c>
      <c r="E26" s="214" t="s">
        <v>327</v>
      </c>
      <c r="J26" s="89">
        <f t="shared" si="4"/>
        <v>2</v>
      </c>
      <c r="K26" s="7">
        <v>4</v>
      </c>
      <c r="L26" s="7">
        <v>194</v>
      </c>
      <c r="M26" s="6">
        <v>201</v>
      </c>
      <c r="N26" s="7">
        <v>2</v>
      </c>
      <c r="O26" s="7">
        <v>4</v>
      </c>
      <c r="P26" s="7">
        <v>0</v>
      </c>
      <c r="Q26" s="21" t="str">
        <f>CONCATENATE(D26,", FR ",IF(OR(T26="W",T26="S"),"Lindau","München"))</f>
        <v>Cluster WVZ103_104, FR München</v>
      </c>
      <c r="R26" s="158"/>
      <c r="S26" s="7">
        <v>20</v>
      </c>
      <c r="T26" s="89" t="s">
        <v>60</v>
      </c>
      <c r="U26" s="1"/>
      <c r="V26" s="50"/>
      <c r="W26" s="49"/>
      <c r="X26" s="51"/>
      <c r="Y26" s="50"/>
      <c r="Z26" s="214" t="s">
        <v>198</v>
      </c>
      <c r="AA26"/>
      <c r="AB26"/>
      <c r="AC26"/>
      <c r="AD26"/>
      <c r="AE26"/>
      <c r="AF26"/>
    </row>
    <row r="27" spans="1:40" s="21" customFormat="1">
      <c r="A27" s="217" t="s">
        <v>55</v>
      </c>
      <c r="B27" s="217">
        <v>81.215000000000003</v>
      </c>
      <c r="C27" s="217" t="s">
        <v>58</v>
      </c>
      <c r="D27" s="342" t="s">
        <v>225</v>
      </c>
      <c r="E27" s="214" t="s">
        <v>198</v>
      </c>
      <c r="F27" s="217"/>
      <c r="G27" s="217"/>
      <c r="H27" s="217"/>
      <c r="I27" s="217"/>
      <c r="J27" s="218">
        <f t="shared" ref="J27" si="5">N27</f>
        <v>2</v>
      </c>
      <c r="K27" s="219">
        <v>4</v>
      </c>
      <c r="L27" s="219"/>
      <c r="M27" s="220">
        <v>201</v>
      </c>
      <c r="N27" s="219">
        <v>2</v>
      </c>
      <c r="O27" s="219">
        <v>4</v>
      </c>
      <c r="P27" s="219">
        <v>0</v>
      </c>
      <c r="Q27" s="221" t="str">
        <f>CONCATENATE(D27,", FR ",IF(OR(T27="W",T27="S"),"Lindau","München"))</f>
        <v>AQ WVZ103_104, FR München</v>
      </c>
      <c r="R27" s="222"/>
      <c r="S27" s="219">
        <v>20</v>
      </c>
      <c r="T27" s="218" t="s">
        <v>60</v>
      </c>
      <c r="U27" s="219"/>
      <c r="V27" s="219"/>
      <c r="W27" s="217"/>
      <c r="X27" s="221"/>
      <c r="Y27" s="219"/>
      <c r="Z27" s="214"/>
      <c r="AA27"/>
      <c r="AB27"/>
      <c r="AC27"/>
      <c r="AD27"/>
      <c r="AE27"/>
      <c r="AF27"/>
    </row>
    <row r="28" spans="1:40" s="21" customFormat="1" ht="12" customHeight="1">
      <c r="A28" s="6" t="str">
        <f>A26</f>
        <v>A 96</v>
      </c>
      <c r="B28" s="55">
        <f>B26</f>
        <v>81.215000000000003</v>
      </c>
      <c r="C28" s="55" t="s">
        <v>61</v>
      </c>
      <c r="D28" s="342" t="s">
        <v>250</v>
      </c>
      <c r="E28" s="214" t="s">
        <v>329</v>
      </c>
      <c r="J28" s="89">
        <f t="shared" si="4"/>
        <v>2</v>
      </c>
      <c r="K28" s="7">
        <v>4</v>
      </c>
      <c r="L28" s="58" t="s">
        <v>75</v>
      </c>
      <c r="M28" s="6">
        <v>201</v>
      </c>
      <c r="N28" s="7">
        <v>2</v>
      </c>
      <c r="O28" s="58">
        <v>4</v>
      </c>
      <c r="P28" s="58">
        <v>1</v>
      </c>
      <c r="Q28" s="21" t="str">
        <f>CONCATENATE(D28,", HFS,  FR ",IF(OR(T28="W",T28="S"),"Lindau","München"))</f>
        <v>WVZ103.1_A1, HFS,  FR München</v>
      </c>
      <c r="R28" s="158"/>
      <c r="S28" s="7">
        <v>20</v>
      </c>
      <c r="T28" s="89" t="s">
        <v>60</v>
      </c>
      <c r="U28" s="1" t="s">
        <v>76</v>
      </c>
      <c r="V28" s="36" t="s">
        <v>63</v>
      </c>
      <c r="W28" s="36">
        <v>3</v>
      </c>
      <c r="X28" s="53" t="s">
        <v>64</v>
      </c>
      <c r="Y28" s="36">
        <v>1</v>
      </c>
      <c r="Z28" s="197"/>
    </row>
    <row r="29" spans="1:40" s="21" customFormat="1">
      <c r="A29" s="6" t="str">
        <f t="shared" ref="A29:B32" si="6">A28</f>
        <v>A 96</v>
      </c>
      <c r="B29" s="55">
        <f t="shared" si="6"/>
        <v>81.215000000000003</v>
      </c>
      <c r="C29" s="55" t="s">
        <v>61</v>
      </c>
      <c r="D29" s="342" t="s">
        <v>251</v>
      </c>
      <c r="E29" s="214" t="s">
        <v>331</v>
      </c>
      <c r="J29" s="89">
        <f t="shared" si="4"/>
        <v>2</v>
      </c>
      <c r="K29" s="7">
        <v>4</v>
      </c>
      <c r="L29" s="58" t="s">
        <v>77</v>
      </c>
      <c r="M29" s="6">
        <v>201</v>
      </c>
      <c r="N29" s="7">
        <v>2</v>
      </c>
      <c r="O29" s="58">
        <v>4</v>
      </c>
      <c r="P29" s="58">
        <v>4</v>
      </c>
      <c r="Q29" s="21" t="str">
        <f>CONCATENATE(D29,", 1.UEFS, FR ",IF(OR(T29="W",T29="S"),"Lindau","München"))</f>
        <v>WVZ104.1_A2, 1.UEFS, FR München</v>
      </c>
      <c r="R29" s="158"/>
      <c r="S29" s="7">
        <v>20</v>
      </c>
      <c r="T29" s="89" t="s">
        <v>60</v>
      </c>
      <c r="U29" s="1" t="s">
        <v>76</v>
      </c>
      <c r="V29" s="36" t="s">
        <v>63</v>
      </c>
      <c r="W29" s="36">
        <v>3</v>
      </c>
      <c r="X29" s="53" t="s">
        <v>64</v>
      </c>
      <c r="Y29" s="36">
        <v>1</v>
      </c>
      <c r="Z29" s="197"/>
    </row>
    <row r="30" spans="1:40" s="278" customFormat="1">
      <c r="A30" s="274" t="str">
        <f t="shared" si="6"/>
        <v>A 96</v>
      </c>
      <c r="B30" s="275">
        <f t="shared" si="6"/>
        <v>81.215000000000003</v>
      </c>
      <c r="C30" s="273" t="s">
        <v>310</v>
      </c>
      <c r="D30" s="342"/>
      <c r="E30" s="276" t="s">
        <v>332</v>
      </c>
      <c r="J30" s="279"/>
      <c r="K30" s="280"/>
      <c r="L30" s="281"/>
      <c r="M30" s="274"/>
      <c r="N30" s="280"/>
      <c r="O30" s="281"/>
      <c r="P30" s="281"/>
      <c r="R30" s="282"/>
      <c r="S30" s="280"/>
      <c r="T30" s="279"/>
      <c r="U30" s="283"/>
      <c r="V30" s="284"/>
      <c r="W30" s="284"/>
      <c r="X30" s="285"/>
      <c r="Y30" s="284"/>
    </row>
    <row r="31" spans="1:40" s="21" customFormat="1">
      <c r="A31" s="6" t="str">
        <f>A29</f>
        <v>A 96</v>
      </c>
      <c r="B31" s="55">
        <f>B29</f>
        <v>81.215000000000003</v>
      </c>
      <c r="C31" s="273" t="s">
        <v>309</v>
      </c>
      <c r="D31" s="343" t="s">
        <v>78</v>
      </c>
      <c r="E31" s="214" t="s">
        <v>333</v>
      </c>
      <c r="F31" s="80"/>
      <c r="G31" s="80"/>
      <c r="H31" s="80"/>
      <c r="J31" s="89">
        <f t="shared" si="4"/>
        <v>2</v>
      </c>
      <c r="K31" s="7">
        <v>3</v>
      </c>
      <c r="L31" s="7">
        <v>1</v>
      </c>
      <c r="M31" s="6">
        <v>201</v>
      </c>
      <c r="N31" s="7">
        <v>2</v>
      </c>
      <c r="O31" s="58">
        <v>4</v>
      </c>
      <c r="P31" s="58">
        <v>1</v>
      </c>
      <c r="Q31" s="21" t="str">
        <f>CONCATENATE(D31,", FR ",IF(OR(T31="W",T31="S"),"Lindau","München"))</f>
        <v>WVZ103_Helligkeit , FR München</v>
      </c>
      <c r="R31" s="158">
        <v>61</v>
      </c>
      <c r="S31" s="7">
        <v>20</v>
      </c>
      <c r="T31" s="89" t="s">
        <v>60</v>
      </c>
      <c r="U31" s="1"/>
      <c r="V31" s="36" t="s">
        <v>63</v>
      </c>
      <c r="W31" s="36">
        <v>3</v>
      </c>
      <c r="X31" s="53" t="s">
        <v>64</v>
      </c>
      <c r="Y31" s="36">
        <v>1</v>
      </c>
      <c r="Z31" s="197"/>
    </row>
    <row r="32" spans="1:40" s="21" customFormat="1">
      <c r="A32" s="6" t="str">
        <f t="shared" si="6"/>
        <v>A 96</v>
      </c>
      <c r="B32" s="55">
        <f t="shared" si="6"/>
        <v>81.215000000000003</v>
      </c>
      <c r="C32" s="273" t="s">
        <v>309</v>
      </c>
      <c r="D32" s="343" t="s">
        <v>79</v>
      </c>
      <c r="E32" s="214" t="s">
        <v>334</v>
      </c>
      <c r="F32" s="80"/>
      <c r="G32" s="80"/>
      <c r="H32" s="80"/>
      <c r="J32" s="89">
        <f t="shared" si="4"/>
        <v>2</v>
      </c>
      <c r="K32" s="7">
        <v>3</v>
      </c>
      <c r="L32" s="7">
        <v>2</v>
      </c>
      <c r="M32" s="6">
        <v>201</v>
      </c>
      <c r="N32" s="7">
        <v>2</v>
      </c>
      <c r="O32" s="58">
        <v>4</v>
      </c>
      <c r="P32" s="58">
        <v>2</v>
      </c>
      <c r="Q32" s="21" t="str">
        <f>CONCATENATE(D32,", FR ",IF(OR(T32="W",T32="S"),"Lindau","München"))</f>
        <v>WVZ104_Helligkeit , FR München</v>
      </c>
      <c r="R32" s="158">
        <v>61</v>
      </c>
      <c r="S32" s="7">
        <v>20</v>
      </c>
      <c r="T32" s="89" t="s">
        <v>60</v>
      </c>
      <c r="U32" s="1"/>
      <c r="V32" s="36" t="s">
        <v>63</v>
      </c>
      <c r="W32" s="36">
        <v>3</v>
      </c>
      <c r="X32" s="53" t="s">
        <v>64</v>
      </c>
      <c r="Y32" s="36">
        <v>1</v>
      </c>
      <c r="Z32" s="197"/>
    </row>
    <row r="33" spans="1:40" s="21" customFormat="1" ht="12.6" customHeight="1">
      <c r="A33" s="6" t="str">
        <f>A32</f>
        <v>A 96</v>
      </c>
      <c r="B33" s="55">
        <f>B25</f>
        <v>81.215000000000003</v>
      </c>
      <c r="C33" s="55" t="s">
        <v>67</v>
      </c>
      <c r="D33" s="344" t="str">
        <f>CONCATENATE(C33,"/SSt",N33)</f>
        <v>VLT/SSt2</v>
      </c>
      <c r="E33" s="229" t="str">
        <f>D33</f>
        <v>VLT/SSt2</v>
      </c>
      <c r="F33" s="80"/>
      <c r="G33" s="80"/>
      <c r="H33" s="80"/>
      <c r="I33" s="7"/>
      <c r="J33" s="89">
        <f t="shared" si="4"/>
        <v>2</v>
      </c>
      <c r="K33" s="7">
        <v>6</v>
      </c>
      <c r="L33" s="58">
        <v>1</v>
      </c>
      <c r="M33" s="6">
        <v>201</v>
      </c>
      <c r="N33" s="7">
        <v>2</v>
      </c>
      <c r="O33" s="58">
        <v>6</v>
      </c>
      <c r="P33" s="58">
        <v>1</v>
      </c>
      <c r="Q33" s="5" t="s">
        <v>68</v>
      </c>
      <c r="R33" s="158">
        <v>48</v>
      </c>
      <c r="S33" s="7">
        <v>20</v>
      </c>
      <c r="T33" s="89" t="s">
        <v>60</v>
      </c>
      <c r="U33" s="4"/>
      <c r="V33" s="37"/>
      <c r="W33" s="37"/>
      <c r="X33" s="37"/>
      <c r="Y33" s="37"/>
      <c r="Z33" s="197"/>
      <c r="AA33"/>
      <c r="AB33"/>
      <c r="AC33"/>
      <c r="AD33"/>
      <c r="AE33"/>
      <c r="AF33"/>
    </row>
    <row r="34" spans="1:40" s="21" customFormat="1" ht="12.6" customHeight="1">
      <c r="A34" s="6" t="str">
        <f>A32</f>
        <v>A 96</v>
      </c>
      <c r="B34" s="55">
        <f>B33</f>
        <v>81.215000000000003</v>
      </c>
      <c r="C34" s="55" t="s">
        <v>67</v>
      </c>
      <c r="D34" s="344" t="str">
        <f>CONCATENATE(C34,"/SSt",N35)</f>
        <v>VLT/SSt2</v>
      </c>
      <c r="E34" s="229" t="str">
        <f>D34</f>
        <v>VLT/SSt2</v>
      </c>
      <c r="F34" s="59"/>
      <c r="G34" s="59"/>
      <c r="H34" s="59"/>
      <c r="I34" s="7"/>
      <c r="J34" s="89">
        <f>J33</f>
        <v>2</v>
      </c>
      <c r="K34" s="7">
        <v>6</v>
      </c>
      <c r="L34" s="58">
        <v>4</v>
      </c>
      <c r="M34" s="6">
        <v>201</v>
      </c>
      <c r="N34" s="7">
        <f>N33</f>
        <v>2</v>
      </c>
      <c r="O34" s="58">
        <v>6</v>
      </c>
      <c r="P34" s="58">
        <v>4</v>
      </c>
      <c r="Q34" s="5" t="s">
        <v>69</v>
      </c>
      <c r="R34" s="158">
        <v>51</v>
      </c>
      <c r="S34" s="7">
        <v>20</v>
      </c>
      <c r="T34" s="89" t="s">
        <v>60</v>
      </c>
      <c r="U34" s="7"/>
      <c r="V34" s="36"/>
      <c r="W34" s="38"/>
      <c r="X34" s="38"/>
      <c r="Y34" s="39"/>
      <c r="Z34" s="199"/>
      <c r="AA34"/>
      <c r="AB34"/>
      <c r="AC34"/>
      <c r="AD34"/>
      <c r="AE34"/>
      <c r="AF34"/>
      <c r="AN34" s="4"/>
    </row>
    <row r="35" spans="1:40" s="23" customFormat="1" ht="12.6" customHeight="1">
      <c r="A35" s="6" t="str">
        <f>A33</f>
        <v>A 96</v>
      </c>
      <c r="B35" s="55">
        <f>B34</f>
        <v>81.215000000000003</v>
      </c>
      <c r="C35" s="55" t="s">
        <v>67</v>
      </c>
      <c r="D35" s="344" t="str">
        <f>CONCATENATE(C35,"1/SSt",RIGHT(N35,1))</f>
        <v>VLT1/SSt2</v>
      </c>
      <c r="E35" s="229" t="str">
        <f>D35</f>
        <v>VLT1/SSt2</v>
      </c>
      <c r="F35" s="59"/>
      <c r="G35" s="59"/>
      <c r="H35" s="59"/>
      <c r="I35" s="7"/>
      <c r="J35" s="89">
        <f>J34</f>
        <v>2</v>
      </c>
      <c r="K35" s="7">
        <v>6</v>
      </c>
      <c r="L35" s="1">
        <v>5</v>
      </c>
      <c r="M35" s="6">
        <v>201</v>
      </c>
      <c r="N35" s="7">
        <f>N34</f>
        <v>2</v>
      </c>
      <c r="O35" s="58" t="s">
        <v>70</v>
      </c>
      <c r="P35" s="58" t="s">
        <v>71</v>
      </c>
      <c r="Q35" s="5" t="s">
        <v>72</v>
      </c>
      <c r="R35" s="158">
        <v>54</v>
      </c>
      <c r="S35" s="7">
        <v>20</v>
      </c>
      <c r="T35" s="89" t="s">
        <v>60</v>
      </c>
      <c r="U35" s="7"/>
      <c r="V35" s="66"/>
      <c r="W35" s="67"/>
      <c r="X35" s="67"/>
      <c r="Y35" s="68"/>
      <c r="Z35" s="200"/>
      <c r="AA35"/>
      <c r="AB35"/>
      <c r="AC35"/>
      <c r="AD35"/>
      <c r="AE35"/>
      <c r="AF35"/>
      <c r="AN35" s="69"/>
    </row>
    <row r="36" spans="1:40" s="21" customFormat="1" ht="12.6" customHeight="1">
      <c r="A36" s="6"/>
      <c r="B36" s="55"/>
      <c r="C36" s="55"/>
      <c r="D36" s="344"/>
      <c r="E36" s="230"/>
      <c r="F36" s="59"/>
      <c r="G36" s="59"/>
      <c r="H36" s="59"/>
      <c r="I36" s="7"/>
      <c r="J36" s="89"/>
      <c r="K36" s="7"/>
      <c r="L36" s="58"/>
      <c r="M36" s="6"/>
      <c r="N36" s="7"/>
      <c r="O36" s="58"/>
      <c r="P36" s="58"/>
      <c r="Q36" s="5"/>
      <c r="R36" s="158"/>
      <c r="S36" s="7"/>
      <c r="T36" s="89"/>
      <c r="U36" s="7"/>
      <c r="V36" s="36"/>
      <c r="W36" s="38"/>
      <c r="X36" s="38"/>
      <c r="Y36" s="39"/>
      <c r="Z36" s="199"/>
      <c r="AA36"/>
      <c r="AB36"/>
      <c r="AC36"/>
      <c r="AD36"/>
      <c r="AE36"/>
      <c r="AF36"/>
      <c r="AN36" s="4"/>
    </row>
    <row r="37" spans="1:40" s="22" customFormat="1" ht="12.6" customHeight="1">
      <c r="A37" s="57" t="s">
        <v>55</v>
      </c>
      <c r="B37" s="86">
        <v>81.314999999999998</v>
      </c>
      <c r="C37" s="57" t="s">
        <v>56</v>
      </c>
      <c r="D37" s="340" t="str">
        <f>Q37</f>
        <v>SSt 103</v>
      </c>
      <c r="E37" s="229" t="str">
        <f>D37</f>
        <v>SSt 103</v>
      </c>
      <c r="F37" s="65"/>
      <c r="G37" s="187">
        <v>9607886</v>
      </c>
      <c r="H37" s="187" t="str">
        <f>DEC2HEX(G37)</f>
        <v>929ACE</v>
      </c>
      <c r="I37" s="98"/>
      <c r="J37" s="100">
        <f>N37</f>
        <v>3</v>
      </c>
      <c r="K37" s="57"/>
      <c r="L37" s="57"/>
      <c r="M37" s="57">
        <v>201</v>
      </c>
      <c r="N37" s="57">
        <v>3</v>
      </c>
      <c r="O37" s="57"/>
      <c r="P37" s="57"/>
      <c r="Q37" s="65" t="s">
        <v>80</v>
      </c>
      <c r="R37" s="87"/>
      <c r="S37" s="88"/>
      <c r="T37" s="88"/>
      <c r="U37" s="6"/>
      <c r="V37" s="47"/>
      <c r="W37" s="47"/>
      <c r="X37" s="47"/>
      <c r="Y37" s="47"/>
      <c r="Z37" s="198"/>
    </row>
    <row r="38" spans="1:40" s="21" customFormat="1">
      <c r="A38" s="6" t="s">
        <v>55</v>
      </c>
      <c r="B38" s="55">
        <v>81.314999999999998</v>
      </c>
      <c r="C38" s="217" t="s">
        <v>61</v>
      </c>
      <c r="D38" s="341" t="s">
        <v>81</v>
      </c>
      <c r="E38" s="214" t="s">
        <v>328</v>
      </c>
      <c r="J38" s="89">
        <f>N38</f>
        <v>3</v>
      </c>
      <c r="K38" s="7">
        <v>4</v>
      </c>
      <c r="L38" s="7">
        <v>194</v>
      </c>
      <c r="M38" s="6">
        <v>201</v>
      </c>
      <c r="N38" s="7">
        <v>3</v>
      </c>
      <c r="O38" s="7">
        <v>4</v>
      </c>
      <c r="P38" s="7">
        <v>0</v>
      </c>
      <c r="Q38" s="21" t="str">
        <f>CONCATENATE(D38,", FR ",IF(OR(T38="W",T38="S"),"Lindau","München"))</f>
        <v>Cluster WVZ105_106, FR München</v>
      </c>
      <c r="R38" s="158"/>
      <c r="S38" s="7">
        <v>20</v>
      </c>
      <c r="T38" s="89" t="s">
        <v>60</v>
      </c>
      <c r="U38" s="1"/>
      <c r="V38" s="50"/>
      <c r="W38" s="49"/>
      <c r="X38" s="51"/>
      <c r="Y38" s="50"/>
      <c r="Z38" s="214" t="s">
        <v>199</v>
      </c>
      <c r="AA38"/>
      <c r="AB38"/>
      <c r="AC38"/>
      <c r="AD38"/>
      <c r="AE38"/>
      <c r="AF38"/>
    </row>
    <row r="39" spans="1:40" s="21" customFormat="1">
      <c r="A39" s="220" t="s">
        <v>55</v>
      </c>
      <c r="B39" s="217">
        <v>81.314999999999998</v>
      </c>
      <c r="C39" s="217" t="s">
        <v>58</v>
      </c>
      <c r="D39" s="346" t="s">
        <v>226</v>
      </c>
      <c r="E39" s="214" t="s">
        <v>199</v>
      </c>
      <c r="F39" s="221"/>
      <c r="G39" s="221"/>
      <c r="H39" s="221"/>
      <c r="I39" s="221"/>
      <c r="J39" s="218">
        <f>N39</f>
        <v>3</v>
      </c>
      <c r="K39" s="219">
        <v>4</v>
      </c>
      <c r="L39" s="219"/>
      <c r="M39" s="220">
        <v>201</v>
      </c>
      <c r="N39" s="219">
        <v>3</v>
      </c>
      <c r="O39" s="219">
        <v>4</v>
      </c>
      <c r="P39" s="219">
        <v>0</v>
      </c>
      <c r="Q39" s="221" t="str">
        <f>CONCATENATE(D39,", FR ",IF(OR(T39="W",T39="S"),"Lindau","München"))</f>
        <v>AQ WVZ105_106, FR München</v>
      </c>
      <c r="R39" s="222"/>
      <c r="S39" s="219">
        <v>20</v>
      </c>
      <c r="T39" s="218" t="s">
        <v>60</v>
      </c>
      <c r="U39" s="219"/>
      <c r="V39" s="219"/>
      <c r="W39" s="217"/>
      <c r="X39" s="221"/>
      <c r="Y39" s="219"/>
      <c r="Z39" s="214"/>
      <c r="AA39"/>
      <c r="AB39"/>
      <c r="AC39"/>
      <c r="AD39"/>
      <c r="AE39"/>
      <c r="AF39"/>
    </row>
    <row r="40" spans="1:40" s="21" customFormat="1" ht="12" customHeight="1">
      <c r="A40" s="6" t="str">
        <f>A38</f>
        <v>A 96</v>
      </c>
      <c r="B40" s="55">
        <f>B38</f>
        <v>81.314999999999998</v>
      </c>
      <c r="C40" s="55" t="s">
        <v>61</v>
      </c>
      <c r="D40" s="346" t="s">
        <v>252</v>
      </c>
      <c r="E40" s="214" t="s">
        <v>330</v>
      </c>
      <c r="F40" s="103"/>
      <c r="G40" s="103"/>
      <c r="H40" s="103"/>
      <c r="J40" s="89">
        <f t="shared" ref="J40:J51" si="7">N40</f>
        <v>3</v>
      </c>
      <c r="K40" s="7">
        <v>4</v>
      </c>
      <c r="L40" s="7">
        <v>1</v>
      </c>
      <c r="M40" s="6">
        <v>201</v>
      </c>
      <c r="N40" s="7">
        <v>3</v>
      </c>
      <c r="O40" s="58">
        <v>4</v>
      </c>
      <c r="P40" s="58">
        <v>1</v>
      </c>
      <c r="Q40" s="21" t="str">
        <f>CONCATENATE(D40,", HFS,  FR ",IF(OR(T40="W",T40="S"),"Lindau","München"))</f>
        <v>WVZ105.1_A1, HFS,  FR München</v>
      </c>
      <c r="R40" s="158"/>
      <c r="S40" s="7">
        <v>20</v>
      </c>
      <c r="T40" s="89" t="s">
        <v>60</v>
      </c>
      <c r="U40" s="1" t="s">
        <v>82</v>
      </c>
      <c r="V40" s="36" t="s">
        <v>63</v>
      </c>
      <c r="W40" s="36">
        <v>3</v>
      </c>
      <c r="X40" s="53" t="s">
        <v>64</v>
      </c>
      <c r="Y40" s="36">
        <v>1</v>
      </c>
      <c r="Z40" s="197"/>
      <c r="AA40" s="7"/>
    </row>
    <row r="41" spans="1:40" s="21" customFormat="1" ht="12" customHeight="1">
      <c r="A41" s="6" t="str">
        <f t="shared" ref="A41:B42" si="8">A40</f>
        <v>A 96</v>
      </c>
      <c r="B41" s="55">
        <f t="shared" si="8"/>
        <v>81.314999999999998</v>
      </c>
      <c r="C41" s="55" t="s">
        <v>61</v>
      </c>
      <c r="D41" s="346" t="s">
        <v>253</v>
      </c>
      <c r="E41" s="214" t="s">
        <v>336</v>
      </c>
      <c r="F41" s="23"/>
      <c r="G41" s="23"/>
      <c r="H41" s="23"/>
      <c r="J41" s="89">
        <f t="shared" si="7"/>
        <v>3</v>
      </c>
      <c r="K41" s="7">
        <v>4</v>
      </c>
      <c r="L41" s="7">
        <v>65</v>
      </c>
      <c r="M41" s="6">
        <v>201</v>
      </c>
      <c r="N41" s="7">
        <v>3</v>
      </c>
      <c r="O41" s="58">
        <v>4</v>
      </c>
      <c r="P41" s="58">
        <v>2</v>
      </c>
      <c r="Q41" s="21" t="str">
        <f>CONCATENATE(D41,", HFS,  FR ",IF(OR(T41="W",T41="S"),"Lindau","München"))</f>
        <v>WVZ105.2_B1, HFS,  FR München</v>
      </c>
      <c r="R41" s="158"/>
      <c r="S41" s="7">
        <v>20</v>
      </c>
      <c r="T41" s="89" t="s">
        <v>60</v>
      </c>
      <c r="U41" s="1" t="s">
        <v>82</v>
      </c>
      <c r="V41" s="36" t="s">
        <v>63</v>
      </c>
      <c r="W41" s="36">
        <v>3</v>
      </c>
      <c r="X41" s="53" t="s">
        <v>64</v>
      </c>
      <c r="Y41" s="36">
        <v>1</v>
      </c>
      <c r="Z41" s="197"/>
      <c r="AA41" s="58"/>
    </row>
    <row r="42" spans="1:40" s="21" customFormat="1" ht="12" customHeight="1">
      <c r="A42" s="6" t="str">
        <f t="shared" si="8"/>
        <v>A 96</v>
      </c>
      <c r="B42" s="55">
        <f t="shared" si="8"/>
        <v>81.314999999999998</v>
      </c>
      <c r="C42" s="55" t="s">
        <v>61</v>
      </c>
      <c r="D42" s="346" t="s">
        <v>254</v>
      </c>
      <c r="E42" s="214" t="s">
        <v>337</v>
      </c>
      <c r="J42" s="89">
        <f>N42</f>
        <v>3</v>
      </c>
      <c r="K42" s="7">
        <v>4</v>
      </c>
      <c r="L42" s="7">
        <v>73</v>
      </c>
      <c r="M42" s="6">
        <v>201</v>
      </c>
      <c r="N42" s="7">
        <v>3</v>
      </c>
      <c r="O42" s="58">
        <v>4</v>
      </c>
      <c r="P42" s="58">
        <v>3</v>
      </c>
      <c r="Q42" s="21" t="str">
        <f>CONCATENATE(D42,", HFS,  FR ",IF(OR(T42="W",T42="S"),"Lindau","München"))</f>
        <v>WVZ105.3_C1, HFS,  FR München</v>
      </c>
      <c r="R42" s="158"/>
      <c r="S42" s="7">
        <v>20</v>
      </c>
      <c r="T42" s="89" t="s">
        <v>60</v>
      </c>
      <c r="U42" s="1" t="s">
        <v>82</v>
      </c>
      <c r="V42" s="36" t="s">
        <v>63</v>
      </c>
      <c r="W42" s="36">
        <v>3</v>
      </c>
      <c r="X42" s="53" t="s">
        <v>64</v>
      </c>
      <c r="Y42" s="36">
        <v>1</v>
      </c>
      <c r="Z42" s="197"/>
      <c r="AA42" s="58"/>
    </row>
    <row r="43" spans="1:40" s="21" customFormat="1">
      <c r="A43" s="6" t="str">
        <f t="shared" ref="A43:B46" si="9">A40</f>
        <v>A 96</v>
      </c>
      <c r="B43" s="55">
        <f t="shared" si="9"/>
        <v>81.314999999999998</v>
      </c>
      <c r="C43" s="55" t="s">
        <v>61</v>
      </c>
      <c r="D43" s="346" t="s">
        <v>255</v>
      </c>
      <c r="E43" s="214" t="s">
        <v>338</v>
      </c>
      <c r="J43" s="89">
        <f t="shared" si="7"/>
        <v>3</v>
      </c>
      <c r="K43" s="7">
        <v>4</v>
      </c>
      <c r="L43" s="7">
        <v>2</v>
      </c>
      <c r="M43" s="6">
        <v>201</v>
      </c>
      <c r="N43" s="7">
        <v>3</v>
      </c>
      <c r="O43" s="58">
        <v>4</v>
      </c>
      <c r="P43" s="58">
        <v>4</v>
      </c>
      <c r="Q43" s="21" t="str">
        <f>CONCATENATE(D43,", 1.UEFS, FR ",IF(OR(T43="W",T43="S"),"Lindau","München"))</f>
        <v>WVZ106.1_A2, 1.UEFS, FR München</v>
      </c>
      <c r="R43" s="158"/>
      <c r="S43" s="7">
        <v>20</v>
      </c>
      <c r="T43" s="89" t="s">
        <v>60</v>
      </c>
      <c r="U43" s="1" t="s">
        <v>82</v>
      </c>
      <c r="V43" s="36" t="s">
        <v>63</v>
      </c>
      <c r="W43" s="36">
        <v>3</v>
      </c>
      <c r="X43" s="53" t="s">
        <v>64</v>
      </c>
      <c r="Y43" s="36">
        <v>1</v>
      </c>
      <c r="Z43" s="197"/>
      <c r="AA43" s="58"/>
    </row>
    <row r="44" spans="1:40" s="21" customFormat="1">
      <c r="A44" s="6" t="str">
        <f t="shared" si="9"/>
        <v>A 96</v>
      </c>
      <c r="B44" s="55">
        <f t="shared" si="9"/>
        <v>81.314999999999998</v>
      </c>
      <c r="C44" s="55" t="s">
        <v>61</v>
      </c>
      <c r="D44" s="346" t="s">
        <v>256</v>
      </c>
      <c r="E44" s="214" t="s">
        <v>339</v>
      </c>
      <c r="J44" s="89">
        <f t="shared" si="7"/>
        <v>3</v>
      </c>
      <c r="K44" s="7">
        <v>4</v>
      </c>
      <c r="L44" s="7">
        <v>66</v>
      </c>
      <c r="M44" s="6">
        <v>201</v>
      </c>
      <c r="N44" s="7">
        <v>3</v>
      </c>
      <c r="O44" s="58">
        <v>4</v>
      </c>
      <c r="P44" s="58">
        <v>5</v>
      </c>
      <c r="Q44" s="21" t="str">
        <f>CONCATENATE(D44,", 1.UEFS, FR ",IF(OR(T44="W",T44="S"),"Lindau","München"))</f>
        <v>WVZ106.2_B2, 1.UEFS, FR München</v>
      </c>
      <c r="R44" s="158"/>
      <c r="S44" s="7">
        <v>20</v>
      </c>
      <c r="T44" s="89" t="s">
        <v>60</v>
      </c>
      <c r="U44" s="1" t="s">
        <v>82</v>
      </c>
      <c r="V44" s="36" t="s">
        <v>63</v>
      </c>
      <c r="W44" s="36">
        <v>3</v>
      </c>
      <c r="X44" s="53" t="s">
        <v>64</v>
      </c>
      <c r="Y44" s="36">
        <v>1</v>
      </c>
      <c r="Z44" s="197"/>
      <c r="AA44" s="58"/>
    </row>
    <row r="45" spans="1:40" s="21" customFormat="1">
      <c r="A45" s="6" t="str">
        <f t="shared" si="9"/>
        <v>A 96</v>
      </c>
      <c r="B45" s="55">
        <f t="shared" si="9"/>
        <v>81.314999999999998</v>
      </c>
      <c r="C45" s="55" t="s">
        <v>61</v>
      </c>
      <c r="D45" s="346" t="s">
        <v>257</v>
      </c>
      <c r="E45" s="214" t="s">
        <v>340</v>
      </c>
      <c r="J45" s="89">
        <f>N45</f>
        <v>3</v>
      </c>
      <c r="K45" s="7">
        <v>4</v>
      </c>
      <c r="L45" s="7">
        <v>74</v>
      </c>
      <c r="M45" s="6">
        <v>201</v>
      </c>
      <c r="N45" s="7">
        <v>3</v>
      </c>
      <c r="O45" s="58">
        <v>4</v>
      </c>
      <c r="P45" s="58">
        <v>6</v>
      </c>
      <c r="Q45" s="21" t="str">
        <f>CONCATENATE(D45,", 1.UEFS, FR ",IF(OR(T45="W",T45="S"),"Lindau","München"))</f>
        <v>WVZ106.3_C2, 1.UEFS, FR München</v>
      </c>
      <c r="R45" s="158"/>
      <c r="S45" s="7">
        <v>20</v>
      </c>
      <c r="T45" s="89" t="s">
        <v>60</v>
      </c>
      <c r="U45" s="1" t="s">
        <v>83</v>
      </c>
      <c r="V45" s="36" t="s">
        <v>63</v>
      </c>
      <c r="W45" s="36">
        <v>3</v>
      </c>
      <c r="X45" s="53" t="s">
        <v>64</v>
      </c>
      <c r="Y45" s="36">
        <v>1</v>
      </c>
      <c r="Z45" s="197"/>
    </row>
    <row r="46" spans="1:40" s="21" customFormat="1">
      <c r="A46" s="6" t="str">
        <f t="shared" si="9"/>
        <v>A 96</v>
      </c>
      <c r="B46" s="55">
        <f t="shared" si="9"/>
        <v>81.314999999999998</v>
      </c>
      <c r="C46" s="55" t="s">
        <v>61</v>
      </c>
      <c r="D46" s="346" t="s">
        <v>258</v>
      </c>
      <c r="E46" s="214" t="s">
        <v>341</v>
      </c>
      <c r="F46" s="80"/>
      <c r="G46" s="80"/>
      <c r="H46" s="80"/>
      <c r="J46" s="89">
        <f t="shared" si="7"/>
        <v>3</v>
      </c>
      <c r="K46" s="7">
        <v>4</v>
      </c>
      <c r="L46" s="7">
        <v>25</v>
      </c>
      <c r="M46" s="6">
        <v>201</v>
      </c>
      <c r="N46" s="7">
        <v>3</v>
      </c>
      <c r="O46" s="58">
        <v>4</v>
      </c>
      <c r="P46" s="58">
        <v>101</v>
      </c>
      <c r="Q46" s="21" t="str">
        <f>CONCATENATE(D46,", HFS,  FR ",IF(OR(T46="W",T46="S"),"Lindau","München"))</f>
        <v>BA105.1-2_BL1, HFS,  FR München</v>
      </c>
      <c r="R46" s="158"/>
      <c r="S46" s="7">
        <v>20</v>
      </c>
      <c r="T46" s="89" t="s">
        <v>60</v>
      </c>
      <c r="U46" s="1"/>
      <c r="V46" s="36" t="s">
        <v>63</v>
      </c>
      <c r="W46" s="36">
        <v>3</v>
      </c>
      <c r="X46" s="53" t="s">
        <v>64</v>
      </c>
      <c r="Y46" s="36">
        <v>1</v>
      </c>
      <c r="Z46" s="197"/>
    </row>
    <row r="47" spans="1:40" s="21" customFormat="1">
      <c r="A47" s="6" t="str">
        <f t="shared" ref="A47:B50" si="10">A46</f>
        <v>A 96</v>
      </c>
      <c r="B47" s="55">
        <f t="shared" si="10"/>
        <v>81.314999999999998</v>
      </c>
      <c r="C47" s="55" t="s">
        <v>61</v>
      </c>
      <c r="D47" s="346" t="s">
        <v>259</v>
      </c>
      <c r="E47" s="214" t="s">
        <v>342</v>
      </c>
      <c r="F47" s="101"/>
      <c r="G47" s="101"/>
      <c r="H47" s="101"/>
      <c r="J47" s="89">
        <f t="shared" si="7"/>
        <v>3</v>
      </c>
      <c r="K47" s="7">
        <v>4</v>
      </c>
      <c r="L47" s="7">
        <v>26</v>
      </c>
      <c r="M47" s="6">
        <v>201</v>
      </c>
      <c r="N47" s="7">
        <v>3</v>
      </c>
      <c r="O47" s="58">
        <v>4</v>
      </c>
      <c r="P47" s="58">
        <v>102</v>
      </c>
      <c r="Q47" s="21" t="str">
        <f>CONCATENATE(D47,", 1.UEFS, FR ",IF(OR(T47="W",T47="S"),"Lindau","München"))</f>
        <v>BA106.1-2_BL2, 1.UEFS, FR München</v>
      </c>
      <c r="R47" s="158"/>
      <c r="S47" s="7">
        <v>20</v>
      </c>
      <c r="T47" s="89" t="s">
        <v>60</v>
      </c>
      <c r="U47" s="1"/>
      <c r="V47" s="36" t="s">
        <v>63</v>
      </c>
      <c r="W47" s="36">
        <v>3</v>
      </c>
      <c r="X47" s="53" t="s">
        <v>64</v>
      </c>
      <c r="Y47" s="36">
        <v>1</v>
      </c>
      <c r="Z47" s="197"/>
    </row>
    <row r="48" spans="1:40" s="278" customFormat="1">
      <c r="A48" s="274" t="str">
        <f t="shared" si="10"/>
        <v>A 96</v>
      </c>
      <c r="B48" s="275">
        <f t="shared" si="10"/>
        <v>81.314999999999998</v>
      </c>
      <c r="C48" s="273" t="s">
        <v>310</v>
      </c>
      <c r="D48" s="346"/>
      <c r="E48" s="276" t="s">
        <v>343</v>
      </c>
      <c r="F48" s="293"/>
      <c r="G48" s="293"/>
      <c r="H48" s="293"/>
      <c r="J48" s="279"/>
      <c r="K48" s="280"/>
      <c r="L48" s="280"/>
      <c r="M48" s="274"/>
      <c r="N48" s="280"/>
      <c r="O48" s="281"/>
      <c r="P48" s="281"/>
      <c r="R48" s="282"/>
      <c r="S48" s="280"/>
      <c r="T48" s="279"/>
      <c r="U48" s="283"/>
      <c r="V48" s="284"/>
      <c r="W48" s="284"/>
      <c r="X48" s="285"/>
      <c r="Y48" s="284"/>
    </row>
    <row r="49" spans="1:40" s="21" customFormat="1">
      <c r="A49" s="6" t="str">
        <f>A47</f>
        <v>A 96</v>
      </c>
      <c r="B49" s="55">
        <f>B47</f>
        <v>81.314999999999998</v>
      </c>
      <c r="C49" s="273" t="s">
        <v>309</v>
      </c>
      <c r="D49" s="343" t="s">
        <v>84</v>
      </c>
      <c r="E49" s="214" t="s">
        <v>335</v>
      </c>
      <c r="F49" s="80"/>
      <c r="G49" s="80"/>
      <c r="H49" s="80"/>
      <c r="J49" s="89">
        <f t="shared" si="7"/>
        <v>3</v>
      </c>
      <c r="K49" s="7">
        <v>3</v>
      </c>
      <c r="L49" s="7">
        <v>1</v>
      </c>
      <c r="M49" s="6">
        <v>201</v>
      </c>
      <c r="N49" s="7">
        <v>3</v>
      </c>
      <c r="O49" s="58">
        <v>4</v>
      </c>
      <c r="P49" s="58">
        <v>1</v>
      </c>
      <c r="Q49" s="21" t="str">
        <f>CONCATENATE(D49,", FR ",IF(OR(T49="W",T49="S"),"Lindau","München"))</f>
        <v>WVZ105_Helligkeit , FR München</v>
      </c>
      <c r="R49" s="158">
        <v>61</v>
      </c>
      <c r="S49" s="7">
        <v>20</v>
      </c>
      <c r="T49" s="89" t="s">
        <v>60</v>
      </c>
      <c r="U49" s="1"/>
      <c r="V49" s="36" t="s">
        <v>63</v>
      </c>
      <c r="W49" s="36">
        <v>3</v>
      </c>
      <c r="X49" s="53" t="s">
        <v>64</v>
      </c>
      <c r="Y49" s="36">
        <v>1</v>
      </c>
      <c r="Z49" s="197"/>
    </row>
    <row r="50" spans="1:40" s="21" customFormat="1">
      <c r="A50" s="6" t="str">
        <f t="shared" si="10"/>
        <v>A 96</v>
      </c>
      <c r="B50" s="55">
        <f t="shared" si="10"/>
        <v>81.314999999999998</v>
      </c>
      <c r="C50" s="273" t="s">
        <v>309</v>
      </c>
      <c r="D50" s="343" t="s">
        <v>85</v>
      </c>
      <c r="E50" s="214" t="s">
        <v>344</v>
      </c>
      <c r="F50" s="80"/>
      <c r="G50" s="80"/>
      <c r="H50" s="80"/>
      <c r="J50" s="89">
        <f t="shared" si="7"/>
        <v>3</v>
      </c>
      <c r="K50" s="7">
        <v>3</v>
      </c>
      <c r="L50" s="7">
        <v>2</v>
      </c>
      <c r="M50" s="6">
        <v>201</v>
      </c>
      <c r="N50" s="7">
        <v>3</v>
      </c>
      <c r="O50" s="58">
        <v>4</v>
      </c>
      <c r="P50" s="58">
        <v>2</v>
      </c>
      <c r="Q50" s="21" t="str">
        <f>CONCATENATE(D50,", FR ",IF(OR(T50="W",T50="S"),"Lindau","München"))</f>
        <v>WVZ106_Helligkeit , FR München</v>
      </c>
      <c r="R50" s="158">
        <v>61</v>
      </c>
      <c r="S50" s="7">
        <v>20</v>
      </c>
      <c r="T50" s="89" t="s">
        <v>60</v>
      </c>
      <c r="U50" s="1"/>
      <c r="V50" s="36" t="s">
        <v>63</v>
      </c>
      <c r="W50" s="36">
        <v>3</v>
      </c>
      <c r="X50" s="53" t="s">
        <v>64</v>
      </c>
      <c r="Y50" s="36">
        <v>1</v>
      </c>
      <c r="Z50" s="197"/>
    </row>
    <row r="51" spans="1:40" s="21" customFormat="1" ht="12.6" customHeight="1">
      <c r="A51" s="6" t="str">
        <f>A47</f>
        <v>A 96</v>
      </c>
      <c r="B51" s="55">
        <f>B37</f>
        <v>81.314999999999998</v>
      </c>
      <c r="C51" s="55" t="s">
        <v>67</v>
      </c>
      <c r="D51" s="344" t="str">
        <f>CONCATENATE(C51,"/SSt",N51)</f>
        <v>VLT/SSt3</v>
      </c>
      <c r="E51" s="229" t="str">
        <f t="shared" ref="E51:E53" si="11">D51</f>
        <v>VLT/SSt3</v>
      </c>
      <c r="F51" s="80"/>
      <c r="G51" s="80"/>
      <c r="H51" s="80"/>
      <c r="I51" s="7"/>
      <c r="J51" s="89">
        <f t="shared" si="7"/>
        <v>3</v>
      </c>
      <c r="K51" s="7">
        <v>6</v>
      </c>
      <c r="L51" s="58">
        <v>1</v>
      </c>
      <c r="M51" s="6">
        <v>201</v>
      </c>
      <c r="N51" s="7">
        <v>3</v>
      </c>
      <c r="O51" s="58">
        <v>6</v>
      </c>
      <c r="P51" s="58">
        <v>1</v>
      </c>
      <c r="Q51" s="5" t="s">
        <v>68</v>
      </c>
      <c r="R51" s="158">
        <v>48</v>
      </c>
      <c r="S51" s="7">
        <v>20</v>
      </c>
      <c r="T51" s="89" t="s">
        <v>60</v>
      </c>
      <c r="U51" s="4"/>
      <c r="V51" s="37"/>
      <c r="W51" s="37"/>
      <c r="X51" s="37"/>
      <c r="Y51" s="37"/>
      <c r="Z51" s="197"/>
      <c r="AA51"/>
      <c r="AB51"/>
      <c r="AC51"/>
      <c r="AD51"/>
      <c r="AE51"/>
      <c r="AF51"/>
    </row>
    <row r="52" spans="1:40" s="21" customFormat="1" ht="12.6" customHeight="1">
      <c r="A52" s="6" t="str">
        <f>A50</f>
        <v>A 96</v>
      </c>
      <c r="B52" s="55">
        <f>B51</f>
        <v>81.314999999999998</v>
      </c>
      <c r="C52" s="55" t="s">
        <v>67</v>
      </c>
      <c r="D52" s="344" t="str">
        <f>CONCATENATE(C52,"/SSt",N53)</f>
        <v>VLT/SSt3</v>
      </c>
      <c r="E52" s="229" t="str">
        <f t="shared" si="11"/>
        <v>VLT/SSt3</v>
      </c>
      <c r="F52" s="59"/>
      <c r="G52" s="59"/>
      <c r="H52" s="59"/>
      <c r="I52" s="7"/>
      <c r="J52" s="89">
        <f>J51</f>
        <v>3</v>
      </c>
      <c r="K52" s="7">
        <v>6</v>
      </c>
      <c r="L52" s="58">
        <v>4</v>
      </c>
      <c r="M52" s="6">
        <v>201</v>
      </c>
      <c r="N52" s="7">
        <f>N51</f>
        <v>3</v>
      </c>
      <c r="O52" s="58">
        <v>6</v>
      </c>
      <c r="P52" s="58">
        <v>4</v>
      </c>
      <c r="Q52" s="5" t="s">
        <v>69</v>
      </c>
      <c r="R52" s="158">
        <v>51</v>
      </c>
      <c r="S52" s="7">
        <v>20</v>
      </c>
      <c r="T52" s="89" t="s">
        <v>60</v>
      </c>
      <c r="U52" s="7"/>
      <c r="V52" s="36"/>
      <c r="W52" s="38"/>
      <c r="X52" s="38"/>
      <c r="Y52" s="39"/>
      <c r="Z52" s="199"/>
      <c r="AA52"/>
      <c r="AB52"/>
      <c r="AC52"/>
      <c r="AD52"/>
      <c r="AE52"/>
      <c r="AF52"/>
      <c r="AN52" s="4"/>
    </row>
    <row r="53" spans="1:40" s="23" customFormat="1" ht="12.6" customHeight="1">
      <c r="A53" s="6" t="str">
        <f>A51</f>
        <v>A 96</v>
      </c>
      <c r="B53" s="55">
        <f>B52</f>
        <v>81.314999999999998</v>
      </c>
      <c r="C53" s="55" t="s">
        <v>67</v>
      </c>
      <c r="D53" s="344" t="str">
        <f>CONCATENATE(C53,"1/SSt",RIGHT(N53,1))</f>
        <v>VLT1/SSt3</v>
      </c>
      <c r="E53" s="229" t="str">
        <f t="shared" si="11"/>
        <v>VLT1/SSt3</v>
      </c>
      <c r="F53" s="59"/>
      <c r="G53" s="59"/>
      <c r="H53" s="59"/>
      <c r="I53" s="7"/>
      <c r="J53" s="89">
        <f>J52</f>
        <v>3</v>
      </c>
      <c r="K53" s="7">
        <v>6</v>
      </c>
      <c r="L53" s="1">
        <v>5</v>
      </c>
      <c r="M53" s="6">
        <v>201</v>
      </c>
      <c r="N53" s="7">
        <f>N52</f>
        <v>3</v>
      </c>
      <c r="O53" s="58" t="s">
        <v>70</v>
      </c>
      <c r="P53" s="58" t="s">
        <v>71</v>
      </c>
      <c r="Q53" s="5" t="s">
        <v>72</v>
      </c>
      <c r="R53" s="158">
        <v>54</v>
      </c>
      <c r="S53" s="7">
        <v>20</v>
      </c>
      <c r="T53" s="89" t="s">
        <v>60</v>
      </c>
      <c r="U53" s="7"/>
      <c r="V53" s="66"/>
      <c r="W53" s="67"/>
      <c r="X53" s="67"/>
      <c r="Y53" s="68"/>
      <c r="Z53" s="200"/>
      <c r="AA53"/>
      <c r="AB53"/>
      <c r="AC53"/>
      <c r="AD53"/>
      <c r="AE53"/>
      <c r="AF53"/>
      <c r="AN53" s="69"/>
    </row>
    <row r="54" spans="1:40" s="21" customFormat="1" ht="12" customHeight="1">
      <c r="A54" s="6"/>
      <c r="B54" s="55"/>
      <c r="C54" s="55"/>
      <c r="D54" s="344"/>
      <c r="E54" s="230"/>
      <c r="F54" s="59"/>
      <c r="G54" s="59"/>
      <c r="H54" s="59"/>
      <c r="I54" s="7"/>
      <c r="J54" s="89"/>
      <c r="K54" s="7"/>
      <c r="L54" s="58"/>
      <c r="M54" s="6"/>
      <c r="N54" s="7"/>
      <c r="O54" s="58"/>
      <c r="P54" s="58"/>
      <c r="Q54" s="5"/>
      <c r="R54" s="158"/>
      <c r="S54" s="7"/>
      <c r="T54" s="89"/>
      <c r="U54" s="7"/>
      <c r="V54" s="36"/>
      <c r="W54" s="38"/>
      <c r="X54" s="38"/>
      <c r="Y54" s="39"/>
      <c r="Z54" s="199"/>
      <c r="AA54"/>
      <c r="AB54"/>
      <c r="AC54"/>
      <c r="AD54"/>
      <c r="AE54"/>
      <c r="AF54"/>
      <c r="AN54" s="4"/>
    </row>
    <row r="55" spans="1:40" s="22" customFormat="1" ht="12" customHeight="1">
      <c r="A55" s="57" t="s">
        <v>55</v>
      </c>
      <c r="B55" s="86">
        <v>81.415000000000006</v>
      </c>
      <c r="C55" s="57" t="s">
        <v>56</v>
      </c>
      <c r="D55" s="340" t="str">
        <f>Q55</f>
        <v>SSt 104</v>
      </c>
      <c r="E55" s="229" t="str">
        <f>D55</f>
        <v>SSt 104</v>
      </c>
      <c r="F55" s="65"/>
      <c r="G55" s="187">
        <v>9607888</v>
      </c>
      <c r="H55" s="187" t="str">
        <f>DEC2HEX(G55)</f>
        <v>929AD0</v>
      </c>
      <c r="I55" s="98"/>
      <c r="J55" s="100">
        <f>N55</f>
        <v>4</v>
      </c>
      <c r="K55" s="57"/>
      <c r="L55" s="57"/>
      <c r="M55" s="57">
        <v>201</v>
      </c>
      <c r="N55" s="57">
        <v>4</v>
      </c>
      <c r="O55" s="57"/>
      <c r="P55" s="57"/>
      <c r="Q55" s="65" t="s">
        <v>86</v>
      </c>
      <c r="R55" s="87"/>
      <c r="S55" s="88"/>
      <c r="T55" s="88"/>
      <c r="U55" s="6"/>
      <c r="V55" s="47"/>
      <c r="W55" s="47"/>
      <c r="X55" s="47"/>
      <c r="Y55" s="47"/>
      <c r="Z55" s="198"/>
    </row>
    <row r="56" spans="1:40" s="288" customFormat="1" ht="12" customHeight="1">
      <c r="A56" s="274" t="s">
        <v>55</v>
      </c>
      <c r="B56" s="275">
        <v>81.52</v>
      </c>
      <c r="C56" s="286" t="s">
        <v>87</v>
      </c>
      <c r="D56" s="340"/>
      <c r="E56" s="287" t="s">
        <v>213</v>
      </c>
      <c r="I56" s="289"/>
      <c r="J56" s="290"/>
      <c r="K56" s="286"/>
      <c r="L56" s="286"/>
      <c r="M56" s="286"/>
      <c r="N56" s="286"/>
      <c r="O56" s="286"/>
      <c r="P56" s="286"/>
      <c r="R56" s="291"/>
      <c r="S56" s="286"/>
      <c r="T56" s="286"/>
      <c r="U56" s="274"/>
      <c r="V56" s="292"/>
      <c r="W56" s="292"/>
      <c r="X56" s="292"/>
      <c r="Y56" s="292"/>
    </row>
    <row r="57" spans="1:40" s="21" customFormat="1">
      <c r="A57" s="6" t="s">
        <v>55</v>
      </c>
      <c r="B57" s="192">
        <v>81.52</v>
      </c>
      <c r="C57" s="272" t="s">
        <v>87</v>
      </c>
      <c r="D57" s="341" t="s">
        <v>88</v>
      </c>
      <c r="E57" s="190" t="s">
        <v>311</v>
      </c>
      <c r="J57" s="89">
        <v>2</v>
      </c>
      <c r="K57" s="210">
        <v>1</v>
      </c>
      <c r="L57" s="7">
        <v>1</v>
      </c>
      <c r="M57" s="6">
        <v>201</v>
      </c>
      <c r="N57" s="7">
        <v>4</v>
      </c>
      <c r="O57" s="7">
        <v>1</v>
      </c>
      <c r="P57" s="58">
        <v>1</v>
      </c>
      <c r="Q57" s="208" t="str">
        <f>CONCATENATE(D57,", HFS, FR ",IF(OR(T57="W",T57="S"),"Lindau","München"))</f>
        <v>DS101, HFS, FR München</v>
      </c>
      <c r="R57" s="158" t="s">
        <v>89</v>
      </c>
      <c r="S57" s="7">
        <v>20</v>
      </c>
      <c r="T57" s="209" t="s">
        <v>60</v>
      </c>
      <c r="U57" s="55"/>
      <c r="V57" s="50"/>
      <c r="W57" s="49"/>
      <c r="X57" s="36"/>
      <c r="Y57" s="36"/>
      <c r="Z57" s="190" t="s">
        <v>213</v>
      </c>
      <c r="AA57"/>
      <c r="AB57"/>
      <c r="AC57"/>
      <c r="AD57"/>
      <c r="AE57"/>
      <c r="AF57"/>
    </row>
    <row r="58" spans="1:40" s="21" customFormat="1">
      <c r="A58" s="6" t="str">
        <f>A57</f>
        <v>A 96</v>
      </c>
      <c r="B58" s="192">
        <f>B57</f>
        <v>81.52</v>
      </c>
      <c r="C58" s="272" t="s">
        <v>87</v>
      </c>
      <c r="D58" s="347" t="s">
        <v>90</v>
      </c>
      <c r="E58" s="190" t="s">
        <v>312</v>
      </c>
      <c r="J58" s="89">
        <v>2</v>
      </c>
      <c r="K58" s="210">
        <v>1</v>
      </c>
      <c r="L58" s="7">
        <v>2</v>
      </c>
      <c r="M58" s="6">
        <v>201</v>
      </c>
      <c r="N58" s="7">
        <v>4</v>
      </c>
      <c r="O58" s="7">
        <v>1</v>
      </c>
      <c r="P58" s="58">
        <v>2</v>
      </c>
      <c r="Q58" s="208" t="str">
        <f>CONCATENATE(D58,", 1.UEFS, FR ",IF(OR(T58="W",T58="S"),"Lindau","München"))</f>
        <v>DS102, 1.UEFS, FR München</v>
      </c>
      <c r="R58" s="158" t="s">
        <v>89</v>
      </c>
      <c r="S58" s="7">
        <v>20</v>
      </c>
      <c r="T58" s="209" t="s">
        <v>60</v>
      </c>
      <c r="U58" s="55"/>
      <c r="V58" s="50"/>
      <c r="W58" s="49"/>
      <c r="X58" s="51"/>
      <c r="Y58" s="36"/>
      <c r="Z58" s="197"/>
      <c r="AA58"/>
      <c r="AB58"/>
      <c r="AC58"/>
      <c r="AD58"/>
      <c r="AE58"/>
      <c r="AF58"/>
    </row>
    <row r="59" spans="1:40" s="278" customFormat="1">
      <c r="A59" s="274" t="str">
        <f>A58</f>
        <v>A 96</v>
      </c>
      <c r="B59" s="275">
        <f>B58</f>
        <v>81.52</v>
      </c>
      <c r="C59" s="273" t="s">
        <v>87</v>
      </c>
      <c r="D59" s="346"/>
      <c r="E59" s="287" t="s">
        <v>214</v>
      </c>
      <c r="J59" s="279"/>
      <c r="K59" s="280"/>
      <c r="L59" s="280"/>
      <c r="M59" s="274"/>
      <c r="N59" s="280"/>
      <c r="O59" s="280"/>
      <c r="P59" s="281"/>
      <c r="R59" s="282"/>
      <c r="S59" s="280"/>
      <c r="T59" s="279"/>
      <c r="U59" s="275"/>
      <c r="V59" s="296"/>
      <c r="W59" s="297"/>
      <c r="X59" s="295"/>
      <c r="Y59" s="284"/>
      <c r="AA59" s="298"/>
      <c r="AB59" s="298"/>
      <c r="AC59" s="298"/>
      <c r="AD59" s="298"/>
      <c r="AE59" s="298"/>
      <c r="AF59" s="298"/>
    </row>
    <row r="60" spans="1:40" s="21" customFormat="1">
      <c r="A60" s="6" t="s">
        <v>55</v>
      </c>
      <c r="B60" s="192">
        <v>81.52</v>
      </c>
      <c r="C60" s="272" t="s">
        <v>87</v>
      </c>
      <c r="D60" s="341" t="s">
        <v>91</v>
      </c>
      <c r="E60" s="190" t="s">
        <v>313</v>
      </c>
      <c r="J60" s="89">
        <v>2</v>
      </c>
      <c r="K60" s="210">
        <v>1</v>
      </c>
      <c r="L60" s="7">
        <v>33</v>
      </c>
      <c r="M60" s="6">
        <v>201</v>
      </c>
      <c r="N60" s="7">
        <v>4</v>
      </c>
      <c r="O60" s="7">
        <v>1</v>
      </c>
      <c r="P60" s="58">
        <v>3</v>
      </c>
      <c r="Q60" s="208" t="str">
        <f>CONCATENATE(D60,", HFS, FR ",IF(OR(T60="W",T60="S"),"Lindau","München"))</f>
        <v>DS205, HFS, FR Lindau</v>
      </c>
      <c r="R60" s="158" t="s">
        <v>89</v>
      </c>
      <c r="S60" s="7">
        <v>20</v>
      </c>
      <c r="T60" s="209" t="s">
        <v>92</v>
      </c>
      <c r="U60" s="55"/>
      <c r="V60" s="50"/>
      <c r="W60" s="49"/>
      <c r="X60" s="36"/>
      <c r="Y60" s="36"/>
      <c r="Z60" s="190" t="s">
        <v>214</v>
      </c>
      <c r="AA60"/>
      <c r="AB60"/>
      <c r="AC60"/>
      <c r="AD60"/>
      <c r="AE60"/>
      <c r="AF60"/>
    </row>
    <row r="61" spans="1:40" s="21" customFormat="1">
      <c r="A61" s="6" t="str">
        <f>A60</f>
        <v>A 96</v>
      </c>
      <c r="B61" s="192">
        <f>B60</f>
        <v>81.52</v>
      </c>
      <c r="C61" s="272" t="s">
        <v>87</v>
      </c>
      <c r="D61" s="347" t="s">
        <v>93</v>
      </c>
      <c r="E61" s="190" t="s">
        <v>314</v>
      </c>
      <c r="J61" s="89">
        <v>2</v>
      </c>
      <c r="K61" s="210">
        <v>1</v>
      </c>
      <c r="L61" s="7">
        <v>34</v>
      </c>
      <c r="M61" s="6">
        <v>201</v>
      </c>
      <c r="N61" s="7">
        <v>4</v>
      </c>
      <c r="O61" s="7">
        <v>1</v>
      </c>
      <c r="P61" s="58">
        <v>4</v>
      </c>
      <c r="Q61" s="208" t="str">
        <f>CONCATENATE(D61,", 1.UEFS, FR ",IF(OR(T61="W",T61="S"),"Lindau","München"))</f>
        <v>DS206, 1.UEFS, FR Lindau</v>
      </c>
      <c r="R61" s="158" t="s">
        <v>89</v>
      </c>
      <c r="S61" s="7">
        <v>20</v>
      </c>
      <c r="T61" s="209" t="s">
        <v>92</v>
      </c>
      <c r="U61" s="55"/>
      <c r="V61" s="50"/>
      <c r="W61" s="49"/>
      <c r="X61" s="51"/>
      <c r="Y61" s="36"/>
      <c r="Z61" s="197"/>
      <c r="AA61"/>
      <c r="AB61"/>
      <c r="AC61"/>
      <c r="AD61"/>
      <c r="AE61"/>
      <c r="AF61"/>
    </row>
    <row r="62" spans="1:40" s="20" customFormat="1" ht="12.6" customHeight="1">
      <c r="A62" s="6" t="s">
        <v>55</v>
      </c>
      <c r="B62" s="55">
        <v>81.409000000000006</v>
      </c>
      <c r="C62" s="55" t="s">
        <v>94</v>
      </c>
      <c r="D62" s="341" t="s">
        <v>95</v>
      </c>
      <c r="E62" s="190" t="s">
        <v>316</v>
      </c>
      <c r="F62" s="21"/>
      <c r="G62" s="21"/>
      <c r="H62" s="21"/>
      <c r="I62" s="21"/>
      <c r="J62" s="89">
        <f>N62</f>
        <v>4</v>
      </c>
      <c r="K62" s="189">
        <v>4</v>
      </c>
      <c r="L62" s="189">
        <v>194</v>
      </c>
      <c r="M62" s="6">
        <v>201</v>
      </c>
      <c r="N62" s="7">
        <v>4</v>
      </c>
      <c r="O62" s="6">
        <v>4</v>
      </c>
      <c r="P62" s="189">
        <v>0</v>
      </c>
      <c r="Q62" s="21" t="str">
        <f>CONCATENATE(D62,", FR ",IF(OR(T62="W",T62="S"),"Lindau","München"))</f>
        <v>Cluster INFO101, FR München</v>
      </c>
      <c r="R62" s="90"/>
      <c r="S62" s="7">
        <v>20</v>
      </c>
      <c r="T62" s="89" t="s">
        <v>60</v>
      </c>
      <c r="U62" s="21"/>
      <c r="V62" s="158"/>
      <c r="W62" s="158"/>
      <c r="X62" s="21"/>
      <c r="Y62" s="21"/>
      <c r="Z62" s="190" t="s">
        <v>216</v>
      </c>
      <c r="AA62" s="21"/>
      <c r="AB62" s="21"/>
      <c r="AC62" s="21"/>
      <c r="AD62" s="21"/>
      <c r="AE62" s="21"/>
      <c r="AF62" s="21"/>
    </row>
    <row r="63" spans="1:40" s="20" customFormat="1" ht="12.6" customHeight="1">
      <c r="A63" s="220" t="s">
        <v>55</v>
      </c>
      <c r="B63" s="217">
        <v>81.409000000000006</v>
      </c>
      <c r="C63" s="217" t="s">
        <v>58</v>
      </c>
      <c r="D63" s="346" t="s">
        <v>237</v>
      </c>
      <c r="E63" s="190" t="s">
        <v>216</v>
      </c>
      <c r="F63" s="221"/>
      <c r="G63" s="221"/>
      <c r="H63" s="221"/>
      <c r="I63" s="221"/>
      <c r="J63" s="218">
        <f>N63</f>
        <v>4</v>
      </c>
      <c r="K63" s="224">
        <v>4</v>
      </c>
      <c r="L63" s="224"/>
      <c r="M63" s="220">
        <v>201</v>
      </c>
      <c r="N63" s="219">
        <v>4</v>
      </c>
      <c r="O63" s="220">
        <v>4</v>
      </c>
      <c r="P63" s="224">
        <v>0</v>
      </c>
      <c r="Q63" s="221" t="str">
        <f>CONCATENATE(D63,", FR ",IF(OR(T63="W",T63="S"),"Lindau","München"))</f>
        <v>AQ INFO101, FR München</v>
      </c>
      <c r="R63" s="222"/>
      <c r="S63" s="219">
        <v>20</v>
      </c>
      <c r="T63" s="218" t="s">
        <v>60</v>
      </c>
      <c r="U63" s="221"/>
      <c r="V63" s="222"/>
      <c r="W63" s="222"/>
      <c r="X63" s="221"/>
      <c r="Y63" s="221"/>
      <c r="Z63" s="190"/>
      <c r="AA63" s="21"/>
      <c r="AB63" s="21"/>
      <c r="AC63" s="21"/>
      <c r="AD63" s="21"/>
      <c r="AE63" s="21"/>
      <c r="AF63" s="21"/>
    </row>
    <row r="64" spans="1:40" s="20" customFormat="1" ht="12.6" customHeight="1">
      <c r="A64" s="6" t="s">
        <v>55</v>
      </c>
      <c r="B64" s="55">
        <v>81.409000000000006</v>
      </c>
      <c r="C64" s="55" t="s">
        <v>94</v>
      </c>
      <c r="D64" s="346" t="s">
        <v>260</v>
      </c>
      <c r="E64" s="190" t="s">
        <v>315</v>
      </c>
      <c r="F64" s="80"/>
      <c r="G64" s="80"/>
      <c r="H64" s="80"/>
      <c r="I64" s="21"/>
      <c r="J64" s="89">
        <f>N64</f>
        <v>4</v>
      </c>
      <c r="K64" s="189">
        <v>4</v>
      </c>
      <c r="L64" s="189">
        <v>1</v>
      </c>
      <c r="M64" s="6">
        <v>201</v>
      </c>
      <c r="N64" s="7">
        <v>4</v>
      </c>
      <c r="O64" s="6">
        <v>4</v>
      </c>
      <c r="P64" s="189">
        <v>1</v>
      </c>
      <c r="Q64" s="110" t="s">
        <v>96</v>
      </c>
      <c r="R64" s="90"/>
      <c r="S64" s="7">
        <v>20</v>
      </c>
      <c r="T64" s="89" t="s">
        <v>60</v>
      </c>
      <c r="U64" s="4"/>
      <c r="V64" s="158"/>
      <c r="W64" s="158"/>
      <c r="X64" s="21"/>
      <c r="Y64" s="21"/>
      <c r="Z64" s="216"/>
      <c r="AA64" s="21"/>
      <c r="AB64" s="21"/>
      <c r="AC64" s="21"/>
      <c r="AD64" s="21"/>
      <c r="AE64" s="21"/>
      <c r="AF64" s="21"/>
    </row>
    <row r="65" spans="1:40" s="21" customFormat="1" ht="12.6" customHeight="1">
      <c r="A65" s="160" t="s">
        <v>55</v>
      </c>
      <c r="B65" s="49">
        <v>81.409000000000006</v>
      </c>
      <c r="C65" s="49" t="s">
        <v>97</v>
      </c>
      <c r="D65" s="346" t="s">
        <v>240</v>
      </c>
      <c r="E65" s="232" t="s">
        <v>317</v>
      </c>
      <c r="F65" s="51"/>
      <c r="G65" s="51"/>
      <c r="H65" s="51"/>
      <c r="I65" s="51"/>
      <c r="J65" s="161">
        <f>N65</f>
        <v>4</v>
      </c>
      <c r="K65" s="162">
        <v>4</v>
      </c>
      <c r="L65" s="162">
        <v>196</v>
      </c>
      <c r="M65" s="160">
        <v>201</v>
      </c>
      <c r="N65" s="36">
        <v>4</v>
      </c>
      <c r="O65" s="160">
        <v>5</v>
      </c>
      <c r="P65" s="162">
        <v>0</v>
      </c>
      <c r="Q65" s="51" t="str">
        <f>CONCATENATE(D65,", FR ",IF(OR(T65="W",T65="S"),"Lindau","München"))</f>
        <v>Cluster VLSA_SCH_101_104, FR München</v>
      </c>
      <c r="R65" s="163"/>
      <c r="S65" s="36">
        <v>20</v>
      </c>
      <c r="T65" s="89" t="s">
        <v>60</v>
      </c>
      <c r="V65" s="37"/>
      <c r="W65" s="37"/>
      <c r="X65" s="51"/>
      <c r="Y65" s="51"/>
      <c r="Z65" s="197"/>
    </row>
    <row r="66" spans="1:40" s="21" customFormat="1" ht="12.6" customHeight="1">
      <c r="A66" s="220" t="s">
        <v>55</v>
      </c>
      <c r="B66" s="217">
        <v>81.409000000000006</v>
      </c>
      <c r="C66" s="217" t="s">
        <v>58</v>
      </c>
      <c r="D66" s="346" t="s">
        <v>241</v>
      </c>
      <c r="E66" s="232" t="s">
        <v>318</v>
      </c>
      <c r="F66" s="221"/>
      <c r="G66" s="221"/>
      <c r="H66" s="221"/>
      <c r="I66" s="221"/>
      <c r="J66" s="218">
        <f>N66</f>
        <v>4</v>
      </c>
      <c r="K66" s="224">
        <v>4</v>
      </c>
      <c r="L66" s="224"/>
      <c r="M66" s="220">
        <v>201</v>
      </c>
      <c r="N66" s="219">
        <v>4</v>
      </c>
      <c r="O66" s="220">
        <v>5</v>
      </c>
      <c r="P66" s="224">
        <v>0</v>
      </c>
      <c r="Q66" s="221" t="str">
        <f>CONCATENATE(D66,", FR ",IF(OR(T66="W",T66="S"),"Lindau","München"))</f>
        <v>AQ VLSA_SCH_101_104, FR München</v>
      </c>
      <c r="R66" s="222"/>
      <c r="S66" s="219">
        <v>20</v>
      </c>
      <c r="T66" s="218" t="s">
        <v>60</v>
      </c>
      <c r="U66" s="221"/>
      <c r="V66" s="222"/>
      <c r="W66" s="222"/>
      <c r="X66" s="221"/>
      <c r="Y66" s="221"/>
      <c r="Z66" s="197"/>
    </row>
    <row r="67" spans="1:40" s="21" customFormat="1" ht="12.6" customHeight="1">
      <c r="A67" s="160" t="s">
        <v>55</v>
      </c>
      <c r="B67" s="49">
        <v>81.409000000000006</v>
      </c>
      <c r="C67" s="49" t="s">
        <v>97</v>
      </c>
      <c r="D67" s="348" t="s">
        <v>288</v>
      </c>
      <c r="E67" s="214" t="s">
        <v>319</v>
      </c>
      <c r="F67" s="51"/>
      <c r="G67" s="51"/>
      <c r="H67" s="51"/>
      <c r="I67" s="51"/>
      <c r="J67" s="161">
        <f t="shared" ref="J67:J76" si="12">N67</f>
        <v>4</v>
      </c>
      <c r="K67" s="162">
        <v>4</v>
      </c>
      <c r="L67" s="162">
        <v>9</v>
      </c>
      <c r="M67" s="160">
        <v>201</v>
      </c>
      <c r="N67" s="36">
        <v>4</v>
      </c>
      <c r="O67" s="160">
        <v>5</v>
      </c>
      <c r="P67" s="164">
        <v>1</v>
      </c>
      <c r="Q67" s="51" t="str">
        <f>CONCATENATE(D67,", HFS,  FR ",IF(OR(T67="W",T67="S"),"Lindau","München"))</f>
        <v>VLSA101, HFS,  FR München</v>
      </c>
      <c r="R67" s="163"/>
      <c r="S67" s="36">
        <v>20</v>
      </c>
      <c r="T67" s="89" t="s">
        <v>60</v>
      </c>
      <c r="U67" s="4"/>
      <c r="V67" s="37"/>
      <c r="W67" s="37"/>
      <c r="X67" s="51"/>
      <c r="Y67" s="51"/>
      <c r="Z67" s="214" t="s">
        <v>200</v>
      </c>
    </row>
    <row r="68" spans="1:40" s="21" customFormat="1" ht="12.6" customHeight="1">
      <c r="A68" s="160" t="s">
        <v>55</v>
      </c>
      <c r="B68" s="49">
        <v>81.409000000000006</v>
      </c>
      <c r="C68" s="49" t="s">
        <v>97</v>
      </c>
      <c r="D68" s="348" t="s">
        <v>289</v>
      </c>
      <c r="E68" s="214" t="s">
        <v>320</v>
      </c>
      <c r="F68" s="165"/>
      <c r="G68" s="165"/>
      <c r="H68" s="165"/>
      <c r="I68" s="51"/>
      <c r="J68" s="161">
        <f t="shared" si="12"/>
        <v>4</v>
      </c>
      <c r="K68" s="162">
        <v>4</v>
      </c>
      <c r="L68" s="162">
        <v>10</v>
      </c>
      <c r="M68" s="160">
        <v>201</v>
      </c>
      <c r="N68" s="36">
        <v>4</v>
      </c>
      <c r="O68" s="160">
        <v>5</v>
      </c>
      <c r="P68" s="164">
        <v>2</v>
      </c>
      <c r="Q68" s="51" t="str">
        <f>CONCATENATE(D68,", 1.UEFS, FR ",IF(OR(T68="W",T68="S"),"Lindau","München"))</f>
        <v>VLSA102, 1.UEFS, FR München</v>
      </c>
      <c r="R68" s="163"/>
      <c r="S68" s="36">
        <v>20</v>
      </c>
      <c r="T68" s="89" t="s">
        <v>60</v>
      </c>
      <c r="U68" s="4"/>
      <c r="V68" s="37"/>
      <c r="W68" s="37"/>
      <c r="X68" s="51"/>
      <c r="Y68" s="51"/>
      <c r="Z68" s="197"/>
    </row>
    <row r="69" spans="1:40" s="5" customFormat="1" ht="12.6" customHeight="1">
      <c r="A69" s="160" t="s">
        <v>55</v>
      </c>
      <c r="B69" s="49">
        <v>81.45</v>
      </c>
      <c r="C69" s="166" t="s">
        <v>98</v>
      </c>
      <c r="D69" s="348" t="s">
        <v>290</v>
      </c>
      <c r="E69" s="214" t="s">
        <v>324</v>
      </c>
      <c r="F69" s="165"/>
      <c r="G69" s="165"/>
      <c r="H69" s="165"/>
      <c r="I69" s="51"/>
      <c r="J69" s="161">
        <f t="shared" si="12"/>
        <v>4</v>
      </c>
      <c r="K69" s="162">
        <v>4</v>
      </c>
      <c r="L69" s="167">
        <v>11</v>
      </c>
      <c r="M69" s="160">
        <v>201</v>
      </c>
      <c r="N69" s="36">
        <v>4</v>
      </c>
      <c r="O69" s="159">
        <v>5</v>
      </c>
      <c r="P69" s="167">
        <v>3</v>
      </c>
      <c r="Q69" s="51" t="str">
        <f>CONCATENATE(D69,", HFS,  FR ",IF(OR(T69="W",T69="S"),"Lindau","München"))</f>
        <v>SCH101, HFS,  FR München</v>
      </c>
      <c r="R69" s="54"/>
      <c r="S69" s="159">
        <v>20</v>
      </c>
      <c r="T69" s="89" t="s">
        <v>60</v>
      </c>
      <c r="U69" s="4"/>
      <c r="V69" s="54"/>
      <c r="W69" s="54"/>
      <c r="X69" s="52"/>
      <c r="Y69" s="52"/>
      <c r="Z69" s="214" t="s">
        <v>201</v>
      </c>
    </row>
    <row r="70" spans="1:40" s="5" customFormat="1" ht="12.6" customHeight="1">
      <c r="A70" s="160" t="s">
        <v>55</v>
      </c>
      <c r="B70" s="49">
        <v>81.45</v>
      </c>
      <c r="C70" s="166" t="s">
        <v>98</v>
      </c>
      <c r="D70" s="348" t="s">
        <v>291</v>
      </c>
      <c r="E70" s="214" t="s">
        <v>325</v>
      </c>
      <c r="F70" s="165"/>
      <c r="G70" s="165"/>
      <c r="H70" s="165"/>
      <c r="I70" s="51"/>
      <c r="J70" s="161">
        <f t="shared" si="12"/>
        <v>4</v>
      </c>
      <c r="K70" s="162">
        <v>4</v>
      </c>
      <c r="L70" s="167">
        <v>12</v>
      </c>
      <c r="M70" s="160">
        <v>201</v>
      </c>
      <c r="N70" s="36">
        <v>4</v>
      </c>
      <c r="O70" s="159">
        <v>5</v>
      </c>
      <c r="P70" s="167">
        <v>4</v>
      </c>
      <c r="Q70" s="51" t="str">
        <f>CONCATENATE(D70,", 1.UEFS, FR ",IF(OR(T70="W",T70="S"),"Lindau","München"))</f>
        <v>SCH102, 1.UEFS, FR München</v>
      </c>
      <c r="R70" s="54"/>
      <c r="S70" s="159">
        <v>20</v>
      </c>
      <c r="T70" s="89" t="s">
        <v>60</v>
      </c>
      <c r="U70" s="4"/>
      <c r="V70" s="54"/>
      <c r="W70" s="54"/>
      <c r="X70" s="52"/>
      <c r="Y70" s="52"/>
      <c r="Z70" s="215" t="s">
        <v>215</v>
      </c>
    </row>
    <row r="71" spans="1:40" s="21" customFormat="1" ht="12.6" customHeight="1">
      <c r="A71" s="160" t="s">
        <v>55</v>
      </c>
      <c r="B71" s="49">
        <v>81.528999999999996</v>
      </c>
      <c r="C71" s="49" t="s">
        <v>97</v>
      </c>
      <c r="D71" s="348" t="s">
        <v>292</v>
      </c>
      <c r="E71" s="214" t="s">
        <v>321</v>
      </c>
      <c r="F71" s="51"/>
      <c r="G71" s="51"/>
      <c r="H71" s="51"/>
      <c r="I71" s="51"/>
      <c r="J71" s="161">
        <f>N71</f>
        <v>4</v>
      </c>
      <c r="K71" s="162">
        <v>4</v>
      </c>
      <c r="L71" s="162">
        <v>13</v>
      </c>
      <c r="M71" s="160">
        <v>201</v>
      </c>
      <c r="N71" s="36">
        <v>4</v>
      </c>
      <c r="O71" s="160">
        <v>5</v>
      </c>
      <c r="P71" s="164">
        <v>5</v>
      </c>
      <c r="Q71" s="51" t="str">
        <f>CONCATENATE(D71,", HFS,  FR ",IF(OR(T71="W",T71="S"),"Lindau","München"))</f>
        <v>VLSA103, HFS,  FR München</v>
      </c>
      <c r="R71" s="163"/>
      <c r="S71" s="36">
        <v>20</v>
      </c>
      <c r="T71" s="89" t="s">
        <v>60</v>
      </c>
      <c r="U71" s="4"/>
      <c r="V71" s="37"/>
      <c r="W71" s="37"/>
      <c r="X71" s="51"/>
      <c r="Y71" s="51"/>
      <c r="Z71" s="214" t="s">
        <v>202</v>
      </c>
    </row>
    <row r="72" spans="1:40" s="21" customFormat="1" ht="12.6" customHeight="1">
      <c r="A72" s="160" t="s">
        <v>55</v>
      </c>
      <c r="B72" s="49">
        <v>81.528999999999996</v>
      </c>
      <c r="C72" s="49" t="s">
        <v>97</v>
      </c>
      <c r="D72" s="348" t="s">
        <v>293</v>
      </c>
      <c r="E72" s="214" t="s">
        <v>322</v>
      </c>
      <c r="F72" s="165"/>
      <c r="G72" s="165"/>
      <c r="H72" s="165"/>
      <c r="I72" s="51"/>
      <c r="J72" s="161">
        <f>N72</f>
        <v>4</v>
      </c>
      <c r="K72" s="162">
        <v>4</v>
      </c>
      <c r="L72" s="162">
        <v>14</v>
      </c>
      <c r="M72" s="160">
        <v>201</v>
      </c>
      <c r="N72" s="36">
        <v>4</v>
      </c>
      <c r="O72" s="160">
        <v>5</v>
      </c>
      <c r="P72" s="164">
        <v>6</v>
      </c>
      <c r="Q72" s="51" t="str">
        <f>CONCATENATE(D72,", 1.UEFS, FR ",IF(OR(T72="W",T72="S"),"Lindau","München"))</f>
        <v>VLSA104, 1.UEFS, FR München</v>
      </c>
      <c r="R72" s="163"/>
      <c r="S72" s="36">
        <v>20</v>
      </c>
      <c r="T72" s="89" t="s">
        <v>60</v>
      </c>
      <c r="U72" s="4"/>
      <c r="V72" s="37"/>
      <c r="W72" s="37"/>
      <c r="X72" s="51"/>
      <c r="Y72" s="51"/>
      <c r="Z72" s="197"/>
    </row>
    <row r="73" spans="1:40" s="21" customFormat="1" ht="12.6" customHeight="1">
      <c r="A73" s="160" t="s">
        <v>55</v>
      </c>
      <c r="B73" s="49">
        <v>81.528999999999996</v>
      </c>
      <c r="C73" s="49" t="s">
        <v>97</v>
      </c>
      <c r="D73" s="341" t="s">
        <v>99</v>
      </c>
      <c r="E73" s="214" t="s">
        <v>323</v>
      </c>
      <c r="F73" s="165"/>
      <c r="G73" s="165"/>
      <c r="H73" s="165"/>
      <c r="I73" s="51"/>
      <c r="J73" s="161">
        <f>N73</f>
        <v>4</v>
      </c>
      <c r="K73" s="162">
        <v>4</v>
      </c>
      <c r="L73" s="162">
        <v>15</v>
      </c>
      <c r="M73" s="160">
        <v>201</v>
      </c>
      <c r="N73" s="36">
        <v>4</v>
      </c>
      <c r="O73" s="160">
        <v>5</v>
      </c>
      <c r="P73" s="164">
        <v>7</v>
      </c>
      <c r="Q73" s="51" t="str">
        <f>CONCATENATE(D73,", HFS, FR ",IF(OR(T73="W",T73="S"),"Lindau","München"))</f>
        <v>VLSA205-GV, HFS, FR München</v>
      </c>
      <c r="R73" s="163"/>
      <c r="S73" s="36">
        <v>20</v>
      </c>
      <c r="T73" s="89" t="s">
        <v>60</v>
      </c>
      <c r="U73" s="4"/>
      <c r="V73" s="37"/>
      <c r="W73" s="37"/>
      <c r="X73" s="51"/>
      <c r="Y73" s="51"/>
      <c r="Z73" s="214" t="s">
        <v>203</v>
      </c>
    </row>
    <row r="74" spans="1:40" s="5" customFormat="1" ht="12.6" customHeight="1">
      <c r="A74" s="160" t="s">
        <v>55</v>
      </c>
      <c r="B74" s="49">
        <f>B55</f>
        <v>81.415000000000006</v>
      </c>
      <c r="C74" s="49" t="s">
        <v>67</v>
      </c>
      <c r="D74" s="344" t="str">
        <f>CONCATENATE(C74,"_SCH101",)</f>
        <v>VLT_SCH101</v>
      </c>
      <c r="E74" s="229" t="str">
        <f>D74</f>
        <v>VLT_SCH101</v>
      </c>
      <c r="F74" s="165"/>
      <c r="G74" s="165"/>
      <c r="H74" s="165"/>
      <c r="I74" s="51"/>
      <c r="J74" s="161">
        <f t="shared" si="12"/>
        <v>4</v>
      </c>
      <c r="K74" s="162">
        <v>6</v>
      </c>
      <c r="L74" s="159">
        <v>11</v>
      </c>
      <c r="M74" s="160">
        <v>201</v>
      </c>
      <c r="N74" s="36">
        <v>4</v>
      </c>
      <c r="O74" s="168">
        <v>5</v>
      </c>
      <c r="P74" s="159">
        <v>11</v>
      </c>
      <c r="Q74" s="51" t="s">
        <v>100</v>
      </c>
      <c r="R74" s="54">
        <v>55</v>
      </c>
      <c r="S74" s="159">
        <v>20</v>
      </c>
      <c r="T74" s="89" t="s">
        <v>60</v>
      </c>
      <c r="U74" s="4"/>
      <c r="V74" s="54"/>
      <c r="W74" s="54"/>
      <c r="X74" s="52"/>
      <c r="Y74" s="52"/>
      <c r="Z74" s="201"/>
    </row>
    <row r="75" spans="1:40" s="5" customFormat="1" ht="12.6" customHeight="1">
      <c r="A75" s="160" t="s">
        <v>55</v>
      </c>
      <c r="B75" s="49">
        <f>B74</f>
        <v>81.415000000000006</v>
      </c>
      <c r="C75" s="49" t="s">
        <v>67</v>
      </c>
      <c r="D75" s="344" t="str">
        <f>CONCATENATE(C75,"_SCH102",)</f>
        <v>VLT_SCH102</v>
      </c>
      <c r="E75" s="229" t="str">
        <f>D75</f>
        <v>VLT_SCH102</v>
      </c>
      <c r="F75" s="165"/>
      <c r="G75" s="165"/>
      <c r="H75" s="165"/>
      <c r="I75" s="36"/>
      <c r="J75" s="161">
        <f t="shared" si="12"/>
        <v>4</v>
      </c>
      <c r="K75" s="162">
        <v>6</v>
      </c>
      <c r="L75" s="159">
        <v>12</v>
      </c>
      <c r="M75" s="160">
        <v>201</v>
      </c>
      <c r="N75" s="160">
        <v>4</v>
      </c>
      <c r="O75" s="168">
        <v>5</v>
      </c>
      <c r="P75" s="159">
        <v>12</v>
      </c>
      <c r="Q75" s="51" t="s">
        <v>101</v>
      </c>
      <c r="R75" s="54">
        <v>55</v>
      </c>
      <c r="S75" s="159">
        <v>20</v>
      </c>
      <c r="T75" s="89" t="s">
        <v>60</v>
      </c>
      <c r="U75" s="4"/>
      <c r="V75" s="54"/>
      <c r="W75" s="54"/>
      <c r="X75" s="52"/>
      <c r="Y75" s="52"/>
      <c r="Z75" s="202"/>
    </row>
    <row r="76" spans="1:40" s="21" customFormat="1" ht="11.25" customHeight="1">
      <c r="A76" s="160" t="s">
        <v>55</v>
      </c>
      <c r="B76" s="49">
        <f>B55</f>
        <v>81.415000000000006</v>
      </c>
      <c r="C76" s="49" t="s">
        <v>67</v>
      </c>
      <c r="D76" s="344" t="str">
        <f>CONCATENATE(C76,"/SSt",N70)</f>
        <v>VLT/SSt4</v>
      </c>
      <c r="E76" s="229" t="str">
        <f>D76</f>
        <v>VLT/SSt4</v>
      </c>
      <c r="F76" s="51"/>
      <c r="G76" s="51"/>
      <c r="H76" s="51"/>
      <c r="I76" s="51"/>
      <c r="J76" s="161">
        <f t="shared" si="12"/>
        <v>4</v>
      </c>
      <c r="K76" s="36">
        <v>6</v>
      </c>
      <c r="L76" s="159" t="s">
        <v>75</v>
      </c>
      <c r="M76" s="160">
        <v>201</v>
      </c>
      <c r="N76" s="160">
        <v>4</v>
      </c>
      <c r="O76" s="159" t="s">
        <v>70</v>
      </c>
      <c r="P76" s="159" t="s">
        <v>75</v>
      </c>
      <c r="Q76" s="52" t="s">
        <v>68</v>
      </c>
      <c r="R76" s="37">
        <v>48</v>
      </c>
      <c r="S76" s="36">
        <v>20</v>
      </c>
      <c r="T76" s="89" t="s">
        <v>60</v>
      </c>
      <c r="U76" s="4"/>
      <c r="V76" s="37"/>
      <c r="W76" s="37"/>
      <c r="X76" s="37"/>
      <c r="Y76" s="37"/>
      <c r="Z76" s="202"/>
    </row>
    <row r="77" spans="1:40" s="21" customFormat="1" ht="12.6" customHeight="1">
      <c r="A77" s="160" t="str">
        <f>A75</f>
        <v>A 96</v>
      </c>
      <c r="B77" s="49">
        <f>B76</f>
        <v>81.415000000000006</v>
      </c>
      <c r="C77" s="49" t="s">
        <v>67</v>
      </c>
      <c r="D77" s="344" t="str">
        <f>CONCATENATE(C77,"/SSt",N78)</f>
        <v>VLT/SSt4</v>
      </c>
      <c r="E77" s="229" t="str">
        <f>D77</f>
        <v>VLT/SSt4</v>
      </c>
      <c r="F77" s="169"/>
      <c r="G77" s="169"/>
      <c r="H77" s="169"/>
      <c r="I77" s="36"/>
      <c r="J77" s="161">
        <f>J76</f>
        <v>4</v>
      </c>
      <c r="K77" s="36">
        <v>6</v>
      </c>
      <c r="L77" s="159">
        <v>4</v>
      </c>
      <c r="M77" s="160">
        <v>201</v>
      </c>
      <c r="N77" s="36">
        <f>N76</f>
        <v>4</v>
      </c>
      <c r="O77" s="159">
        <v>6</v>
      </c>
      <c r="P77" s="159">
        <v>4</v>
      </c>
      <c r="Q77" s="52" t="s">
        <v>69</v>
      </c>
      <c r="R77" s="37">
        <v>51</v>
      </c>
      <c r="S77" s="36">
        <v>20</v>
      </c>
      <c r="T77" s="89" t="s">
        <v>60</v>
      </c>
      <c r="U77" s="7"/>
      <c r="V77" s="36"/>
      <c r="W77" s="38"/>
      <c r="X77" s="38"/>
      <c r="Y77" s="39"/>
      <c r="Z77" s="199"/>
      <c r="AA77"/>
      <c r="AB77"/>
      <c r="AC77"/>
      <c r="AD77"/>
      <c r="AE77"/>
      <c r="AF77"/>
      <c r="AN77" s="4"/>
    </row>
    <row r="78" spans="1:40" s="23" customFormat="1" ht="12.6" customHeight="1">
      <c r="A78" s="160" t="str">
        <f>A76</f>
        <v>A 96</v>
      </c>
      <c r="B78" s="49">
        <f>B77</f>
        <v>81.415000000000006</v>
      </c>
      <c r="C78" s="49" t="s">
        <v>67</v>
      </c>
      <c r="D78" s="344" t="str">
        <f>CONCATENATE(C78,"1/SSt",RIGHT(N78,1))</f>
        <v>VLT1/SSt4</v>
      </c>
      <c r="E78" s="229" t="str">
        <f>D78</f>
        <v>VLT1/SSt4</v>
      </c>
      <c r="F78" s="169"/>
      <c r="G78" s="169"/>
      <c r="H78" s="169"/>
      <c r="I78" s="36"/>
      <c r="J78" s="161">
        <f>J77</f>
        <v>4</v>
      </c>
      <c r="K78" s="36">
        <v>6</v>
      </c>
      <c r="L78" s="50">
        <v>5</v>
      </c>
      <c r="M78" s="160">
        <v>201</v>
      </c>
      <c r="N78" s="36">
        <f>N77</f>
        <v>4</v>
      </c>
      <c r="O78" s="159" t="s">
        <v>70</v>
      </c>
      <c r="P78" s="159" t="s">
        <v>71</v>
      </c>
      <c r="Q78" s="52" t="s">
        <v>72</v>
      </c>
      <c r="R78" s="37">
        <v>54</v>
      </c>
      <c r="S78" s="36">
        <v>20</v>
      </c>
      <c r="T78" s="89" t="s">
        <v>60</v>
      </c>
      <c r="U78" s="7"/>
      <c r="V78" s="66"/>
      <c r="W78" s="67"/>
      <c r="X78" s="67"/>
      <c r="Y78" s="68"/>
      <c r="Z78" s="200"/>
      <c r="AA78"/>
      <c r="AB78"/>
      <c r="AC78"/>
      <c r="AD78"/>
      <c r="AE78"/>
      <c r="AF78"/>
      <c r="AN78" s="69"/>
    </row>
    <row r="79" spans="1:40" s="21" customFormat="1" ht="10.5" customHeight="1">
      <c r="A79" s="170"/>
      <c r="B79" s="49"/>
      <c r="C79" s="49"/>
      <c r="D79" s="344"/>
      <c r="E79" s="233"/>
      <c r="F79" s="169"/>
      <c r="G79" s="169"/>
      <c r="H79" s="169"/>
      <c r="I79" s="51"/>
      <c r="J79" s="161"/>
      <c r="K79" s="36"/>
      <c r="L79" s="159"/>
      <c r="M79" s="160"/>
      <c r="N79" s="36"/>
      <c r="O79" s="159"/>
      <c r="P79" s="159"/>
      <c r="Q79" s="52"/>
      <c r="R79" s="37"/>
      <c r="S79" s="36"/>
      <c r="T79" s="89"/>
      <c r="U79" s="7"/>
      <c r="V79" s="36"/>
      <c r="W79" s="38"/>
      <c r="X79" s="38"/>
      <c r="Y79" s="39"/>
      <c r="Z79" s="202"/>
      <c r="AN79" s="4"/>
    </row>
    <row r="80" spans="1:40" s="22" customFormat="1" ht="12.6" customHeight="1">
      <c r="A80" s="171" t="s">
        <v>55</v>
      </c>
      <c r="B80" s="172">
        <v>81.822000000000003</v>
      </c>
      <c r="C80" s="171" t="s">
        <v>56</v>
      </c>
      <c r="D80" s="340" t="str">
        <f>Q80</f>
        <v>SSt 105</v>
      </c>
      <c r="E80" s="229" t="str">
        <f>D80</f>
        <v>SSt 105</v>
      </c>
      <c r="F80" s="173"/>
      <c r="G80" s="187">
        <v>9607897</v>
      </c>
      <c r="H80" s="187" t="str">
        <f>DEC2HEX(G80)</f>
        <v>929AD9</v>
      </c>
      <c r="I80" s="174"/>
      <c r="J80" s="175">
        <f>N80</f>
        <v>5</v>
      </c>
      <c r="K80" s="171"/>
      <c r="L80" s="171"/>
      <c r="M80" s="171">
        <v>201</v>
      </c>
      <c r="N80" s="171">
        <v>5</v>
      </c>
      <c r="O80" s="171"/>
      <c r="P80" s="171"/>
      <c r="Q80" s="173" t="s">
        <v>102</v>
      </c>
      <c r="R80" s="176"/>
      <c r="S80" s="177"/>
      <c r="T80" s="88"/>
      <c r="U80" s="6"/>
      <c r="V80" s="47"/>
      <c r="W80" s="47"/>
      <c r="X80" s="47"/>
      <c r="Y80" s="47"/>
      <c r="Z80" s="203"/>
    </row>
    <row r="81" spans="1:40" s="288" customFormat="1" ht="12.6" customHeight="1">
      <c r="A81" s="304" t="s">
        <v>55</v>
      </c>
      <c r="B81" s="297">
        <v>81.822000000000003</v>
      </c>
      <c r="C81" s="302" t="s">
        <v>87</v>
      </c>
      <c r="D81" s="340"/>
      <c r="E81" s="287" t="s">
        <v>217</v>
      </c>
      <c r="F81" s="299"/>
      <c r="I81" s="300"/>
      <c r="J81" s="301"/>
      <c r="K81" s="302"/>
      <c r="L81" s="302"/>
      <c r="M81" s="302"/>
      <c r="N81" s="302"/>
      <c r="O81" s="302"/>
      <c r="P81" s="302"/>
      <c r="Q81" s="299"/>
      <c r="R81" s="303"/>
      <c r="S81" s="302"/>
      <c r="T81" s="286"/>
      <c r="U81" s="274"/>
      <c r="V81" s="292"/>
      <c r="W81" s="292"/>
      <c r="X81" s="292"/>
      <c r="Y81" s="292"/>
      <c r="Z81" s="305"/>
    </row>
    <row r="82" spans="1:40" s="21" customFormat="1">
      <c r="A82" s="160" t="s">
        <v>55</v>
      </c>
      <c r="B82" s="193">
        <v>81.822000000000003</v>
      </c>
      <c r="C82" s="193" t="s">
        <v>87</v>
      </c>
      <c r="D82" s="341" t="s">
        <v>103</v>
      </c>
      <c r="E82" s="190" t="s">
        <v>345</v>
      </c>
      <c r="F82" s="191"/>
      <c r="G82" s="51"/>
      <c r="H82" s="51"/>
      <c r="I82" s="51"/>
      <c r="J82" s="161">
        <v>2</v>
      </c>
      <c r="K82" s="211">
        <v>1</v>
      </c>
      <c r="L82" s="36">
        <v>1</v>
      </c>
      <c r="M82" s="160">
        <v>201</v>
      </c>
      <c r="N82" s="36">
        <v>4</v>
      </c>
      <c r="O82" s="36">
        <v>1</v>
      </c>
      <c r="P82" s="159">
        <v>1</v>
      </c>
      <c r="Q82" s="212" t="str">
        <f>CONCATENATE(D82,", HFS, FR ",IF(OR(T82="W",T82="S"),"Lindau","München"))</f>
        <v>DS103, HFS, FR München</v>
      </c>
      <c r="R82" s="37" t="s">
        <v>89</v>
      </c>
      <c r="S82" s="36">
        <v>20</v>
      </c>
      <c r="T82" s="209" t="s">
        <v>60</v>
      </c>
      <c r="U82" s="55"/>
      <c r="V82" s="50"/>
      <c r="W82" s="49"/>
      <c r="X82" s="36"/>
      <c r="Y82" s="36"/>
      <c r="Z82" s="190" t="s">
        <v>217</v>
      </c>
      <c r="AA82"/>
      <c r="AB82"/>
      <c r="AC82"/>
      <c r="AD82"/>
      <c r="AE82"/>
      <c r="AF82"/>
    </row>
    <row r="83" spans="1:40" s="21" customFormat="1">
      <c r="A83" s="6" t="s">
        <v>55</v>
      </c>
      <c r="B83" s="192">
        <v>81.822000000000003</v>
      </c>
      <c r="C83" s="192" t="s">
        <v>87</v>
      </c>
      <c r="D83" s="347" t="s">
        <v>104</v>
      </c>
      <c r="E83" s="190" t="s">
        <v>346</v>
      </c>
      <c r="J83" s="89">
        <v>2</v>
      </c>
      <c r="K83" s="210">
        <v>1</v>
      </c>
      <c r="L83" s="7">
        <v>2</v>
      </c>
      <c r="M83" s="6">
        <v>201</v>
      </c>
      <c r="N83" s="7">
        <v>4</v>
      </c>
      <c r="O83" s="7">
        <v>1</v>
      </c>
      <c r="P83" s="58">
        <v>2</v>
      </c>
      <c r="Q83" s="208" t="str">
        <f>CONCATENATE(D83,", 1.UEFS, FR ",IF(OR(T83="W",T83="S"),"Lindau","München"))</f>
        <v>DS104, 1.UEFS, FR München</v>
      </c>
      <c r="R83" s="158" t="s">
        <v>89</v>
      </c>
      <c r="S83" s="7">
        <v>20</v>
      </c>
      <c r="T83" s="209" t="s">
        <v>60</v>
      </c>
      <c r="U83" s="55"/>
      <c r="V83" s="50"/>
      <c r="W83" s="49"/>
      <c r="X83" s="51"/>
      <c r="Y83" s="36"/>
      <c r="Z83" s="197"/>
      <c r="AA83"/>
      <c r="AB83"/>
      <c r="AC83"/>
      <c r="AD83"/>
      <c r="AE83"/>
      <c r="AF83"/>
    </row>
    <row r="84" spans="1:40" s="21" customFormat="1">
      <c r="A84" s="6" t="s">
        <v>55</v>
      </c>
      <c r="B84" s="112">
        <v>81.822000000000003</v>
      </c>
      <c r="C84" s="217" t="s">
        <v>61</v>
      </c>
      <c r="D84" s="341" t="s">
        <v>105</v>
      </c>
      <c r="E84" s="214" t="s">
        <v>347</v>
      </c>
      <c r="J84" s="89">
        <f>N84</f>
        <v>5</v>
      </c>
      <c r="K84" s="7">
        <v>4</v>
      </c>
      <c r="L84" s="7">
        <v>194</v>
      </c>
      <c r="M84" s="6">
        <v>201</v>
      </c>
      <c r="N84" s="7">
        <v>5</v>
      </c>
      <c r="O84" s="7">
        <v>4</v>
      </c>
      <c r="P84" s="7">
        <v>0</v>
      </c>
      <c r="Q84" s="21" t="str">
        <f>CONCATENATE(D84,", FR ",IF(OR(T84="W",T84="S"),"Lindau","München"))</f>
        <v>Cluster WVZ107_8, FR München</v>
      </c>
      <c r="R84" s="158"/>
      <c r="S84" s="7">
        <v>20</v>
      </c>
      <c r="T84" s="89" t="s">
        <v>60</v>
      </c>
      <c r="U84" s="1"/>
      <c r="V84" s="50"/>
      <c r="W84" s="49"/>
      <c r="X84" s="51"/>
      <c r="Y84" s="50"/>
      <c r="Z84" s="214" t="s">
        <v>204</v>
      </c>
      <c r="AA84"/>
      <c r="AB84"/>
      <c r="AC84"/>
      <c r="AD84"/>
      <c r="AE84"/>
      <c r="AF84"/>
    </row>
    <row r="85" spans="1:40" s="21" customFormat="1">
      <c r="A85" s="220" t="s">
        <v>55</v>
      </c>
      <c r="B85" s="223">
        <v>81.822000000000003</v>
      </c>
      <c r="C85" s="217" t="s">
        <v>58</v>
      </c>
      <c r="D85" s="346" t="s">
        <v>227</v>
      </c>
      <c r="E85" s="214" t="s">
        <v>204</v>
      </c>
      <c r="F85" s="221"/>
      <c r="G85" s="221"/>
      <c r="H85" s="221"/>
      <c r="I85" s="221"/>
      <c r="J85" s="218">
        <f>N85</f>
        <v>5</v>
      </c>
      <c r="K85" s="219">
        <v>4</v>
      </c>
      <c r="L85" s="219"/>
      <c r="M85" s="220">
        <v>201</v>
      </c>
      <c r="N85" s="219">
        <v>5</v>
      </c>
      <c r="O85" s="219">
        <v>4</v>
      </c>
      <c r="P85" s="219">
        <v>0</v>
      </c>
      <c r="Q85" s="221" t="str">
        <f>CONCATENATE(D85,", FR ",IF(OR(T85="W",T85="S"),"Lindau","München"))</f>
        <v>AQ WVZ107_8, FR München</v>
      </c>
      <c r="R85" s="222"/>
      <c r="S85" s="219">
        <v>20</v>
      </c>
      <c r="T85" s="218" t="s">
        <v>60</v>
      </c>
      <c r="U85" s="219"/>
      <c r="V85" s="219"/>
      <c r="W85" s="217"/>
      <c r="X85" s="221"/>
      <c r="Y85" s="219"/>
      <c r="Z85" s="214"/>
      <c r="AA85"/>
      <c r="AB85"/>
      <c r="AC85"/>
      <c r="AD85"/>
      <c r="AE85"/>
      <c r="AF85"/>
    </row>
    <row r="86" spans="1:40" s="21" customFormat="1" ht="12" customHeight="1">
      <c r="A86" s="6" t="s">
        <v>55</v>
      </c>
      <c r="B86" s="55">
        <v>81.822000000000003</v>
      </c>
      <c r="C86" s="55" t="s">
        <v>61</v>
      </c>
      <c r="D86" s="346" t="s">
        <v>261</v>
      </c>
      <c r="E86" s="214" t="s">
        <v>348</v>
      </c>
      <c r="J86" s="89">
        <f>N86</f>
        <v>5</v>
      </c>
      <c r="K86" s="7">
        <v>4</v>
      </c>
      <c r="L86" s="58">
        <v>1</v>
      </c>
      <c r="M86" s="6">
        <v>201</v>
      </c>
      <c r="N86" s="7">
        <v>5</v>
      </c>
      <c r="O86" s="58">
        <v>4</v>
      </c>
      <c r="P86" s="58">
        <v>1</v>
      </c>
      <c r="Q86" s="21" t="str">
        <f>CONCATENATE(D86,", HFS,  FR ",IF(OR(T86="W",T86="S"),"Lindau","München"))</f>
        <v>WVZ107.1_A1, HFS,  FR München</v>
      </c>
      <c r="R86" s="158"/>
      <c r="S86" s="7">
        <v>20</v>
      </c>
      <c r="T86" s="89" t="s">
        <v>60</v>
      </c>
      <c r="U86" s="1" t="s">
        <v>106</v>
      </c>
      <c r="V86" s="36" t="s">
        <v>63</v>
      </c>
      <c r="W86" s="36">
        <v>3</v>
      </c>
      <c r="X86" s="53" t="s">
        <v>64</v>
      </c>
      <c r="Y86" s="36">
        <v>1</v>
      </c>
      <c r="Z86" s="197"/>
    </row>
    <row r="87" spans="1:40" s="21" customFormat="1" ht="12" customHeight="1">
      <c r="A87" s="6" t="s">
        <v>55</v>
      </c>
      <c r="B87" s="55">
        <v>81.822000000000003</v>
      </c>
      <c r="C87" s="55" t="s">
        <v>61</v>
      </c>
      <c r="D87" s="346" t="s">
        <v>262</v>
      </c>
      <c r="E87" s="214" t="s">
        <v>349</v>
      </c>
      <c r="J87" s="89">
        <f>N87</f>
        <v>5</v>
      </c>
      <c r="K87" s="7">
        <v>4</v>
      </c>
      <c r="L87" s="58">
        <v>2</v>
      </c>
      <c r="M87" s="6">
        <v>201</v>
      </c>
      <c r="N87" s="7">
        <v>5</v>
      </c>
      <c r="O87" s="58">
        <v>4</v>
      </c>
      <c r="P87" s="58">
        <v>4</v>
      </c>
      <c r="Q87" s="21" t="str">
        <f>CONCATENATE(D87,", 1.UEFS, FR ",IF(OR(T87="W",T87="S"),"Lindau","München"))</f>
        <v>WVZ108.1_A2, 1.UEFS, FR München</v>
      </c>
      <c r="R87" s="158"/>
      <c r="S87" s="7">
        <v>20</v>
      </c>
      <c r="T87" s="89" t="s">
        <v>60</v>
      </c>
      <c r="U87" s="1" t="s">
        <v>106</v>
      </c>
      <c r="V87" s="36" t="s">
        <v>63</v>
      </c>
      <c r="W87" s="36">
        <v>3</v>
      </c>
      <c r="X87" s="53" t="s">
        <v>64</v>
      </c>
      <c r="Y87" s="36">
        <v>1</v>
      </c>
      <c r="Z87" s="197"/>
    </row>
    <row r="88" spans="1:40" s="21" customFormat="1" ht="10.5" customHeight="1">
      <c r="A88" s="6"/>
      <c r="B88" s="55"/>
      <c r="C88" s="55"/>
      <c r="D88" s="344"/>
      <c r="E88" s="230"/>
      <c r="J88" s="89"/>
      <c r="K88" s="7"/>
      <c r="L88" s="58"/>
      <c r="M88" s="6"/>
      <c r="N88" s="7"/>
      <c r="O88" s="58"/>
      <c r="P88" s="58"/>
      <c r="R88" s="158"/>
      <c r="S88" s="7"/>
      <c r="T88" s="89"/>
      <c r="U88" s="1"/>
      <c r="V88" s="36"/>
      <c r="W88" s="36"/>
      <c r="X88" s="53"/>
      <c r="Y88" s="36"/>
      <c r="Z88" s="197"/>
    </row>
    <row r="89" spans="1:40" s="20" customFormat="1" ht="12.6" customHeight="1">
      <c r="A89" s="6"/>
      <c r="B89" s="55"/>
      <c r="C89" s="55"/>
      <c r="D89" s="349" t="s">
        <v>107</v>
      </c>
      <c r="E89" s="352" t="str">
        <f>D89</f>
        <v>Fahrtrichtung Lindau</v>
      </c>
      <c r="F89" s="80"/>
      <c r="G89" s="80"/>
      <c r="H89" s="80"/>
      <c r="I89" s="1"/>
      <c r="J89" s="89"/>
      <c r="K89" s="7"/>
      <c r="L89" s="58"/>
      <c r="M89" s="7"/>
      <c r="N89" s="7"/>
      <c r="O89" s="58"/>
      <c r="P89" s="58"/>
      <c r="Q89" s="5"/>
      <c r="R89" s="158"/>
      <c r="S89" s="7"/>
      <c r="T89" s="7"/>
      <c r="U89" s="4"/>
      <c r="V89" s="37"/>
      <c r="W89" s="37"/>
      <c r="X89" s="37"/>
      <c r="Y89" s="37"/>
      <c r="Z89" s="197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spans="1:40" s="22" customFormat="1" ht="12.6" customHeight="1">
      <c r="A90" s="57" t="s">
        <v>55</v>
      </c>
      <c r="B90" s="86">
        <v>82.668999999999997</v>
      </c>
      <c r="C90" s="57" t="s">
        <v>56</v>
      </c>
      <c r="D90" s="340" t="str">
        <f>Q90</f>
        <v>SSt 201</v>
      </c>
      <c r="E90" s="229" t="str">
        <f>D90</f>
        <v>SSt 201</v>
      </c>
      <c r="F90" s="65"/>
      <c r="G90" s="187">
        <v>9617917</v>
      </c>
      <c r="H90" s="187" t="str">
        <f>DEC2HEX(G90)</f>
        <v>92C1FD</v>
      </c>
      <c r="I90" s="98"/>
      <c r="J90" s="100">
        <f>N90</f>
        <v>6</v>
      </c>
      <c r="K90" s="57"/>
      <c r="L90" s="57"/>
      <c r="M90" s="57">
        <v>202</v>
      </c>
      <c r="N90" s="57">
        <v>6</v>
      </c>
      <c r="O90" s="57"/>
      <c r="P90" s="57"/>
      <c r="Q90" s="65" t="s">
        <v>108</v>
      </c>
      <c r="R90" s="87"/>
      <c r="S90" s="88"/>
      <c r="T90" s="88"/>
      <c r="U90" s="6"/>
      <c r="V90" s="47"/>
      <c r="W90" s="47"/>
      <c r="X90" s="47"/>
      <c r="Y90" s="47"/>
      <c r="Z90" s="198"/>
    </row>
    <row r="91" spans="1:40" s="21" customFormat="1">
      <c r="A91" s="6" t="s">
        <v>55</v>
      </c>
      <c r="B91" s="55">
        <v>82.638999999999996</v>
      </c>
      <c r="C91" s="217" t="s">
        <v>61</v>
      </c>
      <c r="D91" s="341" t="s">
        <v>109</v>
      </c>
      <c r="E91" s="214" t="s">
        <v>350</v>
      </c>
      <c r="J91" s="89">
        <f>N91</f>
        <v>6</v>
      </c>
      <c r="K91" s="7">
        <v>4</v>
      </c>
      <c r="L91" s="7">
        <v>193</v>
      </c>
      <c r="M91" s="6">
        <v>202</v>
      </c>
      <c r="N91" s="7">
        <v>6</v>
      </c>
      <c r="O91" s="7">
        <v>4</v>
      </c>
      <c r="P91" s="7">
        <v>0</v>
      </c>
      <c r="Q91" s="21" t="str">
        <f>CONCATENATE(D91,", FR ",IF(OR(T91="W",T91="S"),"Lindau","München"))</f>
        <v>Cluster WVZ201_202, FR Lindau</v>
      </c>
      <c r="R91" s="158"/>
      <c r="S91" s="7">
        <v>20</v>
      </c>
      <c r="T91" s="89" t="s">
        <v>92</v>
      </c>
      <c r="U91" s="1"/>
      <c r="V91" s="50"/>
      <c r="W91" s="49"/>
      <c r="X91" s="51"/>
      <c r="Y91" s="50"/>
      <c r="Z91" s="214" t="s">
        <v>205</v>
      </c>
      <c r="AA91"/>
      <c r="AB91"/>
      <c r="AC91"/>
      <c r="AD91"/>
      <c r="AE91"/>
      <c r="AF91"/>
    </row>
    <row r="92" spans="1:40" s="21" customFormat="1">
      <c r="A92" s="220" t="s">
        <v>55</v>
      </c>
      <c r="B92" s="217">
        <v>82.638999999999996</v>
      </c>
      <c r="C92" s="217" t="s">
        <v>58</v>
      </c>
      <c r="D92" s="346" t="s">
        <v>228</v>
      </c>
      <c r="E92" s="214" t="s">
        <v>205</v>
      </c>
      <c r="F92" s="221"/>
      <c r="G92" s="221"/>
      <c r="H92" s="221"/>
      <c r="I92" s="221"/>
      <c r="J92" s="218">
        <f>N92</f>
        <v>6</v>
      </c>
      <c r="K92" s="219">
        <v>4</v>
      </c>
      <c r="L92" s="219"/>
      <c r="M92" s="220">
        <v>202</v>
      </c>
      <c r="N92" s="219">
        <v>6</v>
      </c>
      <c r="O92" s="219">
        <v>4</v>
      </c>
      <c r="P92" s="219">
        <v>0</v>
      </c>
      <c r="Q92" s="221" t="str">
        <f>CONCATENATE(D92,", FR ",IF(OR(T92="W",T92="S"),"Lindau","München"))</f>
        <v>AQ WVZ201_202, FR Lindau</v>
      </c>
      <c r="R92" s="222"/>
      <c r="S92" s="219">
        <v>20</v>
      </c>
      <c r="T92" s="218" t="s">
        <v>92</v>
      </c>
      <c r="U92" s="219"/>
      <c r="V92" s="219"/>
      <c r="W92" s="217"/>
      <c r="X92" s="221"/>
      <c r="Y92" s="219"/>
      <c r="Z92" s="214"/>
      <c r="AA92"/>
      <c r="AB92"/>
      <c r="AC92"/>
      <c r="AD92"/>
      <c r="AE92"/>
      <c r="AF92"/>
    </row>
    <row r="93" spans="1:40" s="21" customFormat="1" ht="12" customHeight="1">
      <c r="A93" s="6" t="str">
        <f>A91</f>
        <v>A 96</v>
      </c>
      <c r="B93" s="55">
        <v>82.638999999999996</v>
      </c>
      <c r="C93" s="55" t="s">
        <v>61</v>
      </c>
      <c r="D93" s="346" t="s">
        <v>263</v>
      </c>
      <c r="E93" s="214" t="s">
        <v>351</v>
      </c>
      <c r="F93" s="23"/>
      <c r="G93" s="23"/>
      <c r="H93" s="23"/>
      <c r="J93" s="89">
        <f t="shared" ref="J93:J102" si="13">N93</f>
        <v>6</v>
      </c>
      <c r="K93" s="7">
        <v>4</v>
      </c>
      <c r="L93" s="58">
        <v>97</v>
      </c>
      <c r="M93" s="6">
        <v>202</v>
      </c>
      <c r="N93" s="7">
        <v>6</v>
      </c>
      <c r="O93" s="58">
        <v>4</v>
      </c>
      <c r="P93" s="58">
        <v>2</v>
      </c>
      <c r="Q93" s="21" t="str">
        <f>CONCATENATE(D93,", HFS,  FR ",IF(OR(T93="W",T93="S"),"Lindau","München"))</f>
        <v>WVZ201.1_B1, HFS,  FR Lindau</v>
      </c>
      <c r="R93" s="158"/>
      <c r="S93" s="7">
        <v>20</v>
      </c>
      <c r="T93" s="89" t="s">
        <v>92</v>
      </c>
      <c r="U93" s="1" t="s">
        <v>110</v>
      </c>
      <c r="V93" s="36" t="s">
        <v>63</v>
      </c>
      <c r="W93" s="36">
        <v>3</v>
      </c>
      <c r="X93" s="53" t="s">
        <v>64</v>
      </c>
      <c r="Y93" s="36">
        <v>1</v>
      </c>
      <c r="Z93" s="197"/>
    </row>
    <row r="94" spans="1:40" s="21" customFormat="1" ht="12" customHeight="1">
      <c r="A94" s="6" t="str">
        <f>A93</f>
        <v>A 96</v>
      </c>
      <c r="B94" s="55">
        <v>82.638999999999996</v>
      </c>
      <c r="C94" s="55" t="s">
        <v>61</v>
      </c>
      <c r="D94" s="346" t="s">
        <v>264</v>
      </c>
      <c r="E94" s="214" t="s">
        <v>352</v>
      </c>
      <c r="J94" s="89">
        <f t="shared" si="13"/>
        <v>6</v>
      </c>
      <c r="K94" s="7">
        <v>4</v>
      </c>
      <c r="L94" s="58">
        <v>105</v>
      </c>
      <c r="M94" s="6">
        <v>202</v>
      </c>
      <c r="N94" s="7">
        <v>6</v>
      </c>
      <c r="O94" s="58">
        <v>4</v>
      </c>
      <c r="P94" s="58">
        <v>3</v>
      </c>
      <c r="Q94" s="21" t="str">
        <f>CONCATENATE(D94,", HFS,  FR ",IF(OR(T94="W",T94="S"),"Lindau","München"))</f>
        <v>WVZ201.2_C1, HFS,  FR Lindau</v>
      </c>
      <c r="R94" s="158"/>
      <c r="S94" s="7">
        <v>20</v>
      </c>
      <c r="T94" s="89" t="s">
        <v>92</v>
      </c>
      <c r="U94" s="1" t="s">
        <v>111</v>
      </c>
      <c r="V94" s="36"/>
      <c r="W94" s="36"/>
      <c r="X94" s="53"/>
      <c r="Y94" s="36"/>
      <c r="Z94" s="197"/>
    </row>
    <row r="95" spans="1:40" s="21" customFormat="1">
      <c r="A95" s="6" t="str">
        <f>A93</f>
        <v>A 96</v>
      </c>
      <c r="B95" s="55">
        <v>82.638999999999996</v>
      </c>
      <c r="C95" s="55" t="s">
        <v>61</v>
      </c>
      <c r="D95" s="346" t="s">
        <v>265</v>
      </c>
      <c r="E95" s="214" t="s">
        <v>353</v>
      </c>
      <c r="J95" s="89">
        <f t="shared" si="13"/>
        <v>6</v>
      </c>
      <c r="K95" s="7">
        <v>4</v>
      </c>
      <c r="L95" s="58">
        <v>98</v>
      </c>
      <c r="M95" s="6">
        <v>202</v>
      </c>
      <c r="N95" s="7">
        <v>6</v>
      </c>
      <c r="O95" s="58">
        <v>4</v>
      </c>
      <c r="P95" s="58">
        <v>5</v>
      </c>
      <c r="Q95" s="21" t="str">
        <f>CONCATENATE(D95,", 1.UEFS, FR ",IF(OR(T95="W",T95="S"),"Lindau","München"))</f>
        <v>WVZ202.1_B2, 1.UEFS, FR Lindau</v>
      </c>
      <c r="R95" s="158"/>
      <c r="S95" s="7">
        <v>20</v>
      </c>
      <c r="T95" s="89" t="s">
        <v>92</v>
      </c>
      <c r="U95" s="1" t="s">
        <v>110</v>
      </c>
      <c r="V95" s="36" t="s">
        <v>63</v>
      </c>
      <c r="W95" s="36">
        <v>3</v>
      </c>
      <c r="X95" s="53" t="s">
        <v>64</v>
      </c>
      <c r="Y95" s="36">
        <v>1</v>
      </c>
      <c r="Z95" s="197"/>
    </row>
    <row r="96" spans="1:40" s="21" customFormat="1">
      <c r="A96" s="6" t="str">
        <f>A94</f>
        <v>A 96</v>
      </c>
      <c r="B96" s="55">
        <v>82.638999999999996</v>
      </c>
      <c r="C96" s="55" t="s">
        <v>61</v>
      </c>
      <c r="D96" s="346" t="s">
        <v>266</v>
      </c>
      <c r="E96" s="214" t="s">
        <v>354</v>
      </c>
      <c r="J96" s="89">
        <f t="shared" si="13"/>
        <v>6</v>
      </c>
      <c r="K96" s="7">
        <v>4</v>
      </c>
      <c r="L96" s="58">
        <v>106</v>
      </c>
      <c r="M96" s="6">
        <v>202</v>
      </c>
      <c r="N96" s="7">
        <v>6</v>
      </c>
      <c r="O96" s="58">
        <v>4</v>
      </c>
      <c r="P96" s="58">
        <v>6</v>
      </c>
      <c r="Q96" s="21" t="str">
        <f>CONCATENATE(D96,", 1.UEFS, FR ",IF(OR(T96="W",T96="S"),"Lindau","München"))</f>
        <v>WVZ202.2_C2, 1.UEFS, FR Lindau</v>
      </c>
      <c r="R96" s="158"/>
      <c r="S96" s="7">
        <v>20</v>
      </c>
      <c r="T96" s="89" t="s">
        <v>92</v>
      </c>
      <c r="U96" s="1" t="s">
        <v>111</v>
      </c>
      <c r="V96" s="36" t="s">
        <v>63</v>
      </c>
      <c r="W96" s="36">
        <v>3</v>
      </c>
      <c r="X96" s="53" t="s">
        <v>64</v>
      </c>
      <c r="Y96" s="36">
        <v>1</v>
      </c>
      <c r="Z96" s="197"/>
    </row>
    <row r="97" spans="1:40" s="21" customFormat="1">
      <c r="A97" s="6" t="str">
        <f>A95</f>
        <v>A 96</v>
      </c>
      <c r="B97" s="55">
        <v>82.638999999999996</v>
      </c>
      <c r="C97" s="55" t="s">
        <v>61</v>
      </c>
      <c r="D97" s="346" t="s">
        <v>267</v>
      </c>
      <c r="E97" s="214" t="s">
        <v>355</v>
      </c>
      <c r="F97" s="101"/>
      <c r="G97" s="101"/>
      <c r="H97" s="101"/>
      <c r="J97" s="89">
        <f t="shared" si="13"/>
        <v>6</v>
      </c>
      <c r="K97" s="7">
        <v>4</v>
      </c>
      <c r="L97" s="58">
        <v>57</v>
      </c>
      <c r="M97" s="6">
        <v>202</v>
      </c>
      <c r="N97" s="7">
        <v>6</v>
      </c>
      <c r="O97" s="58">
        <v>4</v>
      </c>
      <c r="P97" s="58">
        <v>101</v>
      </c>
      <c r="Q97" s="21" t="str">
        <f>CONCATENATE(D97,", HFS,  FR ",IF(OR(T97="W",T97="S"),"Lindau","München"))</f>
        <v xml:space="preserve"> BA201.1-2_BL1, HFS,  FR Lindau</v>
      </c>
      <c r="R97" s="158"/>
      <c r="S97" s="7">
        <v>20</v>
      </c>
      <c r="T97" s="89" t="s">
        <v>92</v>
      </c>
      <c r="U97" s="1"/>
      <c r="V97" s="36" t="s">
        <v>63</v>
      </c>
      <c r="W97" s="36">
        <v>3</v>
      </c>
      <c r="X97" s="53" t="s">
        <v>64</v>
      </c>
      <c r="Y97" s="36">
        <v>1</v>
      </c>
      <c r="Z97" s="197"/>
    </row>
    <row r="98" spans="1:40" s="21" customFormat="1">
      <c r="A98" s="6" t="str">
        <f>A97</f>
        <v>A 96</v>
      </c>
      <c r="B98" s="55">
        <v>82.638999999999996</v>
      </c>
      <c r="C98" s="55" t="s">
        <v>61</v>
      </c>
      <c r="D98" s="346" t="s">
        <v>268</v>
      </c>
      <c r="E98" s="214" t="s">
        <v>356</v>
      </c>
      <c r="F98" s="80"/>
      <c r="G98" s="80"/>
      <c r="H98" s="80"/>
      <c r="J98" s="89">
        <f t="shared" si="13"/>
        <v>6</v>
      </c>
      <c r="K98" s="7">
        <v>4</v>
      </c>
      <c r="L98" s="58">
        <v>58</v>
      </c>
      <c r="M98" s="6">
        <v>202</v>
      </c>
      <c r="N98" s="7">
        <v>6</v>
      </c>
      <c r="O98" s="58">
        <v>4</v>
      </c>
      <c r="P98" s="58">
        <v>102</v>
      </c>
      <c r="Q98" s="21" t="str">
        <f>CONCATENATE(D98,", 1.UEFS, FR ",IF(OR(T98="W",T98="S"),"Lindau","München"))</f>
        <v xml:space="preserve"> BA202.1-2_BL2, 1.UEFS, FR Lindau</v>
      </c>
      <c r="R98" s="158"/>
      <c r="S98" s="7">
        <v>20</v>
      </c>
      <c r="T98" s="89" t="s">
        <v>92</v>
      </c>
      <c r="U98" s="1"/>
      <c r="V98" s="36" t="s">
        <v>63</v>
      </c>
      <c r="W98" s="36">
        <v>3</v>
      </c>
      <c r="X98" s="53" t="s">
        <v>64</v>
      </c>
      <c r="Y98" s="36">
        <v>1</v>
      </c>
      <c r="Z98" s="197"/>
    </row>
    <row r="99" spans="1:40" s="278" customFormat="1">
      <c r="A99" s="274" t="str">
        <f>A98</f>
        <v>A 96</v>
      </c>
      <c r="B99" s="275">
        <v>83.638999999999996</v>
      </c>
      <c r="C99" s="273" t="s">
        <v>310</v>
      </c>
      <c r="D99" s="346"/>
      <c r="E99" s="276" t="s">
        <v>357</v>
      </c>
      <c r="F99" s="277"/>
      <c r="G99" s="277"/>
      <c r="H99" s="277"/>
      <c r="J99" s="279"/>
      <c r="K99" s="280"/>
      <c r="L99" s="281"/>
      <c r="M99" s="274"/>
      <c r="N99" s="280"/>
      <c r="O99" s="281"/>
      <c r="P99" s="281"/>
      <c r="R99" s="282"/>
      <c r="S99" s="280"/>
      <c r="T99" s="279"/>
      <c r="U99" s="283"/>
      <c r="V99" s="284"/>
      <c r="W99" s="284"/>
      <c r="X99" s="285"/>
      <c r="Y99" s="284"/>
    </row>
    <row r="100" spans="1:40" s="21" customFormat="1">
      <c r="A100" s="6" t="str">
        <f>A98</f>
        <v>A 96</v>
      </c>
      <c r="B100" s="55">
        <v>82.638999999999996</v>
      </c>
      <c r="C100" s="273" t="s">
        <v>309</v>
      </c>
      <c r="D100" s="343" t="s">
        <v>112</v>
      </c>
      <c r="E100" s="214" t="s">
        <v>358</v>
      </c>
      <c r="F100" s="80"/>
      <c r="G100" s="80"/>
      <c r="H100" s="80"/>
      <c r="J100" s="89">
        <f t="shared" si="13"/>
        <v>6</v>
      </c>
      <c r="K100" s="7">
        <v>3</v>
      </c>
      <c r="L100" s="7">
        <v>1</v>
      </c>
      <c r="M100" s="6">
        <v>202</v>
      </c>
      <c r="N100" s="7">
        <v>6</v>
      </c>
      <c r="O100" s="58">
        <v>4</v>
      </c>
      <c r="P100" s="58">
        <v>1</v>
      </c>
      <c r="Q100" s="21" t="str">
        <f>CONCATENATE(D100,", FR ",IF(OR(T100="W",T100="S"),"Lindau","München"))</f>
        <v>WVZ201_Helligkeit , FR Lindau</v>
      </c>
      <c r="R100" s="158">
        <v>61</v>
      </c>
      <c r="S100" s="7">
        <v>20</v>
      </c>
      <c r="T100" s="89" t="s">
        <v>92</v>
      </c>
      <c r="U100" s="1"/>
      <c r="V100" s="36" t="s">
        <v>63</v>
      </c>
      <c r="W100" s="36">
        <v>3</v>
      </c>
      <c r="X100" s="53" t="s">
        <v>64</v>
      </c>
      <c r="Y100" s="36">
        <v>1</v>
      </c>
      <c r="Z100" s="197"/>
    </row>
    <row r="101" spans="1:40" s="21" customFormat="1">
      <c r="A101" s="6" t="str">
        <f>A100</f>
        <v>A 96</v>
      </c>
      <c r="B101" s="55">
        <v>82.638999999999996</v>
      </c>
      <c r="C101" s="273" t="s">
        <v>309</v>
      </c>
      <c r="D101" s="343" t="s">
        <v>113</v>
      </c>
      <c r="E101" s="214" t="s">
        <v>359</v>
      </c>
      <c r="F101" s="80"/>
      <c r="G101" s="80"/>
      <c r="H101" s="80"/>
      <c r="J101" s="89">
        <f t="shared" si="13"/>
        <v>6</v>
      </c>
      <c r="K101" s="7">
        <v>3</v>
      </c>
      <c r="L101" s="7">
        <v>2</v>
      </c>
      <c r="M101" s="6">
        <v>202</v>
      </c>
      <c r="N101" s="7">
        <v>6</v>
      </c>
      <c r="O101" s="58">
        <v>4</v>
      </c>
      <c r="P101" s="58">
        <v>2</v>
      </c>
      <c r="Q101" s="21" t="str">
        <f>CONCATENATE(D101,", FR ",IF(OR(T101="W",T101="S"),"Lindau","München"))</f>
        <v>WVZ202_Helligkeit , FR Lindau</v>
      </c>
      <c r="R101" s="158">
        <v>61</v>
      </c>
      <c r="S101" s="7">
        <v>20</v>
      </c>
      <c r="T101" s="89" t="s">
        <v>92</v>
      </c>
      <c r="U101" s="1"/>
      <c r="V101" s="36" t="s">
        <v>63</v>
      </c>
      <c r="W101" s="36">
        <v>3</v>
      </c>
      <c r="X101" s="53" t="s">
        <v>64</v>
      </c>
      <c r="Y101" s="36">
        <v>1</v>
      </c>
      <c r="Z101" s="197"/>
    </row>
    <row r="102" spans="1:40" s="21" customFormat="1" ht="12.6" customHeight="1">
      <c r="A102" s="6" t="str">
        <f>A98</f>
        <v>A 96</v>
      </c>
      <c r="B102" s="55">
        <f>B90</f>
        <v>82.668999999999997</v>
      </c>
      <c r="C102" s="55" t="s">
        <v>67</v>
      </c>
      <c r="D102" s="344" t="str">
        <f>CONCATENATE(C102,"/SSt",N102)</f>
        <v>VLT/SSt6</v>
      </c>
      <c r="E102" s="229" t="str">
        <f>D102</f>
        <v>VLT/SSt6</v>
      </c>
      <c r="F102" s="80"/>
      <c r="G102" s="80"/>
      <c r="H102" s="80"/>
      <c r="I102" s="7"/>
      <c r="J102" s="89">
        <f t="shared" si="13"/>
        <v>6</v>
      </c>
      <c r="K102" s="7">
        <v>6</v>
      </c>
      <c r="L102" s="58">
        <v>1</v>
      </c>
      <c r="M102" s="6">
        <v>202</v>
      </c>
      <c r="N102" s="7">
        <v>6</v>
      </c>
      <c r="O102" s="58">
        <v>6</v>
      </c>
      <c r="P102" s="58">
        <v>1</v>
      </c>
      <c r="Q102" s="21" t="s">
        <v>68</v>
      </c>
      <c r="R102" s="158">
        <v>48</v>
      </c>
      <c r="S102" s="7">
        <v>20</v>
      </c>
      <c r="T102" s="89" t="s">
        <v>92</v>
      </c>
      <c r="U102" s="4"/>
      <c r="V102" s="37"/>
      <c r="W102" s="37"/>
      <c r="X102" s="37"/>
      <c r="Y102" s="37"/>
      <c r="Z102" s="197"/>
      <c r="AA102"/>
      <c r="AB102"/>
      <c r="AC102"/>
      <c r="AD102"/>
      <c r="AE102"/>
      <c r="AF102"/>
    </row>
    <row r="103" spans="1:40" s="21" customFormat="1" ht="12.6" customHeight="1">
      <c r="A103" s="6" t="str">
        <f>A101</f>
        <v>A 96</v>
      </c>
      <c r="B103" s="55">
        <f>B102</f>
        <v>82.668999999999997</v>
      </c>
      <c r="C103" s="55" t="s">
        <v>67</v>
      </c>
      <c r="D103" s="344" t="str">
        <f>CONCATENATE(C103,"/SSt",N104)</f>
        <v>VLT/SSt6</v>
      </c>
      <c r="E103" s="229" t="str">
        <f>D103</f>
        <v>VLT/SSt6</v>
      </c>
      <c r="F103" s="59"/>
      <c r="G103" s="59"/>
      <c r="H103" s="59"/>
      <c r="I103" s="7"/>
      <c r="J103" s="89">
        <f>J102</f>
        <v>6</v>
      </c>
      <c r="K103" s="7">
        <v>6</v>
      </c>
      <c r="L103" s="58">
        <v>4</v>
      </c>
      <c r="M103" s="6">
        <v>202</v>
      </c>
      <c r="N103" s="7">
        <f>N102</f>
        <v>6</v>
      </c>
      <c r="O103" s="58">
        <v>6</v>
      </c>
      <c r="P103" s="58">
        <v>4</v>
      </c>
      <c r="Q103" s="21" t="s">
        <v>69</v>
      </c>
      <c r="R103" s="158">
        <v>51</v>
      </c>
      <c r="S103" s="7">
        <v>20</v>
      </c>
      <c r="T103" s="89" t="s">
        <v>92</v>
      </c>
      <c r="U103" s="7"/>
      <c r="V103" s="36"/>
      <c r="W103" s="38"/>
      <c r="X103" s="38"/>
      <c r="Y103" s="39"/>
      <c r="Z103" s="199"/>
      <c r="AA103"/>
      <c r="AB103"/>
      <c r="AC103"/>
      <c r="AD103"/>
      <c r="AE103"/>
      <c r="AF103"/>
      <c r="AN103" s="4"/>
    </row>
    <row r="104" spans="1:40" s="23" customFormat="1" ht="12.6" customHeight="1">
      <c r="A104" s="6" t="str">
        <f>A102</f>
        <v>A 96</v>
      </c>
      <c r="B104" s="55">
        <f>B103</f>
        <v>82.668999999999997</v>
      </c>
      <c r="C104" s="55" t="s">
        <v>67</v>
      </c>
      <c r="D104" s="344" t="str">
        <f>CONCATENATE(C104,"1/SSt",RIGHT(N104,1))</f>
        <v>VLT1/SSt6</v>
      </c>
      <c r="E104" s="229" t="str">
        <f>D104</f>
        <v>VLT1/SSt6</v>
      </c>
      <c r="F104" s="59"/>
      <c r="G104" s="59"/>
      <c r="H104" s="59"/>
      <c r="I104" s="7"/>
      <c r="J104" s="89">
        <f>J103</f>
        <v>6</v>
      </c>
      <c r="K104" s="7">
        <v>6</v>
      </c>
      <c r="L104" s="1">
        <v>5</v>
      </c>
      <c r="M104" s="6">
        <v>202</v>
      </c>
      <c r="N104" s="7">
        <f>N103</f>
        <v>6</v>
      </c>
      <c r="O104" s="58" t="s">
        <v>70</v>
      </c>
      <c r="P104" s="58" t="s">
        <v>71</v>
      </c>
      <c r="Q104" s="21" t="s">
        <v>72</v>
      </c>
      <c r="R104" s="158">
        <v>54</v>
      </c>
      <c r="S104" s="7">
        <v>20</v>
      </c>
      <c r="T104" s="89" t="s">
        <v>92</v>
      </c>
      <c r="U104" s="7"/>
      <c r="V104" s="66"/>
      <c r="W104" s="67"/>
      <c r="X104" s="67"/>
      <c r="Y104" s="68"/>
      <c r="Z104" s="200"/>
      <c r="AA104"/>
      <c r="AB104"/>
      <c r="AC104"/>
      <c r="AD104"/>
      <c r="AE104"/>
      <c r="AF104"/>
      <c r="AN104" s="69"/>
    </row>
    <row r="105" spans="1:40" s="21" customFormat="1" ht="14.25" customHeight="1">
      <c r="A105" s="6"/>
      <c r="B105" s="55"/>
      <c r="C105" s="55"/>
      <c r="D105" s="345"/>
      <c r="E105" s="231"/>
      <c r="I105" s="1"/>
      <c r="J105" s="89"/>
      <c r="K105" s="7"/>
      <c r="L105" s="58"/>
      <c r="M105" s="7"/>
      <c r="N105" s="7"/>
      <c r="O105" s="58"/>
      <c r="P105" s="58"/>
      <c r="Q105" s="5"/>
      <c r="R105" s="158"/>
      <c r="S105" s="7"/>
      <c r="T105" s="7"/>
      <c r="U105" s="4"/>
      <c r="V105" s="37"/>
      <c r="W105" s="37"/>
      <c r="X105" s="37"/>
      <c r="Y105" s="37"/>
      <c r="Z105" s="197"/>
      <c r="AA105"/>
      <c r="AB105"/>
      <c r="AC105"/>
      <c r="AD105"/>
      <c r="AE105"/>
      <c r="AF105"/>
    </row>
    <row r="106" spans="1:40" s="22" customFormat="1" ht="12.6" customHeight="1">
      <c r="A106" s="57" t="s">
        <v>55</v>
      </c>
      <c r="B106" s="86">
        <v>82.491</v>
      </c>
      <c r="C106" s="57" t="s">
        <v>56</v>
      </c>
      <c r="D106" s="340" t="str">
        <f>Q106</f>
        <v>SSt 202</v>
      </c>
      <c r="E106" s="229" t="str">
        <f>D106</f>
        <v>SSt 202</v>
      </c>
      <c r="F106" s="65"/>
      <c r="G106" s="187">
        <v>9617913</v>
      </c>
      <c r="H106" s="187" t="str">
        <f>DEC2HEX(G106)</f>
        <v>92C1F9</v>
      </c>
      <c r="I106" s="98"/>
      <c r="J106" s="100">
        <f t="shared" ref="J106:J114" si="14">N106</f>
        <v>7</v>
      </c>
      <c r="K106" s="57"/>
      <c r="L106" s="57"/>
      <c r="M106" s="57">
        <v>202</v>
      </c>
      <c r="N106" s="57">
        <v>7</v>
      </c>
      <c r="O106" s="57"/>
      <c r="P106" s="57"/>
      <c r="Q106" s="65" t="s">
        <v>114</v>
      </c>
      <c r="R106" s="87"/>
      <c r="S106" s="88"/>
      <c r="T106" s="88"/>
      <c r="U106" s="6"/>
      <c r="V106" s="47"/>
      <c r="W106" s="47"/>
      <c r="X106" s="47"/>
      <c r="Y106" s="47"/>
      <c r="Z106" s="198"/>
    </row>
    <row r="107" spans="1:40" s="21" customFormat="1">
      <c r="A107" s="6" t="s">
        <v>55</v>
      </c>
      <c r="B107" s="55">
        <v>82.477999999999994</v>
      </c>
      <c r="C107" s="217" t="s">
        <v>61</v>
      </c>
      <c r="D107" s="341" t="s">
        <v>115</v>
      </c>
      <c r="E107" s="214" t="s">
        <v>360</v>
      </c>
      <c r="J107" s="89">
        <f t="shared" si="14"/>
        <v>7</v>
      </c>
      <c r="K107" s="7">
        <v>4</v>
      </c>
      <c r="L107" s="7">
        <v>193</v>
      </c>
      <c r="M107" s="6">
        <v>202</v>
      </c>
      <c r="N107" s="7">
        <v>7</v>
      </c>
      <c r="O107" s="7">
        <v>4</v>
      </c>
      <c r="P107" s="7">
        <v>0</v>
      </c>
      <c r="Q107" s="21" t="str">
        <f>CONCATENATE(D107,", FR ",IF(OR(T107="W",T107="S"),"Lindau","München"))</f>
        <v>Cluster WVZ203_204, FR Lindau</v>
      </c>
      <c r="R107" s="158"/>
      <c r="S107" s="7">
        <v>20</v>
      </c>
      <c r="T107" s="89" t="s">
        <v>92</v>
      </c>
      <c r="U107" s="1"/>
      <c r="V107" s="50"/>
      <c r="W107" s="49"/>
      <c r="X107" s="51"/>
      <c r="Y107" s="50"/>
      <c r="Z107" s="214" t="s">
        <v>207</v>
      </c>
      <c r="AA107"/>
      <c r="AB107"/>
      <c r="AC107"/>
      <c r="AD107"/>
      <c r="AE107"/>
      <c r="AF107"/>
    </row>
    <row r="108" spans="1:40" s="21" customFormat="1">
      <c r="A108" s="220" t="s">
        <v>55</v>
      </c>
      <c r="B108" s="217">
        <v>82.477999999999994</v>
      </c>
      <c r="C108" s="217" t="s">
        <v>58</v>
      </c>
      <c r="D108" s="346" t="s">
        <v>229</v>
      </c>
      <c r="E108" s="214" t="s">
        <v>207</v>
      </c>
      <c r="F108" s="221"/>
      <c r="G108" s="221"/>
      <c r="H108" s="221"/>
      <c r="I108" s="221"/>
      <c r="J108" s="218">
        <f t="shared" ref="J108" si="15">N108</f>
        <v>7</v>
      </c>
      <c r="K108" s="219">
        <v>4</v>
      </c>
      <c r="L108" s="219"/>
      <c r="M108" s="220">
        <v>202</v>
      </c>
      <c r="N108" s="219">
        <v>7</v>
      </c>
      <c r="O108" s="219">
        <v>4</v>
      </c>
      <c r="P108" s="219">
        <v>0</v>
      </c>
      <c r="Q108" s="221" t="str">
        <f>CONCATENATE(D108,", FR ",IF(OR(T108="W",T108="S"),"Lindau","München"))</f>
        <v>AQ WVZ203_204, FR Lindau</v>
      </c>
      <c r="R108" s="222"/>
      <c r="S108" s="219">
        <v>20</v>
      </c>
      <c r="T108" s="218" t="s">
        <v>92</v>
      </c>
      <c r="U108" s="219"/>
      <c r="V108" s="219"/>
      <c r="W108" s="217"/>
      <c r="X108" s="221"/>
      <c r="Y108" s="219"/>
      <c r="Z108" s="214"/>
      <c r="AA108"/>
      <c r="AB108"/>
      <c r="AC108"/>
      <c r="AD108"/>
      <c r="AE108"/>
      <c r="AF108"/>
    </row>
    <row r="109" spans="1:40" s="21" customFormat="1" ht="12" customHeight="1">
      <c r="A109" s="6" t="str">
        <f>A107</f>
        <v>A 96</v>
      </c>
      <c r="B109" s="55">
        <f>B107</f>
        <v>82.477999999999994</v>
      </c>
      <c r="C109" s="55" t="s">
        <v>61</v>
      </c>
      <c r="D109" s="346" t="s">
        <v>269</v>
      </c>
      <c r="E109" s="214" t="s">
        <v>361</v>
      </c>
      <c r="J109" s="89">
        <f t="shared" si="14"/>
        <v>7</v>
      </c>
      <c r="K109" s="7">
        <v>4</v>
      </c>
      <c r="L109" s="58">
        <v>33</v>
      </c>
      <c r="M109" s="6">
        <v>202</v>
      </c>
      <c r="N109" s="7">
        <v>7</v>
      </c>
      <c r="O109" s="58">
        <v>4</v>
      </c>
      <c r="P109" s="58">
        <v>1</v>
      </c>
      <c r="Q109" s="21" t="str">
        <f>CONCATENATE(D109,", HFS,  FR ",IF(OR(T109="W",T109="S"),"Lindau","München"))</f>
        <v>WVZ203.1_A1, HFS,  FR Lindau</v>
      </c>
      <c r="R109" s="158"/>
      <c r="S109" s="7">
        <v>20</v>
      </c>
      <c r="T109" s="89" t="s">
        <v>92</v>
      </c>
      <c r="U109" s="1" t="s">
        <v>76</v>
      </c>
      <c r="V109" s="36" t="s">
        <v>63</v>
      </c>
      <c r="W109" s="36">
        <v>3</v>
      </c>
      <c r="X109" s="53" t="s">
        <v>64</v>
      </c>
      <c r="Y109" s="36">
        <v>1</v>
      </c>
      <c r="Z109" s="197"/>
    </row>
    <row r="110" spans="1:40" s="21" customFormat="1">
      <c r="A110" s="6" t="str">
        <f>A109</f>
        <v>A 96</v>
      </c>
      <c r="B110" s="55">
        <f>B109</f>
        <v>82.477999999999994</v>
      </c>
      <c r="C110" s="55" t="s">
        <v>61</v>
      </c>
      <c r="D110" s="346" t="s">
        <v>270</v>
      </c>
      <c r="E110" s="214" t="s">
        <v>362</v>
      </c>
      <c r="J110" s="89">
        <f t="shared" si="14"/>
        <v>7</v>
      </c>
      <c r="K110" s="7">
        <v>4</v>
      </c>
      <c r="L110" s="58">
        <v>34</v>
      </c>
      <c r="M110" s="6">
        <v>202</v>
      </c>
      <c r="N110" s="7">
        <v>7</v>
      </c>
      <c r="O110" s="58">
        <v>4</v>
      </c>
      <c r="P110" s="58">
        <v>4</v>
      </c>
      <c r="Q110" s="21" t="str">
        <f>CONCATENATE(D110,", 1.UEFS, FR ",IF(OR(T110="W",T110="S"),"Lindau","München"))</f>
        <v>WVZ204.1_A2, 1.UEFS, FR Lindau</v>
      </c>
      <c r="R110" s="158"/>
      <c r="S110" s="7">
        <v>20</v>
      </c>
      <c r="T110" s="89" t="s">
        <v>92</v>
      </c>
      <c r="U110" s="1" t="s">
        <v>76</v>
      </c>
      <c r="V110" s="36" t="s">
        <v>63</v>
      </c>
      <c r="W110" s="36">
        <v>3</v>
      </c>
      <c r="X110" s="53" t="s">
        <v>64</v>
      </c>
      <c r="Y110" s="36">
        <v>1</v>
      </c>
      <c r="Z110" s="197"/>
    </row>
    <row r="111" spans="1:40" s="278" customFormat="1">
      <c r="A111" s="274" t="str">
        <f>A110</f>
        <v>A 96</v>
      </c>
      <c r="B111" s="275">
        <f>B110</f>
        <v>82.477999999999994</v>
      </c>
      <c r="C111" s="273" t="s">
        <v>310</v>
      </c>
      <c r="D111" s="346"/>
      <c r="E111" s="276" t="s">
        <v>363</v>
      </c>
      <c r="J111" s="279"/>
      <c r="K111" s="280"/>
      <c r="L111" s="281"/>
      <c r="M111" s="274"/>
      <c r="N111" s="280"/>
      <c r="O111" s="281"/>
      <c r="P111" s="281"/>
      <c r="R111" s="282"/>
      <c r="S111" s="280"/>
      <c r="T111" s="279"/>
      <c r="U111" s="283"/>
      <c r="V111" s="284"/>
      <c r="W111" s="284"/>
      <c r="X111" s="285"/>
      <c r="Y111" s="284"/>
    </row>
    <row r="112" spans="1:40" s="21" customFormat="1">
      <c r="A112" s="6" t="str">
        <f>A110</f>
        <v>A 96</v>
      </c>
      <c r="B112" s="55">
        <f>B110</f>
        <v>82.477999999999994</v>
      </c>
      <c r="C112" s="273" t="s">
        <v>309</v>
      </c>
      <c r="D112" s="343" t="s">
        <v>116</v>
      </c>
      <c r="E112" s="214" t="s">
        <v>364</v>
      </c>
      <c r="F112" s="80"/>
      <c r="G112" s="80"/>
      <c r="H112" s="80"/>
      <c r="J112" s="89">
        <f t="shared" si="14"/>
        <v>7</v>
      </c>
      <c r="K112" s="7">
        <v>3</v>
      </c>
      <c r="L112" s="7">
        <v>1</v>
      </c>
      <c r="M112" s="6">
        <v>202</v>
      </c>
      <c r="N112" s="7">
        <v>7</v>
      </c>
      <c r="O112" s="58">
        <v>4</v>
      </c>
      <c r="P112" s="58">
        <v>1</v>
      </c>
      <c r="Q112" s="21" t="str">
        <f>CONCATENATE(D112,", FR ",IF(OR(T112="W",T112="S"),"Lindau","München"))</f>
        <v>WVZ203_Helligkeit , FR Lindau</v>
      </c>
      <c r="R112" s="158">
        <v>61</v>
      </c>
      <c r="S112" s="7">
        <v>20</v>
      </c>
      <c r="T112" s="89" t="s">
        <v>92</v>
      </c>
      <c r="U112" s="1"/>
      <c r="V112" s="36" t="s">
        <v>63</v>
      </c>
      <c r="W112" s="36">
        <v>3</v>
      </c>
      <c r="X112" s="53" t="s">
        <v>64</v>
      </c>
      <c r="Y112" s="36">
        <v>1</v>
      </c>
      <c r="Z112" s="197"/>
    </row>
    <row r="113" spans="1:40" s="21" customFormat="1">
      <c r="A113" s="6" t="str">
        <f t="shared" ref="A113:B113" si="16">A112</f>
        <v>A 96</v>
      </c>
      <c r="B113" s="55">
        <f t="shared" si="16"/>
        <v>82.477999999999994</v>
      </c>
      <c r="C113" s="273" t="s">
        <v>309</v>
      </c>
      <c r="D113" s="343" t="s">
        <v>117</v>
      </c>
      <c r="E113" s="214" t="s">
        <v>365</v>
      </c>
      <c r="F113" s="80"/>
      <c r="G113" s="80"/>
      <c r="H113" s="80"/>
      <c r="J113" s="89">
        <f t="shared" si="14"/>
        <v>7</v>
      </c>
      <c r="K113" s="7">
        <v>3</v>
      </c>
      <c r="L113" s="7">
        <v>2</v>
      </c>
      <c r="M113" s="6">
        <v>202</v>
      </c>
      <c r="N113" s="7">
        <v>7</v>
      </c>
      <c r="O113" s="58">
        <v>4</v>
      </c>
      <c r="P113" s="58">
        <v>2</v>
      </c>
      <c r="Q113" s="21" t="str">
        <f>CONCATENATE(D113,", FR ",IF(OR(T113="W",T113="S"),"Lindau","München"))</f>
        <v>WVZ204_Helligkeit , FR Lindau</v>
      </c>
      <c r="R113" s="158">
        <v>61</v>
      </c>
      <c r="S113" s="7">
        <v>20</v>
      </c>
      <c r="T113" s="89" t="s">
        <v>92</v>
      </c>
      <c r="U113" s="1"/>
      <c r="V113" s="36" t="s">
        <v>63</v>
      </c>
      <c r="W113" s="36">
        <v>3</v>
      </c>
      <c r="X113" s="53" t="s">
        <v>64</v>
      </c>
      <c r="Y113" s="36">
        <v>1</v>
      </c>
      <c r="Z113" s="197"/>
    </row>
    <row r="114" spans="1:40" s="21" customFormat="1" ht="12.6" customHeight="1">
      <c r="A114" s="6" t="str">
        <f>A113</f>
        <v>A 96</v>
      </c>
      <c r="B114" s="55">
        <f>B106</f>
        <v>82.491</v>
      </c>
      <c r="C114" s="55" t="s">
        <v>67</v>
      </c>
      <c r="D114" s="344" t="str">
        <f>CONCATENATE(C114,"/SSt",N114)</f>
        <v>VLT/SSt7</v>
      </c>
      <c r="E114" s="229" t="str">
        <f>D114</f>
        <v>VLT/SSt7</v>
      </c>
      <c r="F114" s="80"/>
      <c r="G114" s="80"/>
      <c r="H114" s="80"/>
      <c r="I114" s="7"/>
      <c r="J114" s="89">
        <f t="shared" si="14"/>
        <v>7</v>
      </c>
      <c r="K114" s="7">
        <v>6</v>
      </c>
      <c r="L114" s="58">
        <v>1</v>
      </c>
      <c r="M114" s="6">
        <v>202</v>
      </c>
      <c r="N114" s="7">
        <v>7</v>
      </c>
      <c r="O114" s="58">
        <v>6</v>
      </c>
      <c r="P114" s="58">
        <v>1</v>
      </c>
      <c r="Q114" s="21" t="s">
        <v>68</v>
      </c>
      <c r="R114" s="158">
        <v>48</v>
      </c>
      <c r="S114" s="7">
        <v>20</v>
      </c>
      <c r="T114" s="89" t="s">
        <v>92</v>
      </c>
      <c r="U114" s="4"/>
      <c r="V114" s="37"/>
      <c r="W114" s="37"/>
      <c r="X114" s="37"/>
      <c r="Y114" s="37"/>
      <c r="Z114" s="197"/>
      <c r="AA114"/>
      <c r="AB114"/>
      <c r="AC114"/>
      <c r="AD114"/>
      <c r="AE114"/>
      <c r="AF114"/>
    </row>
    <row r="115" spans="1:40" s="21" customFormat="1" ht="12.6" customHeight="1">
      <c r="A115" s="6" t="str">
        <f>A113</f>
        <v>A 96</v>
      </c>
      <c r="B115" s="55">
        <f>B114</f>
        <v>82.491</v>
      </c>
      <c r="C115" s="55" t="s">
        <v>67</v>
      </c>
      <c r="D115" s="344" t="str">
        <f>CONCATENATE(C115,"/SSt",N116)</f>
        <v>VLT/SSt7</v>
      </c>
      <c r="E115" s="229" t="str">
        <f>D115</f>
        <v>VLT/SSt7</v>
      </c>
      <c r="F115" s="59"/>
      <c r="G115" s="59"/>
      <c r="H115" s="59"/>
      <c r="I115" s="7"/>
      <c r="J115" s="89">
        <f>J114</f>
        <v>7</v>
      </c>
      <c r="K115" s="7">
        <v>6</v>
      </c>
      <c r="L115" s="58">
        <v>4</v>
      </c>
      <c r="M115" s="6">
        <v>202</v>
      </c>
      <c r="N115" s="7">
        <f>N114</f>
        <v>7</v>
      </c>
      <c r="O115" s="58">
        <v>6</v>
      </c>
      <c r="P115" s="58">
        <v>4</v>
      </c>
      <c r="Q115" s="21" t="s">
        <v>69</v>
      </c>
      <c r="R115" s="158">
        <v>51</v>
      </c>
      <c r="S115" s="7">
        <v>20</v>
      </c>
      <c r="T115" s="89" t="s">
        <v>92</v>
      </c>
      <c r="U115" s="7"/>
      <c r="V115" s="36"/>
      <c r="W115" s="38"/>
      <c r="X115" s="38"/>
      <c r="Y115" s="39"/>
      <c r="Z115" s="199"/>
      <c r="AA115"/>
      <c r="AB115"/>
      <c r="AC115"/>
      <c r="AD115"/>
      <c r="AE115"/>
      <c r="AF115"/>
      <c r="AN115" s="4"/>
    </row>
    <row r="116" spans="1:40" s="23" customFormat="1" ht="12.6" customHeight="1">
      <c r="A116" s="6" t="str">
        <f>A114</f>
        <v>A 96</v>
      </c>
      <c r="B116" s="55">
        <f>B115</f>
        <v>82.491</v>
      </c>
      <c r="C116" s="55" t="s">
        <v>67</v>
      </c>
      <c r="D116" s="344" t="str">
        <f>CONCATENATE(C116,"1/SSt",RIGHT(N116,1))</f>
        <v>VLT1/SSt7</v>
      </c>
      <c r="E116" s="229" t="str">
        <f>D116</f>
        <v>VLT1/SSt7</v>
      </c>
      <c r="F116" s="59"/>
      <c r="G116" s="59"/>
      <c r="H116" s="59"/>
      <c r="I116" s="7"/>
      <c r="J116" s="89">
        <f>J115</f>
        <v>7</v>
      </c>
      <c r="K116" s="7">
        <v>6</v>
      </c>
      <c r="L116" s="1">
        <v>5</v>
      </c>
      <c r="M116" s="6">
        <v>202</v>
      </c>
      <c r="N116" s="7">
        <f>N115</f>
        <v>7</v>
      </c>
      <c r="O116" s="58" t="s">
        <v>70</v>
      </c>
      <c r="P116" s="58" t="s">
        <v>71</v>
      </c>
      <c r="Q116" s="21" t="s">
        <v>72</v>
      </c>
      <c r="R116" s="158">
        <v>54</v>
      </c>
      <c r="S116" s="7">
        <v>20</v>
      </c>
      <c r="T116" s="89" t="s">
        <v>92</v>
      </c>
      <c r="U116" s="7"/>
      <c r="V116" s="66"/>
      <c r="W116" s="67"/>
      <c r="X116" s="67"/>
      <c r="Y116" s="68"/>
      <c r="Z116" s="200"/>
      <c r="AA116"/>
      <c r="AB116"/>
      <c r="AC116"/>
      <c r="AD116"/>
      <c r="AE116"/>
      <c r="AF116"/>
      <c r="AN116" s="69"/>
    </row>
    <row r="117" spans="1:40" s="21" customFormat="1" ht="12.6" customHeight="1">
      <c r="A117" s="6"/>
      <c r="B117" s="55"/>
      <c r="C117" s="55"/>
      <c r="D117" s="344"/>
      <c r="E117" s="230"/>
      <c r="F117" s="59"/>
      <c r="G117" s="59"/>
      <c r="H117" s="59"/>
      <c r="I117" s="7"/>
      <c r="J117" s="89"/>
      <c r="K117" s="7"/>
      <c r="L117" s="58"/>
      <c r="M117" s="6"/>
      <c r="N117" s="7"/>
      <c r="O117" s="58"/>
      <c r="P117" s="58"/>
      <c r="Q117" s="5"/>
      <c r="R117" s="158"/>
      <c r="S117" s="7"/>
      <c r="T117" s="89"/>
      <c r="U117" s="7"/>
      <c r="V117" s="36"/>
      <c r="W117" s="38"/>
      <c r="X117" s="38"/>
      <c r="Y117" s="39"/>
      <c r="Z117" s="199"/>
      <c r="AA117"/>
      <c r="AB117"/>
      <c r="AC117"/>
      <c r="AD117"/>
      <c r="AE117"/>
      <c r="AF117"/>
      <c r="AN117" s="4"/>
    </row>
    <row r="118" spans="1:40" s="22" customFormat="1" ht="12.6" customHeight="1">
      <c r="A118" s="57" t="s">
        <v>55</v>
      </c>
      <c r="B118" s="86">
        <v>82.378</v>
      </c>
      <c r="C118" s="57" t="s">
        <v>56</v>
      </c>
      <c r="D118" s="340" t="str">
        <f>Q118</f>
        <v>SSt 203</v>
      </c>
      <c r="E118" s="229" t="str">
        <f>D118</f>
        <v>SSt 203</v>
      </c>
      <c r="F118" s="65"/>
      <c r="G118" s="187">
        <v>9617910</v>
      </c>
      <c r="H118" s="187" t="str">
        <f>DEC2HEX(G118)</f>
        <v>92C1F6</v>
      </c>
      <c r="I118" s="98"/>
      <c r="J118" s="100">
        <f>N118</f>
        <v>8</v>
      </c>
      <c r="K118" s="57"/>
      <c r="L118" s="57"/>
      <c r="M118" s="57">
        <v>202</v>
      </c>
      <c r="N118" s="57">
        <v>8</v>
      </c>
      <c r="O118" s="57"/>
      <c r="P118" s="57"/>
      <c r="Q118" s="65" t="s">
        <v>118</v>
      </c>
      <c r="R118" s="87"/>
      <c r="S118" s="88"/>
      <c r="T118" s="88"/>
      <c r="U118" s="6"/>
      <c r="V118" s="47"/>
      <c r="W118" s="47"/>
      <c r="X118" s="47"/>
      <c r="Y118" s="47"/>
      <c r="Z118" s="198"/>
    </row>
    <row r="119" spans="1:40" s="21" customFormat="1">
      <c r="A119" s="6" t="s">
        <v>55</v>
      </c>
      <c r="B119" s="55">
        <v>82.378</v>
      </c>
      <c r="C119" s="217" t="s">
        <v>61</v>
      </c>
      <c r="D119" s="341" t="s">
        <v>119</v>
      </c>
      <c r="E119" s="214" t="s">
        <v>366</v>
      </c>
      <c r="J119" s="89">
        <f>N119</f>
        <v>8</v>
      </c>
      <c r="K119" s="7">
        <v>4</v>
      </c>
      <c r="L119" s="7">
        <v>193</v>
      </c>
      <c r="M119" s="6">
        <v>202</v>
      </c>
      <c r="N119" s="7">
        <v>8</v>
      </c>
      <c r="O119" s="7">
        <v>4</v>
      </c>
      <c r="P119" s="7">
        <v>0</v>
      </c>
      <c r="Q119" s="21" t="str">
        <f>CONCATENATE(D119,", FR ",IF(OR(T119="W",T119="S"),"Lindau","München"))</f>
        <v>Cluster WVZ205, FR Lindau</v>
      </c>
      <c r="R119" s="158"/>
      <c r="S119" s="7">
        <v>20</v>
      </c>
      <c r="T119" s="89" t="s">
        <v>92</v>
      </c>
      <c r="U119" s="1"/>
      <c r="V119" s="50"/>
      <c r="W119" s="49"/>
      <c r="X119" s="51"/>
      <c r="Y119" s="50"/>
      <c r="Z119" s="214" t="s">
        <v>206</v>
      </c>
      <c r="AA119"/>
      <c r="AB119"/>
      <c r="AC119"/>
      <c r="AD119"/>
      <c r="AE119"/>
      <c r="AF119"/>
    </row>
    <row r="120" spans="1:40" s="21" customFormat="1">
      <c r="A120" s="220" t="s">
        <v>55</v>
      </c>
      <c r="B120" s="217">
        <v>82.378</v>
      </c>
      <c r="C120" s="217" t="s">
        <v>58</v>
      </c>
      <c r="D120" s="346" t="s">
        <v>230</v>
      </c>
      <c r="E120" s="214" t="s">
        <v>206</v>
      </c>
      <c r="F120" s="221"/>
      <c r="G120" s="221"/>
      <c r="H120" s="221"/>
      <c r="I120" s="221"/>
      <c r="J120" s="218">
        <f>N120</f>
        <v>8</v>
      </c>
      <c r="K120" s="219">
        <v>4</v>
      </c>
      <c r="L120" s="219"/>
      <c r="M120" s="220">
        <v>202</v>
      </c>
      <c r="N120" s="219">
        <v>8</v>
      </c>
      <c r="O120" s="219">
        <v>4</v>
      </c>
      <c r="P120" s="219">
        <v>0</v>
      </c>
      <c r="Q120" s="221" t="str">
        <f>CONCATENATE(D120,", FR ",IF(OR(T120="W",T120="S"),"Lindau","München"))</f>
        <v>AQ WVZ205, FR Lindau</v>
      </c>
      <c r="R120" s="222"/>
      <c r="S120" s="219">
        <v>20</v>
      </c>
      <c r="T120" s="218" t="s">
        <v>92</v>
      </c>
      <c r="U120" s="219"/>
      <c r="V120" s="219"/>
      <c r="W120" s="217"/>
      <c r="X120" s="221"/>
      <c r="Y120" s="219"/>
      <c r="Z120" s="214"/>
      <c r="AA120"/>
      <c r="AB120"/>
      <c r="AC120"/>
      <c r="AD120"/>
      <c r="AE120"/>
      <c r="AF120"/>
    </row>
    <row r="121" spans="1:40" s="21" customFormat="1" ht="13.5" customHeight="1">
      <c r="A121" s="6" t="str">
        <f>A119</f>
        <v>A 96</v>
      </c>
      <c r="B121" s="55">
        <v>82.378</v>
      </c>
      <c r="C121" s="55" t="s">
        <v>61</v>
      </c>
      <c r="D121" s="346" t="s">
        <v>271</v>
      </c>
      <c r="E121" s="214" t="s">
        <v>367</v>
      </c>
      <c r="F121" s="103"/>
      <c r="G121" s="103"/>
      <c r="H121" s="103"/>
      <c r="I121" s="23"/>
      <c r="J121" s="89">
        <f t="shared" ref="J121:J131" si="17">N121</f>
        <v>8</v>
      </c>
      <c r="K121" s="7">
        <v>4</v>
      </c>
      <c r="L121" s="58">
        <v>33</v>
      </c>
      <c r="M121" s="6">
        <v>202</v>
      </c>
      <c r="N121" s="7">
        <v>8</v>
      </c>
      <c r="O121" s="159">
        <v>4</v>
      </c>
      <c r="P121" s="159">
        <v>1</v>
      </c>
      <c r="Q121" s="51" t="str">
        <f>CONCATENATE(D121,", HFS,  FR ",IF(OR(T121="W",T121="S"),"Lindau","München"))</f>
        <v>WVZ205.1_A1, HFS,  FR Lindau</v>
      </c>
      <c r="R121" s="158"/>
      <c r="S121" s="7">
        <v>20</v>
      </c>
      <c r="T121" s="89" t="s">
        <v>92</v>
      </c>
      <c r="U121" s="1" t="s">
        <v>82</v>
      </c>
      <c r="V121" s="36" t="s">
        <v>63</v>
      </c>
      <c r="W121" s="36">
        <v>3</v>
      </c>
      <c r="X121" s="53" t="s">
        <v>64</v>
      </c>
      <c r="Y121" s="36">
        <v>1</v>
      </c>
      <c r="Z121" s="201"/>
      <c r="AA121" s="7"/>
    </row>
    <row r="122" spans="1:40" s="21" customFormat="1" ht="12" customHeight="1">
      <c r="A122" s="6" t="str">
        <f>A121</f>
        <v>A 96</v>
      </c>
      <c r="B122" s="55">
        <v>82.378</v>
      </c>
      <c r="C122" s="55" t="s">
        <v>61</v>
      </c>
      <c r="D122" s="346" t="s">
        <v>272</v>
      </c>
      <c r="E122" s="214" t="s">
        <v>370</v>
      </c>
      <c r="F122" s="23"/>
      <c r="G122" s="23"/>
      <c r="H122" s="23"/>
      <c r="J122" s="89">
        <f t="shared" si="17"/>
        <v>8</v>
      </c>
      <c r="K122" s="7">
        <v>4</v>
      </c>
      <c r="L122" s="58">
        <v>97</v>
      </c>
      <c r="M122" s="6">
        <v>202</v>
      </c>
      <c r="N122" s="7">
        <v>8</v>
      </c>
      <c r="O122" s="159">
        <v>4</v>
      </c>
      <c r="P122" s="159">
        <v>2</v>
      </c>
      <c r="Q122" s="51" t="str">
        <f>CONCATENATE(D122,", HFS,  FR ",IF(OR(T122="W",T122="S"),"Lindau","München"))</f>
        <v>WVZ205.2_B1, HFS,  FR Lindau</v>
      </c>
      <c r="R122" s="158"/>
      <c r="S122" s="7">
        <v>20</v>
      </c>
      <c r="T122" s="89" t="s">
        <v>92</v>
      </c>
      <c r="U122" s="1" t="s">
        <v>82</v>
      </c>
      <c r="V122" s="36" t="s">
        <v>63</v>
      </c>
      <c r="W122" s="36">
        <v>3</v>
      </c>
      <c r="X122" s="53" t="s">
        <v>64</v>
      </c>
      <c r="Y122" s="36">
        <v>1</v>
      </c>
      <c r="Z122" s="201"/>
      <c r="AA122" s="58"/>
    </row>
    <row r="123" spans="1:40" s="21" customFormat="1" ht="12" customHeight="1">
      <c r="A123" s="6" t="str">
        <f>A122</f>
        <v>A 96</v>
      </c>
      <c r="B123" s="55">
        <v>82.378</v>
      </c>
      <c r="C123" s="55" t="s">
        <v>61</v>
      </c>
      <c r="D123" s="346" t="s">
        <v>273</v>
      </c>
      <c r="E123" s="214" t="s">
        <v>371</v>
      </c>
      <c r="I123" s="23"/>
      <c r="J123" s="89">
        <f>N123</f>
        <v>8</v>
      </c>
      <c r="K123" s="7">
        <v>4</v>
      </c>
      <c r="L123" s="58">
        <v>105</v>
      </c>
      <c r="M123" s="6">
        <v>202</v>
      </c>
      <c r="N123" s="7">
        <v>8</v>
      </c>
      <c r="O123" s="159">
        <v>4</v>
      </c>
      <c r="P123" s="159">
        <v>3</v>
      </c>
      <c r="Q123" s="51" t="str">
        <f>CONCATENATE(D123,", HFS,  FR ",IF(OR(T123="W",T123="S"),"Lindau","München"))</f>
        <v>WVZ205.3_C1, HFS,  FR Lindau</v>
      </c>
      <c r="R123" s="158"/>
      <c r="S123" s="7">
        <v>20</v>
      </c>
      <c r="T123" s="89" t="s">
        <v>92</v>
      </c>
      <c r="U123" s="1" t="s">
        <v>82</v>
      </c>
      <c r="V123" s="36" t="s">
        <v>63</v>
      </c>
      <c r="W123" s="36">
        <v>3</v>
      </c>
      <c r="X123" s="53" t="s">
        <v>64</v>
      </c>
      <c r="Y123" s="36">
        <v>1</v>
      </c>
      <c r="Z123" s="201"/>
      <c r="AA123" s="58"/>
    </row>
    <row r="124" spans="1:40" s="21" customFormat="1">
      <c r="A124" s="6" t="str">
        <f>A121</f>
        <v>A 96</v>
      </c>
      <c r="B124" s="55">
        <v>82.378</v>
      </c>
      <c r="C124" s="55" t="s">
        <v>61</v>
      </c>
      <c r="D124" s="346" t="s">
        <v>274</v>
      </c>
      <c r="E124" s="214" t="s">
        <v>368</v>
      </c>
      <c r="J124" s="89">
        <f t="shared" si="17"/>
        <v>8</v>
      </c>
      <c r="K124" s="7">
        <v>4</v>
      </c>
      <c r="L124" s="58">
        <v>34</v>
      </c>
      <c r="M124" s="6">
        <v>202</v>
      </c>
      <c r="N124" s="7">
        <v>8</v>
      </c>
      <c r="O124" s="159">
        <v>5</v>
      </c>
      <c r="P124" s="159">
        <v>4</v>
      </c>
      <c r="Q124" s="51" t="str">
        <f>CONCATENATE(D124,", 1.UEFS, FR ",IF(OR(T124="W",T124="S"),"Lindau","München"))</f>
        <v>WVZ206.1_A2, 1.UEFS, FR Lindau</v>
      </c>
      <c r="R124" s="158"/>
      <c r="S124" s="7">
        <v>20</v>
      </c>
      <c r="T124" s="89" t="s">
        <v>92</v>
      </c>
      <c r="U124" s="1" t="s">
        <v>82</v>
      </c>
      <c r="V124" s="36" t="s">
        <v>63</v>
      </c>
      <c r="W124" s="36">
        <v>3</v>
      </c>
      <c r="X124" s="53" t="s">
        <v>64</v>
      </c>
      <c r="Y124" s="36">
        <v>1</v>
      </c>
      <c r="Z124" s="201"/>
      <c r="AA124" s="58"/>
    </row>
    <row r="125" spans="1:40" s="21" customFormat="1">
      <c r="A125" s="6" t="str">
        <f>A122</f>
        <v>A 96</v>
      </c>
      <c r="B125" s="55">
        <v>82.378</v>
      </c>
      <c r="C125" s="55" t="s">
        <v>61</v>
      </c>
      <c r="D125" s="346" t="s">
        <v>275</v>
      </c>
      <c r="E125" s="214" t="s">
        <v>369</v>
      </c>
      <c r="I125" s="23"/>
      <c r="J125" s="89">
        <f t="shared" si="17"/>
        <v>8</v>
      </c>
      <c r="K125" s="7">
        <v>4</v>
      </c>
      <c r="L125" s="58">
        <v>98</v>
      </c>
      <c r="M125" s="6">
        <v>202</v>
      </c>
      <c r="N125" s="7">
        <v>8</v>
      </c>
      <c r="O125" s="159">
        <v>5</v>
      </c>
      <c r="P125" s="159">
        <v>5</v>
      </c>
      <c r="Q125" s="51" t="str">
        <f>CONCATENATE(D125,", 1.UEFS, FR ",IF(OR(T125="W",T125="S"),"Lindau","München"))</f>
        <v>WVZ206.2_B2, 1.UEFS, FR Lindau</v>
      </c>
      <c r="R125" s="158"/>
      <c r="S125" s="7">
        <v>20</v>
      </c>
      <c r="T125" s="89" t="s">
        <v>92</v>
      </c>
      <c r="U125" s="1" t="s">
        <v>82</v>
      </c>
      <c r="V125" s="36" t="s">
        <v>63</v>
      </c>
      <c r="W125" s="36">
        <v>3</v>
      </c>
      <c r="X125" s="53" t="s">
        <v>64</v>
      </c>
      <c r="Y125" s="36">
        <v>1</v>
      </c>
      <c r="Z125" s="201"/>
      <c r="AA125" s="58"/>
    </row>
    <row r="126" spans="1:40" s="21" customFormat="1">
      <c r="A126" s="6" t="str">
        <f>A123</f>
        <v>A 96</v>
      </c>
      <c r="B126" s="55">
        <v>82.378</v>
      </c>
      <c r="C126" s="55" t="s">
        <v>61</v>
      </c>
      <c r="D126" s="346" t="s">
        <v>276</v>
      </c>
      <c r="E126" s="214" t="s">
        <v>372</v>
      </c>
      <c r="J126" s="89">
        <f>N126</f>
        <v>8</v>
      </c>
      <c r="K126" s="7">
        <v>4</v>
      </c>
      <c r="L126" s="58">
        <v>106</v>
      </c>
      <c r="M126" s="6">
        <v>202</v>
      </c>
      <c r="N126" s="7">
        <v>8</v>
      </c>
      <c r="O126" s="159">
        <v>5</v>
      </c>
      <c r="P126" s="159">
        <v>6</v>
      </c>
      <c r="Q126" s="51" t="str">
        <f>CONCATENATE(D126,", 1.UEFS, FR ",IF(OR(T126="W",T126="S"),"Lindau","München"))</f>
        <v>WVZ206.3_C2, 1.UEFS, FR Lindau</v>
      </c>
      <c r="R126" s="158"/>
      <c r="S126" s="7">
        <v>20</v>
      </c>
      <c r="T126" s="89" t="s">
        <v>92</v>
      </c>
      <c r="U126" s="1" t="s">
        <v>82</v>
      </c>
      <c r="V126" s="36" t="s">
        <v>63</v>
      </c>
      <c r="W126" s="36">
        <v>3</v>
      </c>
      <c r="X126" s="53" t="s">
        <v>64</v>
      </c>
      <c r="Y126" s="36">
        <v>1</v>
      </c>
      <c r="Z126" s="197"/>
    </row>
    <row r="127" spans="1:40" s="21" customFormat="1">
      <c r="A127" s="6" t="str">
        <f>A124</f>
        <v>A 96</v>
      </c>
      <c r="B127" s="55">
        <v>82.378</v>
      </c>
      <c r="C127" s="55" t="s">
        <v>61</v>
      </c>
      <c r="D127" s="346" t="s">
        <v>277</v>
      </c>
      <c r="E127" s="214" t="s">
        <v>373</v>
      </c>
      <c r="F127" s="80"/>
      <c r="G127" s="80"/>
      <c r="H127" s="80"/>
      <c r="J127" s="89">
        <f>N127</f>
        <v>8</v>
      </c>
      <c r="K127" s="7">
        <v>4</v>
      </c>
      <c r="L127" s="58">
        <v>57</v>
      </c>
      <c r="M127" s="6">
        <v>202</v>
      </c>
      <c r="N127" s="7">
        <v>8</v>
      </c>
      <c r="O127" s="159">
        <v>4</v>
      </c>
      <c r="P127" s="159">
        <v>101</v>
      </c>
      <c r="Q127" s="51" t="str">
        <f>CONCATENATE(D127,", HFS,  FR ",IF(OR(T127="W",T127="S"),"Lindau","München"))</f>
        <v>BA205.1-2_BL1, HFS,  FR Lindau</v>
      </c>
      <c r="R127" s="158"/>
      <c r="S127" s="7">
        <v>20</v>
      </c>
      <c r="T127" s="89" t="s">
        <v>92</v>
      </c>
      <c r="U127" s="1"/>
      <c r="V127" s="36" t="s">
        <v>63</v>
      </c>
      <c r="W127" s="36">
        <v>3</v>
      </c>
      <c r="X127" s="53" t="s">
        <v>64</v>
      </c>
      <c r="Y127" s="36">
        <v>1</v>
      </c>
      <c r="Z127" s="197"/>
    </row>
    <row r="128" spans="1:40" s="21" customFormat="1">
      <c r="A128" s="6" t="str">
        <f>A127</f>
        <v>A 96</v>
      </c>
      <c r="B128" s="55">
        <v>82.378</v>
      </c>
      <c r="C128" s="55" t="s">
        <v>61</v>
      </c>
      <c r="D128" s="346" t="s">
        <v>278</v>
      </c>
      <c r="E128" s="214" t="s">
        <v>374</v>
      </c>
      <c r="F128" s="101"/>
      <c r="G128" s="101"/>
      <c r="H128" s="101"/>
      <c r="J128" s="89">
        <f t="shared" si="17"/>
        <v>8</v>
      </c>
      <c r="K128" s="7">
        <v>4</v>
      </c>
      <c r="L128" s="58">
        <v>58</v>
      </c>
      <c r="M128" s="6">
        <v>202</v>
      </c>
      <c r="N128" s="7">
        <v>8</v>
      </c>
      <c r="O128" s="159">
        <v>5</v>
      </c>
      <c r="P128" s="159">
        <v>102</v>
      </c>
      <c r="Q128" s="51" t="str">
        <f>CONCATENATE(D128,", 1.UEFS, FR ",IF(OR(T128="W",T128="S"),"Lindau","München"))</f>
        <v>BA206.1-2_BL2, 1.UEFS, FR Lindau</v>
      </c>
      <c r="R128" s="158"/>
      <c r="S128" s="7">
        <v>20</v>
      </c>
      <c r="T128" s="89" t="s">
        <v>92</v>
      </c>
      <c r="U128" s="1"/>
      <c r="V128" s="36" t="s">
        <v>63</v>
      </c>
      <c r="W128" s="36">
        <v>3</v>
      </c>
      <c r="X128" s="53" t="s">
        <v>64</v>
      </c>
      <c r="Y128" s="36">
        <v>1</v>
      </c>
      <c r="Z128" s="197"/>
    </row>
    <row r="129" spans="1:40" s="278" customFormat="1">
      <c r="A129" s="274" t="str">
        <f>A128</f>
        <v>A 96</v>
      </c>
      <c r="B129" s="275">
        <v>83.378</v>
      </c>
      <c r="C129" s="273" t="s">
        <v>310</v>
      </c>
      <c r="D129" s="346"/>
      <c r="E129" s="276" t="s">
        <v>375</v>
      </c>
      <c r="F129" s="293"/>
      <c r="G129" s="293"/>
      <c r="H129" s="293"/>
      <c r="J129" s="279"/>
      <c r="K129" s="280"/>
      <c r="L129" s="281"/>
      <c r="M129" s="274"/>
      <c r="N129" s="280"/>
      <c r="O129" s="294"/>
      <c r="P129" s="294"/>
      <c r="Q129" s="295"/>
      <c r="R129" s="282"/>
      <c r="S129" s="280"/>
      <c r="T129" s="279"/>
      <c r="U129" s="283"/>
      <c r="V129" s="284"/>
      <c r="W129" s="284"/>
      <c r="X129" s="285"/>
      <c r="Y129" s="284"/>
    </row>
    <row r="130" spans="1:40" s="21" customFormat="1">
      <c r="A130" s="6" t="str">
        <f>A128</f>
        <v>A 96</v>
      </c>
      <c r="B130" s="55">
        <v>82.378</v>
      </c>
      <c r="C130" s="273" t="s">
        <v>309</v>
      </c>
      <c r="D130" s="343" t="s">
        <v>120</v>
      </c>
      <c r="E130" s="214" t="s">
        <v>376</v>
      </c>
      <c r="F130" s="80"/>
      <c r="G130" s="80"/>
      <c r="H130" s="80"/>
      <c r="J130" s="89">
        <f>N130</f>
        <v>8</v>
      </c>
      <c r="K130" s="7">
        <v>3</v>
      </c>
      <c r="L130" s="7">
        <v>1</v>
      </c>
      <c r="M130" s="6">
        <v>202</v>
      </c>
      <c r="N130" s="7">
        <v>8</v>
      </c>
      <c r="O130" s="159">
        <v>4</v>
      </c>
      <c r="P130" s="159">
        <v>1</v>
      </c>
      <c r="Q130" s="51" t="str">
        <f>CONCATENATE(D130,", FR ",IF(OR(T130="W",T130="S"),"Lindau","München"))</f>
        <v>WVZ205_Helligkeit , FR Lindau</v>
      </c>
      <c r="R130" s="158">
        <v>61</v>
      </c>
      <c r="S130" s="7">
        <v>20</v>
      </c>
      <c r="T130" s="89" t="s">
        <v>92</v>
      </c>
      <c r="U130" s="1"/>
      <c r="V130" s="36" t="s">
        <v>63</v>
      </c>
      <c r="W130" s="36">
        <v>3</v>
      </c>
      <c r="X130" s="53" t="s">
        <v>64</v>
      </c>
      <c r="Y130" s="36">
        <v>1</v>
      </c>
      <c r="Z130" s="197"/>
    </row>
    <row r="131" spans="1:40" s="21" customFormat="1">
      <c r="A131" s="6" t="str">
        <f>A130</f>
        <v>A 96</v>
      </c>
      <c r="B131" s="55">
        <v>82.378</v>
      </c>
      <c r="C131" s="273" t="s">
        <v>309</v>
      </c>
      <c r="D131" s="343" t="s">
        <v>121</v>
      </c>
      <c r="E131" s="214" t="s">
        <v>377</v>
      </c>
      <c r="F131" s="80"/>
      <c r="G131" s="80"/>
      <c r="H131" s="80"/>
      <c r="J131" s="89">
        <f t="shared" si="17"/>
        <v>8</v>
      </c>
      <c r="K131" s="7">
        <v>3</v>
      </c>
      <c r="L131" s="7">
        <v>2</v>
      </c>
      <c r="M131" s="6">
        <v>202</v>
      </c>
      <c r="N131" s="7">
        <v>8</v>
      </c>
      <c r="O131" s="159">
        <v>5</v>
      </c>
      <c r="P131" s="159">
        <v>2</v>
      </c>
      <c r="Q131" s="51" t="str">
        <f>CONCATENATE(D131,", FR ",IF(OR(T131="W",T131="S"),"Lindau","München"))</f>
        <v>WVZ206_Helligkeit , FR Lindau</v>
      </c>
      <c r="R131" s="158">
        <v>61</v>
      </c>
      <c r="S131" s="7">
        <v>20</v>
      </c>
      <c r="T131" s="89" t="s">
        <v>92</v>
      </c>
      <c r="U131" s="1"/>
      <c r="V131" s="36" t="s">
        <v>63</v>
      </c>
      <c r="W131" s="36">
        <v>3</v>
      </c>
      <c r="X131" s="53" t="s">
        <v>64</v>
      </c>
      <c r="Y131" s="36">
        <v>1</v>
      </c>
      <c r="Z131" s="197"/>
    </row>
    <row r="132" spans="1:40" s="21" customFormat="1" ht="12.6" customHeight="1">
      <c r="A132" s="6" t="str">
        <f>A130</f>
        <v>A 96</v>
      </c>
      <c r="B132" s="55">
        <f>B131</f>
        <v>82.378</v>
      </c>
      <c r="C132" s="55" t="s">
        <v>67</v>
      </c>
      <c r="D132" s="344" t="str">
        <f>CONCATENATE(C132,"/SSt",N133)</f>
        <v>VLT/SSt8</v>
      </c>
      <c r="E132" s="229" t="str">
        <f>D132</f>
        <v>VLT/SSt8</v>
      </c>
      <c r="F132" s="59"/>
      <c r="G132" s="59"/>
      <c r="H132" s="59"/>
      <c r="I132" s="7"/>
      <c r="J132" s="89">
        <f>J131</f>
        <v>8</v>
      </c>
      <c r="K132" s="7">
        <v>6</v>
      </c>
      <c r="L132" s="58">
        <v>4</v>
      </c>
      <c r="M132" s="6">
        <v>202</v>
      </c>
      <c r="N132" s="7">
        <f>N131</f>
        <v>8</v>
      </c>
      <c r="O132" s="58">
        <v>6</v>
      </c>
      <c r="P132" s="58">
        <v>4</v>
      </c>
      <c r="Q132" s="51" t="s">
        <v>69</v>
      </c>
      <c r="R132" s="158">
        <v>51</v>
      </c>
      <c r="S132" s="7">
        <v>20</v>
      </c>
      <c r="T132" s="89" t="s">
        <v>92</v>
      </c>
      <c r="U132" s="7"/>
      <c r="V132" s="36"/>
      <c r="W132" s="38"/>
      <c r="X132" s="38"/>
      <c r="Y132" s="39"/>
      <c r="Z132" s="199"/>
      <c r="AA132"/>
      <c r="AB132"/>
      <c r="AC132"/>
      <c r="AD132"/>
      <c r="AE132"/>
      <c r="AF132"/>
      <c r="AN132" s="4"/>
    </row>
    <row r="133" spans="1:40" s="23" customFormat="1" ht="12.6" customHeight="1">
      <c r="A133" s="6" t="str">
        <f>A131</f>
        <v>A 96</v>
      </c>
      <c r="B133" s="55">
        <f>B132</f>
        <v>82.378</v>
      </c>
      <c r="C133" s="55" t="s">
        <v>67</v>
      </c>
      <c r="D133" s="344" t="str">
        <f>CONCATENATE(C133,"1/SSt",RIGHT(N133,1))</f>
        <v>VLT1/SSt8</v>
      </c>
      <c r="E133" s="229" t="str">
        <f>D133</f>
        <v>VLT1/SSt8</v>
      </c>
      <c r="F133" s="59"/>
      <c r="G133" s="59"/>
      <c r="H133" s="59"/>
      <c r="I133" s="7"/>
      <c r="J133" s="89">
        <f>J132</f>
        <v>8</v>
      </c>
      <c r="K133" s="7">
        <v>6</v>
      </c>
      <c r="L133" s="1">
        <v>5</v>
      </c>
      <c r="M133" s="6">
        <v>202</v>
      </c>
      <c r="N133" s="7">
        <f>N132</f>
        <v>8</v>
      </c>
      <c r="O133" s="58" t="s">
        <v>70</v>
      </c>
      <c r="P133" s="58" t="s">
        <v>71</v>
      </c>
      <c r="Q133" s="51" t="s">
        <v>72</v>
      </c>
      <c r="R133" s="158">
        <v>54</v>
      </c>
      <c r="S133" s="7">
        <v>20</v>
      </c>
      <c r="T133" s="89" t="s">
        <v>92</v>
      </c>
      <c r="U133" s="7"/>
      <c r="V133" s="66"/>
      <c r="W133" s="67"/>
      <c r="X133" s="67"/>
      <c r="Y133" s="68"/>
      <c r="Z133" s="200"/>
      <c r="AA133"/>
      <c r="AB133"/>
      <c r="AC133"/>
      <c r="AD133"/>
      <c r="AE133"/>
      <c r="AF133"/>
      <c r="AN133" s="69"/>
    </row>
    <row r="134" spans="1:40" s="21" customFormat="1" ht="12.6" customHeight="1">
      <c r="A134" s="6"/>
      <c r="B134" s="55"/>
      <c r="C134" s="55"/>
      <c r="D134" s="344"/>
      <c r="E134" s="230"/>
      <c r="F134" s="59"/>
      <c r="G134" s="59"/>
      <c r="H134" s="59"/>
      <c r="I134" s="7"/>
      <c r="J134" s="89"/>
      <c r="K134" s="7"/>
      <c r="L134" s="58"/>
      <c r="M134" s="6"/>
      <c r="N134" s="7"/>
      <c r="O134" s="58"/>
      <c r="P134" s="58"/>
      <c r="Q134" s="5"/>
      <c r="R134" s="158"/>
      <c r="S134" s="7"/>
      <c r="T134" s="89"/>
      <c r="U134" s="7"/>
      <c r="V134" s="36"/>
      <c r="W134" s="38"/>
      <c r="X134" s="38"/>
      <c r="Y134" s="39"/>
      <c r="Z134" s="199"/>
      <c r="AA134"/>
      <c r="AB134"/>
      <c r="AC134"/>
      <c r="AD134"/>
      <c r="AE134"/>
      <c r="AF134"/>
      <c r="AN134" s="4"/>
    </row>
    <row r="135" spans="1:40" s="22" customFormat="1" ht="12.6" customHeight="1">
      <c r="A135" s="57" t="s">
        <v>55</v>
      </c>
      <c r="B135" s="86">
        <v>82.278000000000006</v>
      </c>
      <c r="C135" s="57" t="s">
        <v>56</v>
      </c>
      <c r="D135" s="340" t="str">
        <f>Q135</f>
        <v>SSt 204</v>
      </c>
      <c r="E135" s="229" t="str">
        <f>D135</f>
        <v>SSt 204</v>
      </c>
      <c r="F135" s="65"/>
      <c r="G135" s="187">
        <v>9617908</v>
      </c>
      <c r="H135" s="187" t="str">
        <f>DEC2HEX(G135)</f>
        <v>92C1F4</v>
      </c>
      <c r="I135" s="98"/>
      <c r="J135" s="100">
        <f>N135</f>
        <v>9</v>
      </c>
      <c r="K135" s="57"/>
      <c r="L135" s="57"/>
      <c r="M135" s="57">
        <v>202</v>
      </c>
      <c r="N135" s="57">
        <v>9</v>
      </c>
      <c r="O135" s="57"/>
      <c r="P135" s="57"/>
      <c r="Q135" s="65" t="s">
        <v>122</v>
      </c>
      <c r="R135" s="87"/>
      <c r="S135" s="88"/>
      <c r="T135" s="88"/>
      <c r="U135" s="6"/>
      <c r="V135" s="47"/>
      <c r="W135" s="47"/>
      <c r="X135" s="47"/>
      <c r="Y135" s="47"/>
      <c r="Z135" s="198"/>
    </row>
    <row r="136" spans="1:40" s="288" customFormat="1" ht="12.6" customHeight="1">
      <c r="A136" s="274" t="s">
        <v>55</v>
      </c>
      <c r="B136" s="275">
        <v>82.171999999999997</v>
      </c>
      <c r="C136" s="275" t="s">
        <v>87</v>
      </c>
      <c r="D136" s="340"/>
      <c r="E136" s="287" t="s">
        <v>218</v>
      </c>
      <c r="I136" s="289"/>
      <c r="J136" s="290"/>
      <c r="K136" s="286"/>
      <c r="L136" s="286"/>
      <c r="M136" s="286"/>
      <c r="N136" s="286"/>
      <c r="O136" s="286"/>
      <c r="P136" s="286"/>
      <c r="R136" s="291"/>
      <c r="S136" s="286"/>
      <c r="T136" s="286"/>
      <c r="U136" s="274"/>
      <c r="V136" s="292"/>
      <c r="W136" s="292"/>
      <c r="X136" s="292"/>
      <c r="Y136" s="292"/>
    </row>
    <row r="137" spans="1:40" s="21" customFormat="1">
      <c r="A137" s="6" t="s">
        <v>55</v>
      </c>
      <c r="B137" s="192">
        <v>82.171999999999997</v>
      </c>
      <c r="C137" s="192" t="s">
        <v>87</v>
      </c>
      <c r="D137" s="341" t="s">
        <v>123</v>
      </c>
      <c r="E137" s="190" t="s">
        <v>378</v>
      </c>
      <c r="J137" s="89">
        <f>N137</f>
        <v>9</v>
      </c>
      <c r="K137" s="188">
        <v>1</v>
      </c>
      <c r="L137" s="7">
        <v>1</v>
      </c>
      <c r="M137" s="6">
        <v>202</v>
      </c>
      <c r="N137" s="7">
        <v>9</v>
      </c>
      <c r="O137" s="7">
        <v>1</v>
      </c>
      <c r="P137" s="58">
        <v>1</v>
      </c>
      <c r="Q137" s="208" t="str">
        <f>CONCATENATE(D137,", HFS, FR ",IF(OR(T137="W",T137="S"),"Lindau","München"))</f>
        <v>DS105, HFS, FR München</v>
      </c>
      <c r="R137" s="158" t="s">
        <v>89</v>
      </c>
      <c r="S137" s="7">
        <v>20</v>
      </c>
      <c r="T137" s="209" t="s">
        <v>60</v>
      </c>
      <c r="U137" s="55"/>
      <c r="V137" s="50"/>
      <c r="W137" s="49"/>
      <c r="X137" s="36"/>
      <c r="Y137" s="36"/>
      <c r="Z137" s="190" t="s">
        <v>218</v>
      </c>
      <c r="AA137"/>
      <c r="AB137"/>
      <c r="AC137"/>
      <c r="AD137"/>
      <c r="AE137"/>
      <c r="AF137"/>
    </row>
    <row r="138" spans="1:40" s="21" customFormat="1">
      <c r="A138" s="6" t="str">
        <f>A137</f>
        <v>A 96</v>
      </c>
      <c r="B138" s="192">
        <v>82.171999999999997</v>
      </c>
      <c r="C138" s="192" t="s">
        <v>87</v>
      </c>
      <c r="D138" s="350" t="s">
        <v>124</v>
      </c>
      <c r="E138" s="190" t="s">
        <v>379</v>
      </c>
      <c r="J138" s="89">
        <f>N138</f>
        <v>9</v>
      </c>
      <c r="K138" s="188">
        <v>1</v>
      </c>
      <c r="L138" s="7">
        <v>2</v>
      </c>
      <c r="M138" s="6">
        <v>202</v>
      </c>
      <c r="N138" s="7">
        <v>9</v>
      </c>
      <c r="O138" s="7">
        <v>1</v>
      </c>
      <c r="P138" s="58">
        <v>2</v>
      </c>
      <c r="Q138" s="208" t="str">
        <f>CONCATENATE(D138,", 1.UEFS, FR ",IF(OR(T138="W",T138="S"),"Lindau","München"))</f>
        <v>DS106, 1.UEFS, FR München</v>
      </c>
      <c r="R138" s="158" t="s">
        <v>89</v>
      </c>
      <c r="S138" s="7">
        <v>20</v>
      </c>
      <c r="T138" s="209" t="s">
        <v>60</v>
      </c>
      <c r="U138" s="55"/>
      <c r="V138" s="50"/>
      <c r="W138" s="49"/>
      <c r="X138" s="51"/>
      <c r="Y138" s="36"/>
      <c r="Z138" s="197"/>
      <c r="AA138"/>
      <c r="AB138"/>
      <c r="AC138"/>
      <c r="AD138"/>
      <c r="AE138"/>
      <c r="AF138"/>
    </row>
    <row r="139" spans="1:40" s="278" customFormat="1">
      <c r="A139" s="274" t="str">
        <f>A138</f>
        <v>A 96</v>
      </c>
      <c r="B139" s="275">
        <v>83.171999999999997</v>
      </c>
      <c r="C139" s="275" t="s">
        <v>87</v>
      </c>
      <c r="D139" s="346"/>
      <c r="E139" s="287" t="s">
        <v>219</v>
      </c>
      <c r="J139" s="279"/>
      <c r="K139" s="280"/>
      <c r="L139" s="280"/>
      <c r="M139" s="274"/>
      <c r="N139" s="280"/>
      <c r="O139" s="280"/>
      <c r="P139" s="281"/>
      <c r="R139" s="282"/>
      <c r="S139" s="280"/>
      <c r="T139" s="279"/>
      <c r="U139" s="275"/>
      <c r="V139" s="296"/>
      <c r="W139" s="297"/>
      <c r="X139" s="295"/>
      <c r="Y139" s="284"/>
      <c r="AA139" s="298"/>
      <c r="AB139" s="298"/>
      <c r="AC139" s="298"/>
      <c r="AD139" s="298"/>
      <c r="AE139" s="298"/>
      <c r="AF139" s="298"/>
    </row>
    <row r="140" spans="1:40" s="21" customFormat="1">
      <c r="A140" s="6" t="s">
        <v>55</v>
      </c>
      <c r="B140" s="192">
        <v>82.159000000000006</v>
      </c>
      <c r="C140" s="192" t="s">
        <v>87</v>
      </c>
      <c r="D140" s="341" t="s">
        <v>125</v>
      </c>
      <c r="E140" s="190" t="s">
        <v>380</v>
      </c>
      <c r="J140" s="89">
        <f>N140</f>
        <v>9</v>
      </c>
      <c r="K140" s="188">
        <v>1</v>
      </c>
      <c r="L140" s="7">
        <v>33</v>
      </c>
      <c r="M140" s="6">
        <v>202</v>
      </c>
      <c r="N140" s="7">
        <v>9</v>
      </c>
      <c r="O140" s="7">
        <v>1</v>
      </c>
      <c r="P140" s="58">
        <v>3</v>
      </c>
      <c r="Q140" s="208" t="str">
        <f>CONCATENATE(D140,", HFS, FR ",IF(OR(T140="W",T140="S"),"Lindau","München"))</f>
        <v>DS201, HFS, FR Lindau</v>
      </c>
      <c r="R140" s="158" t="s">
        <v>89</v>
      </c>
      <c r="S140" s="7">
        <v>20</v>
      </c>
      <c r="T140" s="209" t="s">
        <v>92</v>
      </c>
      <c r="U140" s="55"/>
      <c r="V140" s="50"/>
      <c r="W140" s="49"/>
      <c r="X140" s="36"/>
      <c r="Y140" s="36"/>
      <c r="Z140" s="190" t="s">
        <v>219</v>
      </c>
      <c r="AA140"/>
      <c r="AB140"/>
      <c r="AC140"/>
      <c r="AD140"/>
      <c r="AE140"/>
      <c r="AF140"/>
    </row>
    <row r="141" spans="1:40" s="21" customFormat="1" ht="14.25" customHeight="1">
      <c r="A141" s="220" t="s">
        <v>55</v>
      </c>
      <c r="B141" s="192">
        <v>82.159000000000006</v>
      </c>
      <c r="C141" s="192" t="s">
        <v>87</v>
      </c>
      <c r="D141" s="350" t="s">
        <v>126</v>
      </c>
      <c r="E141" s="190" t="s">
        <v>381</v>
      </c>
      <c r="J141" s="89">
        <f t="shared" ref="J141:J154" si="18">N141</f>
        <v>9</v>
      </c>
      <c r="K141" s="188">
        <v>1</v>
      </c>
      <c r="L141" s="7">
        <v>34</v>
      </c>
      <c r="M141" s="6">
        <v>202</v>
      </c>
      <c r="N141" s="7">
        <v>9</v>
      </c>
      <c r="O141" s="7">
        <v>1</v>
      </c>
      <c r="P141" s="58">
        <v>4</v>
      </c>
      <c r="Q141" s="208" t="str">
        <f>CONCATENATE(D141,", 1.UEFS, FR ",IF(OR(T141="W",T141="S"),"Lindau","München"))</f>
        <v>DS202, 1.UEFS, FR Lindau</v>
      </c>
      <c r="R141" s="158" t="s">
        <v>89</v>
      </c>
      <c r="S141" s="7">
        <v>20</v>
      </c>
      <c r="T141" s="209" t="s">
        <v>92</v>
      </c>
      <c r="U141" s="55"/>
      <c r="V141" s="50"/>
      <c r="W141" s="49"/>
      <c r="X141" s="51"/>
      <c r="Y141" s="36"/>
      <c r="Z141" s="197"/>
      <c r="AA141"/>
      <c r="AB141"/>
      <c r="AC141"/>
      <c r="AD141"/>
      <c r="AE141"/>
      <c r="AF141"/>
    </row>
    <row r="142" spans="1:40" s="21" customFormat="1" ht="12.6" customHeight="1">
      <c r="A142" s="220" t="s">
        <v>55</v>
      </c>
      <c r="B142" s="49">
        <v>82.278000000000006</v>
      </c>
      <c r="C142" s="49" t="s">
        <v>94</v>
      </c>
      <c r="D142" s="341" t="s">
        <v>127</v>
      </c>
      <c r="E142" s="214" t="s">
        <v>382</v>
      </c>
      <c r="F142" s="51"/>
      <c r="G142" s="51"/>
      <c r="H142" s="51"/>
      <c r="I142" s="51"/>
      <c r="J142" s="161">
        <f>N142</f>
        <v>9</v>
      </c>
      <c r="K142" s="162">
        <v>4</v>
      </c>
      <c r="L142" s="36">
        <v>193</v>
      </c>
      <c r="M142" s="160">
        <v>202</v>
      </c>
      <c r="N142" s="36">
        <v>9</v>
      </c>
      <c r="O142" s="160">
        <v>4</v>
      </c>
      <c r="P142" s="162">
        <v>0</v>
      </c>
      <c r="Q142" s="51" t="str">
        <f>CONCATENATE(D142,", FR ",IF(OR(T142="W",T142="S"),"Lindau","München"))</f>
        <v>Cluster INFO201, FR Lindau</v>
      </c>
      <c r="R142" s="163"/>
      <c r="S142" s="36">
        <v>20</v>
      </c>
      <c r="T142" s="161" t="s">
        <v>92</v>
      </c>
      <c r="U142" s="51"/>
      <c r="V142" s="37"/>
      <c r="W142" s="37"/>
      <c r="X142" s="51"/>
      <c r="Y142" s="51"/>
      <c r="Z142" s="214" t="s">
        <v>220</v>
      </c>
      <c r="AA142" s="51"/>
      <c r="AB142" s="51"/>
      <c r="AC142" s="51"/>
      <c r="AD142" s="51"/>
      <c r="AE142" s="51"/>
      <c r="AF142" s="51"/>
      <c r="AG142" s="51"/>
    </row>
    <row r="143" spans="1:40" s="21" customFormat="1" ht="12.6" customHeight="1">
      <c r="A143" s="220" t="s">
        <v>55</v>
      </c>
      <c r="B143" s="217">
        <v>82.278000000000006</v>
      </c>
      <c r="C143" s="217" t="s">
        <v>58</v>
      </c>
      <c r="D143" s="346" t="s">
        <v>236</v>
      </c>
      <c r="E143" s="214" t="s">
        <v>220</v>
      </c>
      <c r="F143" s="221"/>
      <c r="G143" s="221"/>
      <c r="H143" s="221"/>
      <c r="I143" s="221"/>
      <c r="J143" s="218">
        <f>N143</f>
        <v>9</v>
      </c>
      <c r="K143" s="224">
        <v>4</v>
      </c>
      <c r="L143" s="219"/>
      <c r="M143" s="220">
        <v>202</v>
      </c>
      <c r="N143" s="219">
        <v>9</v>
      </c>
      <c r="O143" s="220">
        <v>4</v>
      </c>
      <c r="P143" s="224">
        <v>0</v>
      </c>
      <c r="Q143" s="221" t="str">
        <f>CONCATENATE(D143,", FR ",IF(OR(T143="W",T143="S"),"Lindau","München"))</f>
        <v>AQ INFO201, FR Lindau</v>
      </c>
      <c r="R143" s="222"/>
      <c r="S143" s="219">
        <v>20</v>
      </c>
      <c r="T143" s="218" t="s">
        <v>92</v>
      </c>
      <c r="U143" s="221"/>
      <c r="V143" s="222"/>
      <c r="W143" s="222"/>
      <c r="X143" s="221"/>
      <c r="Y143" s="221"/>
      <c r="Z143" s="214"/>
      <c r="AA143" s="51"/>
      <c r="AB143" s="51"/>
      <c r="AC143" s="51"/>
      <c r="AD143" s="51"/>
      <c r="AE143" s="51"/>
      <c r="AF143" s="51"/>
      <c r="AG143" s="51"/>
    </row>
    <row r="144" spans="1:40" s="21" customFormat="1" ht="12.6" customHeight="1">
      <c r="A144" s="220" t="s">
        <v>55</v>
      </c>
      <c r="B144" s="49">
        <v>82.278000000000006</v>
      </c>
      <c r="C144" s="49" t="s">
        <v>94</v>
      </c>
      <c r="D144" s="346" t="s">
        <v>279</v>
      </c>
      <c r="E144" s="214" t="s">
        <v>384</v>
      </c>
      <c r="F144" s="165"/>
      <c r="G144" s="165"/>
      <c r="H144" s="165"/>
      <c r="I144" s="51"/>
      <c r="J144" s="161">
        <v>9</v>
      </c>
      <c r="K144" s="162">
        <v>4</v>
      </c>
      <c r="L144" s="162">
        <v>33</v>
      </c>
      <c r="M144" s="160">
        <v>202</v>
      </c>
      <c r="N144" s="36">
        <v>9</v>
      </c>
      <c r="O144" s="160">
        <v>4</v>
      </c>
      <c r="P144" s="164">
        <v>1</v>
      </c>
      <c r="Q144" s="51" t="s">
        <v>128</v>
      </c>
      <c r="R144" s="163"/>
      <c r="S144" s="36">
        <v>20</v>
      </c>
      <c r="T144" s="161" t="s">
        <v>92</v>
      </c>
      <c r="U144" s="48"/>
      <c r="V144" s="37"/>
      <c r="W144" s="37"/>
      <c r="X144" s="51"/>
      <c r="Y144" s="51"/>
      <c r="Z144" s="197"/>
      <c r="AA144" s="51"/>
      <c r="AB144" s="51"/>
      <c r="AC144" s="51"/>
      <c r="AD144" s="51"/>
      <c r="AE144" s="51"/>
      <c r="AF144" s="51"/>
      <c r="AG144" s="51"/>
    </row>
    <row r="145" spans="1:40" s="21" customFormat="1" ht="12.6" customHeight="1">
      <c r="A145" s="220" t="s">
        <v>55</v>
      </c>
      <c r="B145" s="49">
        <v>82.278000000000006</v>
      </c>
      <c r="C145" s="49" t="s">
        <v>97</v>
      </c>
      <c r="D145" s="346" t="s">
        <v>238</v>
      </c>
      <c r="E145" s="232" t="s">
        <v>385</v>
      </c>
      <c r="F145" s="51"/>
      <c r="G145" s="51"/>
      <c r="H145" s="51"/>
      <c r="I145" s="51"/>
      <c r="J145" s="161">
        <f t="shared" si="18"/>
        <v>9</v>
      </c>
      <c r="K145" s="162">
        <v>4</v>
      </c>
      <c r="L145" s="36">
        <v>195</v>
      </c>
      <c r="M145" s="160">
        <v>202</v>
      </c>
      <c r="N145" s="36">
        <v>9</v>
      </c>
      <c r="O145" s="160">
        <v>5</v>
      </c>
      <c r="P145" s="162">
        <v>0</v>
      </c>
      <c r="Q145" s="51" t="str">
        <f>CONCATENATE(D145,", FR ",IF(OR(T145="W",T145="S"),"Lindau","München"))</f>
        <v>Cluster VLSA_SCH_201_204, FR Lindau</v>
      </c>
      <c r="R145" s="163"/>
      <c r="S145" s="36">
        <v>20</v>
      </c>
      <c r="T145" s="161" t="s">
        <v>92</v>
      </c>
      <c r="U145" s="51"/>
      <c r="V145" s="37"/>
      <c r="W145" s="37"/>
      <c r="X145" s="51"/>
      <c r="Y145" s="51"/>
      <c r="Z145" s="204"/>
      <c r="AA145" s="51"/>
      <c r="AB145" s="51"/>
      <c r="AC145" s="51"/>
      <c r="AD145" s="51"/>
      <c r="AE145" s="51"/>
      <c r="AF145" s="51"/>
      <c r="AG145" s="51"/>
    </row>
    <row r="146" spans="1:40" s="21" customFormat="1" ht="12.6" customHeight="1">
      <c r="A146" s="220" t="s">
        <v>55</v>
      </c>
      <c r="B146" s="217">
        <v>82.278000000000006</v>
      </c>
      <c r="C146" s="217" t="s">
        <v>58</v>
      </c>
      <c r="D146" s="346" t="s">
        <v>239</v>
      </c>
      <c r="E146" s="232" t="s">
        <v>386</v>
      </c>
      <c r="F146" s="221"/>
      <c r="G146" s="221"/>
      <c r="H146" s="221"/>
      <c r="I146" s="221"/>
      <c r="J146" s="218">
        <f t="shared" ref="J146" si="19">N146</f>
        <v>9</v>
      </c>
      <c r="K146" s="224">
        <v>4</v>
      </c>
      <c r="L146" s="219"/>
      <c r="M146" s="220">
        <v>202</v>
      </c>
      <c r="N146" s="219">
        <v>9</v>
      </c>
      <c r="O146" s="220">
        <v>5</v>
      </c>
      <c r="P146" s="224">
        <v>0</v>
      </c>
      <c r="Q146" s="221" t="str">
        <f>CONCATENATE(D146,", FR ",IF(OR(T146="W",T146="S"),"Lindau","München"))</f>
        <v>AQ VLSA_SCH_201_204, FR Lindau</v>
      </c>
      <c r="R146" s="222"/>
      <c r="S146" s="219">
        <v>20</v>
      </c>
      <c r="T146" s="218" t="s">
        <v>92</v>
      </c>
      <c r="U146" s="221"/>
      <c r="V146" s="222"/>
      <c r="W146" s="222"/>
      <c r="X146" s="221"/>
      <c r="Y146" s="221"/>
      <c r="Z146" s="204"/>
      <c r="AA146" s="51"/>
      <c r="AB146" s="51"/>
      <c r="AC146" s="51"/>
      <c r="AD146" s="51"/>
      <c r="AE146" s="51"/>
      <c r="AF146" s="51"/>
      <c r="AG146" s="51"/>
    </row>
    <row r="147" spans="1:40" s="21" customFormat="1" ht="12.6" customHeight="1">
      <c r="A147" s="220" t="s">
        <v>55</v>
      </c>
      <c r="B147" s="49">
        <v>82.278000000000006</v>
      </c>
      <c r="C147" s="49" t="s">
        <v>97</v>
      </c>
      <c r="D147" s="348" t="s">
        <v>294</v>
      </c>
      <c r="E147" s="214" t="s">
        <v>387</v>
      </c>
      <c r="F147" s="51"/>
      <c r="G147" s="51"/>
      <c r="H147" s="51"/>
      <c r="I147" s="51"/>
      <c r="J147" s="161">
        <f t="shared" si="18"/>
        <v>9</v>
      </c>
      <c r="K147" s="162">
        <v>4</v>
      </c>
      <c r="L147" s="162">
        <v>41</v>
      </c>
      <c r="M147" s="160">
        <v>202</v>
      </c>
      <c r="N147" s="36">
        <v>9</v>
      </c>
      <c r="O147" s="160">
        <v>5</v>
      </c>
      <c r="P147" s="164">
        <v>1</v>
      </c>
      <c r="Q147" s="51" t="str">
        <f>CONCATENATE(D147,", HFS,  FR ",IF(OR(T147="W",T147="S"),"Lindau","München"))</f>
        <v>VLSA201, HFS,  FR Lindau</v>
      </c>
      <c r="R147" s="163"/>
      <c r="S147" s="36">
        <v>20</v>
      </c>
      <c r="T147" s="161" t="s">
        <v>92</v>
      </c>
      <c r="U147" s="48"/>
      <c r="V147" s="37"/>
      <c r="W147" s="37"/>
      <c r="X147" s="51"/>
      <c r="Y147" s="51"/>
      <c r="Z147" s="214" t="s">
        <v>208</v>
      </c>
      <c r="AA147" s="51"/>
      <c r="AB147" s="51"/>
      <c r="AC147" s="51"/>
      <c r="AD147" s="51"/>
      <c r="AE147" s="51"/>
      <c r="AF147" s="51"/>
      <c r="AG147" s="51"/>
    </row>
    <row r="148" spans="1:40" s="21" customFormat="1" ht="12.6" customHeight="1">
      <c r="A148" s="220" t="s">
        <v>55</v>
      </c>
      <c r="B148" s="49">
        <v>82.278000000000006</v>
      </c>
      <c r="C148" s="49" t="s">
        <v>97</v>
      </c>
      <c r="D148" s="348" t="s">
        <v>295</v>
      </c>
      <c r="E148" s="214" t="s">
        <v>388</v>
      </c>
      <c r="F148" s="165"/>
      <c r="G148" s="165"/>
      <c r="H148" s="165"/>
      <c r="I148" s="51"/>
      <c r="J148" s="161">
        <f t="shared" si="18"/>
        <v>9</v>
      </c>
      <c r="K148" s="162">
        <v>4</v>
      </c>
      <c r="L148" s="162">
        <v>42</v>
      </c>
      <c r="M148" s="160">
        <v>202</v>
      </c>
      <c r="N148" s="36">
        <v>9</v>
      </c>
      <c r="O148" s="160">
        <v>5</v>
      </c>
      <c r="P148" s="164">
        <v>2</v>
      </c>
      <c r="Q148" s="51" t="str">
        <f>CONCATENATE(D148,", 1.UEFS, FR ",IF(OR(T148="W",T148="S"),"Lindau","München"))</f>
        <v>VLSA202, 1.UEFS, FR Lindau</v>
      </c>
      <c r="R148" s="163"/>
      <c r="S148" s="36">
        <v>20</v>
      </c>
      <c r="T148" s="161" t="s">
        <v>92</v>
      </c>
      <c r="U148" s="48"/>
      <c r="V148" s="37"/>
      <c r="W148" s="37"/>
      <c r="X148" s="51"/>
      <c r="Y148" s="51"/>
      <c r="Z148" s="204"/>
      <c r="AA148" s="51"/>
      <c r="AB148" s="51"/>
      <c r="AC148" s="51"/>
      <c r="AD148" s="51"/>
      <c r="AE148" s="51"/>
      <c r="AF148" s="51"/>
      <c r="AG148" s="51"/>
    </row>
    <row r="149" spans="1:40" s="5" customFormat="1" ht="12.6" customHeight="1">
      <c r="A149" s="220" t="s">
        <v>55</v>
      </c>
      <c r="B149" s="49">
        <v>82.247</v>
      </c>
      <c r="C149" s="166" t="s">
        <v>98</v>
      </c>
      <c r="D149" s="348" t="s">
        <v>296</v>
      </c>
      <c r="E149" s="214" t="s">
        <v>389</v>
      </c>
      <c r="F149" s="165"/>
      <c r="G149" s="165"/>
      <c r="H149" s="165"/>
      <c r="I149" s="51"/>
      <c r="J149" s="161">
        <f t="shared" si="18"/>
        <v>9</v>
      </c>
      <c r="K149" s="162">
        <v>4</v>
      </c>
      <c r="L149" s="167">
        <v>43</v>
      </c>
      <c r="M149" s="160">
        <v>202</v>
      </c>
      <c r="N149" s="36">
        <v>9</v>
      </c>
      <c r="O149" s="159">
        <v>5</v>
      </c>
      <c r="P149" s="167">
        <v>3</v>
      </c>
      <c r="Q149" s="51" t="str">
        <f>CONCATENATE(D149,", HFS,  FR ",IF(OR(T149="W",T149="S"),"Lindau","München"))</f>
        <v>SCH201, HFS,  FR Lindau</v>
      </c>
      <c r="R149" s="54"/>
      <c r="S149" s="159">
        <v>20</v>
      </c>
      <c r="T149" s="161" t="s">
        <v>92</v>
      </c>
      <c r="U149" s="48"/>
      <c r="V149" s="54"/>
      <c r="W149" s="54"/>
      <c r="X149" s="52"/>
      <c r="Y149" s="52"/>
      <c r="Z149" s="214" t="s">
        <v>209</v>
      </c>
      <c r="AA149" s="52"/>
      <c r="AB149" s="52"/>
      <c r="AC149" s="52"/>
      <c r="AD149" s="52"/>
      <c r="AE149" s="52"/>
      <c r="AF149" s="52"/>
      <c r="AG149" s="52"/>
    </row>
    <row r="150" spans="1:40" s="5" customFormat="1" ht="12.6" customHeight="1">
      <c r="A150" s="220" t="s">
        <v>55</v>
      </c>
      <c r="B150" s="49">
        <v>82.247</v>
      </c>
      <c r="C150" s="166" t="s">
        <v>98</v>
      </c>
      <c r="D150" s="348" t="s">
        <v>297</v>
      </c>
      <c r="E150" s="214" t="s">
        <v>390</v>
      </c>
      <c r="F150" s="165"/>
      <c r="G150" s="165"/>
      <c r="H150" s="165"/>
      <c r="I150" s="51"/>
      <c r="J150" s="161">
        <f t="shared" si="18"/>
        <v>9</v>
      </c>
      <c r="K150" s="162">
        <v>4</v>
      </c>
      <c r="L150" s="167">
        <v>44</v>
      </c>
      <c r="M150" s="160">
        <v>202</v>
      </c>
      <c r="N150" s="36">
        <v>9</v>
      </c>
      <c r="O150" s="159">
        <v>5</v>
      </c>
      <c r="P150" s="167">
        <v>4</v>
      </c>
      <c r="Q150" s="51" t="str">
        <f>CONCATENATE(D150,", 1.UEFS, FR ",IF(OR(T150="W",T150="S"),"Lindau","München"))</f>
        <v>SCH202, 1.UEFS, FR Lindau</v>
      </c>
      <c r="R150" s="54"/>
      <c r="S150" s="159">
        <v>20</v>
      </c>
      <c r="T150" s="161" t="s">
        <v>92</v>
      </c>
      <c r="U150" s="48"/>
      <c r="V150" s="54"/>
      <c r="W150" s="54"/>
      <c r="X150" s="52"/>
      <c r="Y150" s="52"/>
      <c r="Z150" s="215" t="s">
        <v>221</v>
      </c>
      <c r="AA150" s="52"/>
      <c r="AB150" s="52"/>
      <c r="AC150" s="52"/>
      <c r="AD150" s="52"/>
      <c r="AE150" s="52"/>
      <c r="AF150" s="52"/>
      <c r="AG150" s="52"/>
    </row>
    <row r="151" spans="1:40" s="21" customFormat="1" ht="12.6" customHeight="1">
      <c r="A151" s="220" t="s">
        <v>55</v>
      </c>
      <c r="B151" s="49">
        <v>82.15</v>
      </c>
      <c r="C151" s="49" t="s">
        <v>97</v>
      </c>
      <c r="D151" s="348" t="s">
        <v>298</v>
      </c>
      <c r="E151" s="214" t="s">
        <v>391</v>
      </c>
      <c r="F151" s="51"/>
      <c r="G151" s="51"/>
      <c r="H151" s="51"/>
      <c r="I151" s="51"/>
      <c r="J151" s="161">
        <f t="shared" si="18"/>
        <v>9</v>
      </c>
      <c r="K151" s="162">
        <v>4</v>
      </c>
      <c r="L151" s="162">
        <v>45</v>
      </c>
      <c r="M151" s="160">
        <v>202</v>
      </c>
      <c r="N151" s="36">
        <v>9</v>
      </c>
      <c r="O151" s="160">
        <v>5</v>
      </c>
      <c r="P151" s="164">
        <v>5</v>
      </c>
      <c r="Q151" s="51" t="str">
        <f>CONCATENATE(D151,", HFS,  FR ",IF(OR(T151="W",T151="S"),"Lindau","München"))</f>
        <v>VLSA203, HFS,  FR Lindau</v>
      </c>
      <c r="R151" s="163"/>
      <c r="S151" s="36">
        <v>20</v>
      </c>
      <c r="T151" s="161" t="s">
        <v>92</v>
      </c>
      <c r="U151" s="48"/>
      <c r="V151" s="37"/>
      <c r="W151" s="37"/>
      <c r="X151" s="51"/>
      <c r="Y151" s="51"/>
      <c r="Z151" s="214" t="s">
        <v>210</v>
      </c>
      <c r="AA151" s="51"/>
      <c r="AB151" s="51"/>
      <c r="AC151" s="51"/>
      <c r="AD151" s="51"/>
      <c r="AE151" s="51"/>
      <c r="AF151" s="51"/>
      <c r="AG151" s="51"/>
    </row>
    <row r="152" spans="1:40" s="21" customFormat="1" ht="12.6" customHeight="1">
      <c r="A152" s="220" t="s">
        <v>55</v>
      </c>
      <c r="B152" s="49">
        <v>82.15</v>
      </c>
      <c r="C152" s="49" t="s">
        <v>97</v>
      </c>
      <c r="D152" s="348" t="s">
        <v>299</v>
      </c>
      <c r="E152" s="214" t="s">
        <v>392</v>
      </c>
      <c r="F152" s="165"/>
      <c r="G152" s="165"/>
      <c r="H152" s="165"/>
      <c r="I152" s="51"/>
      <c r="J152" s="161">
        <f t="shared" si="18"/>
        <v>9</v>
      </c>
      <c r="K152" s="162">
        <v>4</v>
      </c>
      <c r="L152" s="162">
        <v>46</v>
      </c>
      <c r="M152" s="160">
        <v>202</v>
      </c>
      <c r="N152" s="36">
        <v>9</v>
      </c>
      <c r="O152" s="160">
        <v>5</v>
      </c>
      <c r="P152" s="164">
        <v>6</v>
      </c>
      <c r="Q152" s="51" t="str">
        <f>CONCATENATE(D152,", 1.UEFS, FR ",IF(OR(T152="W",T152="S"),"Lindau","München"))</f>
        <v>VLSA204, 1.UEFS, FR Lindau</v>
      </c>
      <c r="R152" s="163"/>
      <c r="S152" s="36">
        <v>20</v>
      </c>
      <c r="T152" s="161" t="s">
        <v>92</v>
      </c>
      <c r="U152" s="48"/>
      <c r="V152" s="37"/>
      <c r="W152" s="37"/>
      <c r="X152" s="51"/>
      <c r="Y152" s="51"/>
      <c r="Z152" s="204"/>
      <c r="AA152" s="51"/>
      <c r="AB152" s="51"/>
      <c r="AC152" s="51"/>
      <c r="AD152" s="51"/>
      <c r="AE152" s="51"/>
      <c r="AF152" s="51"/>
      <c r="AG152" s="51"/>
    </row>
    <row r="153" spans="1:40" s="20" customFormat="1" ht="12.6" customHeight="1">
      <c r="A153" s="220" t="s">
        <v>55</v>
      </c>
      <c r="B153" s="49">
        <v>82.15</v>
      </c>
      <c r="C153" s="49" t="s">
        <v>97</v>
      </c>
      <c r="D153" s="341" t="s">
        <v>129</v>
      </c>
      <c r="E153" s="214" t="s">
        <v>393</v>
      </c>
      <c r="F153" s="165"/>
      <c r="G153" s="165"/>
      <c r="H153" s="165"/>
      <c r="I153" s="51"/>
      <c r="J153" s="161">
        <f>N153</f>
        <v>9</v>
      </c>
      <c r="K153" s="162">
        <v>4</v>
      </c>
      <c r="L153" s="162">
        <v>47</v>
      </c>
      <c r="M153" s="160">
        <v>202</v>
      </c>
      <c r="N153" s="36">
        <v>9</v>
      </c>
      <c r="O153" s="160">
        <v>5</v>
      </c>
      <c r="P153" s="164">
        <v>7</v>
      </c>
      <c r="Q153" s="51" t="str">
        <f>CONCATENATE(D153,", HFS, FR ",IF(OR(T153="W",T153="S"),"Lindau","München"))</f>
        <v>VLSA105-GV, HFS, FR Lindau</v>
      </c>
      <c r="R153" s="163"/>
      <c r="S153" s="36">
        <v>20</v>
      </c>
      <c r="T153" s="161" t="s">
        <v>92</v>
      </c>
      <c r="U153" s="48"/>
      <c r="V153" s="37"/>
      <c r="W153" s="37"/>
      <c r="X153" s="51"/>
      <c r="Y153" s="51"/>
      <c r="Z153" s="214" t="s">
        <v>211</v>
      </c>
      <c r="AA153" s="51"/>
      <c r="AB153" s="51"/>
      <c r="AC153" s="51"/>
      <c r="AD153" s="51"/>
      <c r="AE153" s="51"/>
      <c r="AF153" s="51"/>
      <c r="AG153" s="51"/>
      <c r="AH153" s="21"/>
      <c r="AI153" s="21"/>
      <c r="AJ153" s="21"/>
      <c r="AK153" s="21"/>
      <c r="AL153" s="21"/>
      <c r="AM153" s="21"/>
      <c r="AN153" s="21"/>
    </row>
    <row r="154" spans="1:40" s="5" customFormat="1" ht="12.6" customHeight="1">
      <c r="A154" s="220" t="s">
        <v>55</v>
      </c>
      <c r="B154" s="49">
        <v>82.247</v>
      </c>
      <c r="C154" s="49" t="s">
        <v>67</v>
      </c>
      <c r="D154" s="344" t="str">
        <f>CONCATENATE(C154,"_SCH201",)</f>
        <v>VLT_SCH201</v>
      </c>
      <c r="E154" s="229" t="str">
        <f>D154</f>
        <v>VLT_SCH201</v>
      </c>
      <c r="F154" s="165"/>
      <c r="G154" s="165"/>
      <c r="H154" s="165"/>
      <c r="I154" s="51"/>
      <c r="J154" s="161">
        <f t="shared" si="18"/>
        <v>9</v>
      </c>
      <c r="K154" s="162">
        <v>6</v>
      </c>
      <c r="L154" s="159">
        <v>11</v>
      </c>
      <c r="M154" s="160">
        <v>202</v>
      </c>
      <c r="N154" s="36">
        <v>9</v>
      </c>
      <c r="O154" s="168">
        <v>5</v>
      </c>
      <c r="P154" s="159">
        <v>11</v>
      </c>
      <c r="Q154" s="51" t="s">
        <v>130</v>
      </c>
      <c r="R154" s="54">
        <v>55</v>
      </c>
      <c r="S154" s="159">
        <v>20</v>
      </c>
      <c r="T154" s="161" t="s">
        <v>92</v>
      </c>
      <c r="U154" s="48"/>
      <c r="V154" s="54"/>
      <c r="W154" s="54"/>
      <c r="X154" s="52"/>
      <c r="Y154" s="52"/>
      <c r="Z154" s="205"/>
      <c r="AA154" s="52"/>
      <c r="AB154" s="52"/>
      <c r="AC154" s="52"/>
      <c r="AD154" s="52"/>
      <c r="AE154" s="52"/>
      <c r="AF154" s="52"/>
      <c r="AG154" s="52"/>
    </row>
    <row r="155" spans="1:40" s="5" customFormat="1" ht="12.6" customHeight="1">
      <c r="A155" s="220" t="s">
        <v>55</v>
      </c>
      <c r="B155" s="49">
        <v>82.247</v>
      </c>
      <c r="C155" s="49" t="s">
        <v>67</v>
      </c>
      <c r="D155" s="344" t="str">
        <f>CONCATENATE(C155,"_SCH202",)</f>
        <v>VLT_SCH202</v>
      </c>
      <c r="E155" s="229" t="str">
        <f>D155</f>
        <v>VLT_SCH202</v>
      </c>
      <c r="F155" s="165"/>
      <c r="G155" s="165"/>
      <c r="H155" s="165"/>
      <c r="I155" s="36"/>
      <c r="J155" s="161">
        <f>N155</f>
        <v>9</v>
      </c>
      <c r="K155" s="162">
        <v>6</v>
      </c>
      <c r="L155" s="159">
        <v>12</v>
      </c>
      <c r="M155" s="160">
        <v>202</v>
      </c>
      <c r="N155" s="160">
        <v>9</v>
      </c>
      <c r="O155" s="168">
        <v>5</v>
      </c>
      <c r="P155" s="159">
        <v>12</v>
      </c>
      <c r="Q155" s="51" t="s">
        <v>131</v>
      </c>
      <c r="R155" s="54">
        <v>55</v>
      </c>
      <c r="S155" s="159">
        <v>20</v>
      </c>
      <c r="T155" s="161" t="s">
        <v>92</v>
      </c>
      <c r="U155" s="48"/>
      <c r="V155" s="54"/>
      <c r="W155" s="54"/>
      <c r="X155" s="52"/>
      <c r="Y155" s="52"/>
      <c r="Z155" s="205"/>
      <c r="AA155" s="52"/>
      <c r="AB155" s="52"/>
    </row>
    <row r="156" spans="1:40" s="21" customFormat="1" ht="11.25" customHeight="1">
      <c r="A156" s="220" t="s">
        <v>55</v>
      </c>
      <c r="B156" s="49">
        <v>82.278000000000006</v>
      </c>
      <c r="C156" s="49" t="s">
        <v>67</v>
      </c>
      <c r="D156" s="344" t="str">
        <f>CONCATENATE(C156,"/SSt",N150)</f>
        <v>VLT/SSt9</v>
      </c>
      <c r="E156" s="229" t="str">
        <f t="shared" ref="E156:E158" si="20">D156</f>
        <v>VLT/SSt9</v>
      </c>
      <c r="F156" s="51"/>
      <c r="G156" s="51"/>
      <c r="H156" s="51"/>
      <c r="I156" s="51"/>
      <c r="J156" s="161">
        <f>N156</f>
        <v>9</v>
      </c>
      <c r="K156" s="36">
        <v>6</v>
      </c>
      <c r="L156" s="159" t="s">
        <v>75</v>
      </c>
      <c r="M156" s="160">
        <v>202</v>
      </c>
      <c r="N156" s="160">
        <v>9</v>
      </c>
      <c r="O156" s="159" t="s">
        <v>70</v>
      </c>
      <c r="P156" s="159" t="s">
        <v>75</v>
      </c>
      <c r="Q156" s="51" t="s">
        <v>68</v>
      </c>
      <c r="R156" s="37">
        <v>48</v>
      </c>
      <c r="S156" s="36">
        <v>20</v>
      </c>
      <c r="T156" s="161" t="s">
        <v>92</v>
      </c>
      <c r="U156" s="48"/>
      <c r="V156" s="37"/>
      <c r="W156" s="37"/>
      <c r="X156" s="37"/>
      <c r="Y156" s="37"/>
      <c r="Z156" s="204"/>
      <c r="AA156" s="51"/>
      <c r="AB156" s="51"/>
    </row>
    <row r="157" spans="1:40" s="21" customFormat="1" ht="12.6" customHeight="1">
      <c r="A157" s="220" t="s">
        <v>55</v>
      </c>
      <c r="B157" s="49">
        <f>B156</f>
        <v>82.278000000000006</v>
      </c>
      <c r="C157" s="49" t="s">
        <v>67</v>
      </c>
      <c r="D157" s="344" t="str">
        <f>CONCATENATE(C157,"/SSt",N158)</f>
        <v>VLT/SSt9</v>
      </c>
      <c r="E157" s="229" t="str">
        <f t="shared" si="20"/>
        <v>VLT/SSt9</v>
      </c>
      <c r="F157" s="169"/>
      <c r="G157" s="169"/>
      <c r="H157" s="169"/>
      <c r="I157" s="36"/>
      <c r="J157" s="161">
        <f>J156</f>
        <v>9</v>
      </c>
      <c r="K157" s="36">
        <v>6</v>
      </c>
      <c r="L157" s="159">
        <v>4</v>
      </c>
      <c r="M157" s="6">
        <v>202</v>
      </c>
      <c r="N157" s="36">
        <f>N156</f>
        <v>9</v>
      </c>
      <c r="O157" s="159">
        <v>6</v>
      </c>
      <c r="P157" s="159">
        <v>4</v>
      </c>
      <c r="Q157" s="51" t="s">
        <v>69</v>
      </c>
      <c r="R157" s="37">
        <v>51</v>
      </c>
      <c r="S157" s="36">
        <v>20</v>
      </c>
      <c r="T157" s="161" t="s">
        <v>92</v>
      </c>
      <c r="U157" s="36"/>
      <c r="V157" s="36"/>
      <c r="W157" s="38"/>
      <c r="X157" s="38"/>
      <c r="Y157" s="39"/>
      <c r="Z157" s="206"/>
      <c r="AA157" s="51"/>
      <c r="AB157" s="51"/>
      <c r="AC157"/>
      <c r="AD157"/>
      <c r="AE157"/>
      <c r="AF157"/>
      <c r="AN157" s="4"/>
    </row>
    <row r="158" spans="1:40" s="23" customFormat="1" ht="12.6" customHeight="1">
      <c r="A158" s="220" t="s">
        <v>55</v>
      </c>
      <c r="B158" s="49">
        <f>B157</f>
        <v>82.278000000000006</v>
      </c>
      <c r="C158" s="49" t="s">
        <v>67</v>
      </c>
      <c r="D158" s="344" t="str">
        <f>CONCATENATE(C158,"1/SSt",RIGHT(N158,1))</f>
        <v>VLT1/SSt9</v>
      </c>
      <c r="E158" s="229" t="str">
        <f t="shared" si="20"/>
        <v>VLT1/SSt9</v>
      </c>
      <c r="F158" s="169"/>
      <c r="G158" s="169"/>
      <c r="H158" s="169"/>
      <c r="I158" s="36"/>
      <c r="J158" s="161">
        <f>J157</f>
        <v>9</v>
      </c>
      <c r="K158" s="36">
        <v>6</v>
      </c>
      <c r="L158" s="50">
        <v>5</v>
      </c>
      <c r="M158" s="6">
        <v>202</v>
      </c>
      <c r="N158" s="36">
        <f>N157</f>
        <v>9</v>
      </c>
      <c r="O158" s="159" t="s">
        <v>70</v>
      </c>
      <c r="P158" s="159" t="s">
        <v>71</v>
      </c>
      <c r="Q158" s="51" t="s">
        <v>72</v>
      </c>
      <c r="R158" s="37">
        <v>54</v>
      </c>
      <c r="S158" s="36">
        <v>20</v>
      </c>
      <c r="T158" s="161" t="s">
        <v>92</v>
      </c>
      <c r="U158" s="36"/>
      <c r="V158" s="36"/>
      <c r="W158" s="38"/>
      <c r="X158" s="38"/>
      <c r="Y158" s="39"/>
      <c r="Z158" s="206"/>
      <c r="AA158" s="51"/>
      <c r="AB158" s="51"/>
      <c r="AC158"/>
      <c r="AD158"/>
      <c r="AE158"/>
      <c r="AF158"/>
      <c r="AN158" s="69"/>
    </row>
    <row r="159" spans="1:40" s="21" customFormat="1" ht="12.6" customHeight="1">
      <c r="A159" s="99"/>
      <c r="B159" s="49"/>
      <c r="C159" s="49"/>
      <c r="D159" s="344"/>
      <c r="E159" s="233"/>
      <c r="F159" s="169"/>
      <c r="G159" s="169"/>
      <c r="H159" s="169"/>
      <c r="I159" s="51"/>
      <c r="J159" s="161"/>
      <c r="K159" s="36"/>
      <c r="L159" s="159"/>
      <c r="M159" s="160"/>
      <c r="N159" s="36"/>
      <c r="O159" s="159"/>
      <c r="P159" s="159"/>
      <c r="Q159" s="52"/>
      <c r="R159" s="37"/>
      <c r="S159" s="36"/>
      <c r="T159" s="161"/>
      <c r="U159" s="36"/>
      <c r="V159" s="36"/>
      <c r="W159" s="38"/>
      <c r="X159" s="38"/>
      <c r="Y159" s="39"/>
      <c r="Z159" s="206"/>
      <c r="AA159" s="51"/>
      <c r="AB159" s="51"/>
      <c r="AN159" s="4"/>
    </row>
    <row r="160" spans="1:40" s="22" customFormat="1" ht="12.6" customHeight="1">
      <c r="A160" s="57" t="s">
        <v>55</v>
      </c>
      <c r="B160" s="172">
        <v>81.822999999999993</v>
      </c>
      <c r="C160" s="171" t="s">
        <v>56</v>
      </c>
      <c r="D160" s="340" t="str">
        <f>Q160</f>
        <v>SSt 205</v>
      </c>
      <c r="E160" s="229" t="str">
        <f>D160</f>
        <v>SSt 205</v>
      </c>
      <c r="F160" s="173"/>
      <c r="G160" s="187">
        <v>9617897</v>
      </c>
      <c r="H160" s="187" t="str">
        <f>DEC2HEX(G160)</f>
        <v>92C1E9</v>
      </c>
      <c r="I160" s="174"/>
      <c r="J160" s="175">
        <f t="shared" ref="J160:J167" si="21">N160</f>
        <v>10</v>
      </c>
      <c r="K160" s="171"/>
      <c r="L160" s="171"/>
      <c r="M160" s="171">
        <v>202</v>
      </c>
      <c r="N160" s="171">
        <v>10</v>
      </c>
      <c r="O160" s="171"/>
      <c r="P160" s="171"/>
      <c r="Q160" s="173" t="s">
        <v>132</v>
      </c>
      <c r="R160" s="176"/>
      <c r="S160" s="177"/>
      <c r="T160" s="177"/>
      <c r="U160" s="160"/>
      <c r="V160" s="47"/>
      <c r="W160" s="47"/>
      <c r="X160" s="47"/>
      <c r="Y160" s="47"/>
      <c r="Z160" s="207"/>
      <c r="AA160" s="178"/>
      <c r="AB160" s="178"/>
    </row>
    <row r="161" spans="1:32" s="288" customFormat="1" ht="12.6" customHeight="1">
      <c r="A161" s="274" t="s">
        <v>55</v>
      </c>
      <c r="B161" s="297">
        <v>81.822999999999993</v>
      </c>
      <c r="C161" s="297" t="s">
        <v>87</v>
      </c>
      <c r="D161" s="340"/>
      <c r="E161" s="190" t="s">
        <v>222</v>
      </c>
      <c r="F161" s="299"/>
      <c r="I161" s="300"/>
      <c r="J161" s="301"/>
      <c r="K161" s="302"/>
      <c r="L161" s="302"/>
      <c r="M161" s="302"/>
      <c r="N161" s="302"/>
      <c r="O161" s="302"/>
      <c r="P161" s="302"/>
      <c r="Q161" s="299"/>
      <c r="R161" s="303"/>
      <c r="S161" s="302"/>
      <c r="T161" s="302"/>
      <c r="U161" s="304"/>
      <c r="V161" s="292"/>
      <c r="W161" s="292"/>
      <c r="X161" s="292"/>
      <c r="Y161" s="292"/>
      <c r="Z161" s="299"/>
      <c r="AA161" s="299"/>
      <c r="AB161" s="299"/>
    </row>
    <row r="162" spans="1:32" s="21" customFormat="1">
      <c r="A162" s="6" t="s">
        <v>55</v>
      </c>
      <c r="B162" s="193">
        <v>81.822999999999993</v>
      </c>
      <c r="C162" s="193" t="s">
        <v>87</v>
      </c>
      <c r="D162" s="341" t="s">
        <v>133</v>
      </c>
      <c r="E162" s="190" t="s">
        <v>394</v>
      </c>
      <c r="F162" s="51"/>
      <c r="G162" s="51"/>
      <c r="H162" s="51"/>
      <c r="I162" s="51"/>
      <c r="J162" s="161">
        <f t="shared" si="21"/>
        <v>10</v>
      </c>
      <c r="K162" s="211">
        <v>1</v>
      </c>
      <c r="L162" s="36">
        <v>33</v>
      </c>
      <c r="M162" s="160">
        <v>202</v>
      </c>
      <c r="N162" s="36">
        <v>10</v>
      </c>
      <c r="O162" s="36">
        <v>1</v>
      </c>
      <c r="P162" s="159">
        <v>1</v>
      </c>
      <c r="Q162" s="212" t="str">
        <f>CONCATENATE(D162,", HFS, FR ",IF(OR(T162="W",T162="S"),"Lindau","München"))</f>
        <v>DS203, HFS, FR Lindau</v>
      </c>
      <c r="R162" s="37" t="s">
        <v>89</v>
      </c>
      <c r="S162" s="36">
        <v>20</v>
      </c>
      <c r="T162" s="213" t="s">
        <v>92</v>
      </c>
      <c r="U162" s="49"/>
      <c r="V162" s="50"/>
      <c r="W162" s="49"/>
      <c r="X162" s="36"/>
      <c r="Y162" s="36"/>
      <c r="Z162" s="190" t="s">
        <v>222</v>
      </c>
      <c r="AA162" s="51"/>
      <c r="AB162" s="51"/>
      <c r="AC162"/>
      <c r="AD162"/>
      <c r="AE162"/>
      <c r="AF162"/>
    </row>
    <row r="163" spans="1:32" s="21" customFormat="1">
      <c r="A163" s="6" t="str">
        <f>A162</f>
        <v>A 96</v>
      </c>
      <c r="B163" s="193">
        <v>81.822999999999993</v>
      </c>
      <c r="C163" s="193" t="s">
        <v>87</v>
      </c>
      <c r="D163" s="347" t="s">
        <v>134</v>
      </c>
      <c r="E163" s="190" t="s">
        <v>395</v>
      </c>
      <c r="F163" s="51"/>
      <c r="G163" s="51"/>
      <c r="H163" s="51"/>
      <c r="I163" s="51"/>
      <c r="J163" s="161">
        <f t="shared" si="21"/>
        <v>10</v>
      </c>
      <c r="K163" s="211">
        <v>1</v>
      </c>
      <c r="L163" s="36">
        <v>34</v>
      </c>
      <c r="M163" s="160">
        <v>202</v>
      </c>
      <c r="N163" s="36">
        <v>10</v>
      </c>
      <c r="O163" s="36">
        <v>1</v>
      </c>
      <c r="P163" s="159">
        <v>2</v>
      </c>
      <c r="Q163" s="212" t="str">
        <f>CONCATENATE(D163,", 1.UEFS, FR ",IF(OR(T163="W",T163="S"),"Lindau","München"))</f>
        <v>DS204, 1.UEFS, FR Lindau</v>
      </c>
      <c r="R163" s="37" t="s">
        <v>89</v>
      </c>
      <c r="S163" s="36">
        <v>20</v>
      </c>
      <c r="T163" s="213" t="s">
        <v>92</v>
      </c>
      <c r="U163" s="49"/>
      <c r="V163" s="50"/>
      <c r="W163" s="49"/>
      <c r="X163" s="51"/>
      <c r="Y163" s="36"/>
      <c r="Z163" s="204"/>
      <c r="AA163" s="51"/>
      <c r="AB163" s="51"/>
      <c r="AC163"/>
      <c r="AD163"/>
      <c r="AE163"/>
      <c r="AF163"/>
    </row>
    <row r="164" spans="1:32" s="21" customFormat="1">
      <c r="A164" s="6" t="s">
        <v>55</v>
      </c>
      <c r="B164" s="49">
        <v>81.822999999999993</v>
      </c>
      <c r="C164" s="217" t="s">
        <v>61</v>
      </c>
      <c r="D164" s="341" t="s">
        <v>135</v>
      </c>
      <c r="E164" s="214" t="s">
        <v>383</v>
      </c>
      <c r="F164" s="51"/>
      <c r="G164" s="51"/>
      <c r="H164" s="51"/>
      <c r="I164" s="51"/>
      <c r="J164" s="161">
        <f t="shared" si="21"/>
        <v>10</v>
      </c>
      <c r="K164" s="36">
        <v>4</v>
      </c>
      <c r="L164" s="36">
        <v>193</v>
      </c>
      <c r="M164" s="160">
        <v>202</v>
      </c>
      <c r="N164" s="36">
        <v>10</v>
      </c>
      <c r="O164" s="36">
        <v>4</v>
      </c>
      <c r="P164" s="36">
        <v>0</v>
      </c>
      <c r="Q164" s="51" t="str">
        <f>CONCATENATE(D164,", FR ",IF(OR(T164="W",T164="S"),"Lindau","München"))</f>
        <v>Cluster WVZ207_8, FR Lindau</v>
      </c>
      <c r="R164" s="37"/>
      <c r="S164" s="36">
        <v>20</v>
      </c>
      <c r="T164" s="161" t="s">
        <v>92</v>
      </c>
      <c r="U164" s="50"/>
      <c r="V164" s="50"/>
      <c r="W164" s="49"/>
      <c r="X164" s="51"/>
      <c r="Y164" s="50"/>
      <c r="Z164" s="214" t="s">
        <v>212</v>
      </c>
      <c r="AA164" s="51"/>
      <c r="AB164" s="51"/>
      <c r="AC164"/>
      <c r="AD164"/>
      <c r="AE164"/>
      <c r="AF164"/>
    </row>
    <row r="165" spans="1:32" s="21" customFormat="1">
      <c r="A165" s="220" t="s">
        <v>55</v>
      </c>
      <c r="B165" s="217">
        <v>81.822999999999993</v>
      </c>
      <c r="C165" s="217" t="s">
        <v>58</v>
      </c>
      <c r="D165" s="346" t="s">
        <v>231</v>
      </c>
      <c r="E165" s="214" t="s">
        <v>212</v>
      </c>
      <c r="F165" s="221"/>
      <c r="G165" s="221"/>
      <c r="H165" s="221"/>
      <c r="I165" s="221"/>
      <c r="J165" s="218">
        <f t="shared" ref="J165" si="22">N165</f>
        <v>10</v>
      </c>
      <c r="K165" s="219">
        <v>4</v>
      </c>
      <c r="L165" s="219"/>
      <c r="M165" s="220">
        <v>202</v>
      </c>
      <c r="N165" s="219">
        <v>10</v>
      </c>
      <c r="O165" s="219">
        <v>4</v>
      </c>
      <c r="P165" s="219">
        <v>0</v>
      </c>
      <c r="Q165" s="221" t="str">
        <f>CONCATENATE(D165,", FR ",IF(OR(T165="W",T165="S"),"Lindau","München"))</f>
        <v>AQ WVZ207_8, FR Lindau</v>
      </c>
      <c r="R165" s="222"/>
      <c r="S165" s="219">
        <v>20</v>
      </c>
      <c r="T165" s="218" t="s">
        <v>92</v>
      </c>
      <c r="U165" s="219"/>
      <c r="V165" s="219"/>
      <c r="W165" s="217"/>
      <c r="X165" s="221"/>
      <c r="Y165" s="219"/>
      <c r="Z165" s="214"/>
      <c r="AA165" s="51"/>
      <c r="AB165" s="51"/>
      <c r="AC165"/>
      <c r="AD165"/>
      <c r="AE165"/>
      <c r="AF165"/>
    </row>
    <row r="166" spans="1:32" s="21" customFormat="1" ht="12" customHeight="1">
      <c r="A166" s="6" t="s">
        <v>55</v>
      </c>
      <c r="B166" s="49">
        <v>81.822999999999993</v>
      </c>
      <c r="C166" s="49" t="s">
        <v>61</v>
      </c>
      <c r="D166" s="346" t="s">
        <v>280</v>
      </c>
      <c r="E166" s="214" t="s">
        <v>396</v>
      </c>
      <c r="F166" s="51"/>
      <c r="G166" s="51"/>
      <c r="H166" s="51"/>
      <c r="I166" s="51"/>
      <c r="J166" s="161">
        <f t="shared" si="21"/>
        <v>10</v>
      </c>
      <c r="K166" s="36">
        <v>4</v>
      </c>
      <c r="L166" s="159">
        <v>33</v>
      </c>
      <c r="M166" s="160">
        <v>202</v>
      </c>
      <c r="N166" s="36">
        <v>10</v>
      </c>
      <c r="O166" s="159">
        <v>4</v>
      </c>
      <c r="P166" s="159">
        <v>1</v>
      </c>
      <c r="Q166" s="51" t="str">
        <f>CONCATENATE(D166,", HFS,  FR ",IF(OR(T166="W",T166="S"),"Lindau","München"))</f>
        <v>WVZ207.1_A1, HFS,  FR Lindau</v>
      </c>
      <c r="R166" s="37"/>
      <c r="S166" s="36">
        <v>20</v>
      </c>
      <c r="T166" s="161" t="s">
        <v>92</v>
      </c>
      <c r="U166" s="50" t="s">
        <v>106</v>
      </c>
      <c r="V166" s="36" t="s">
        <v>63</v>
      </c>
      <c r="W166" s="36">
        <v>3</v>
      </c>
      <c r="X166" s="53" t="s">
        <v>64</v>
      </c>
      <c r="Y166" s="36">
        <v>1</v>
      </c>
      <c r="Z166" s="204"/>
      <c r="AA166" s="51"/>
      <c r="AB166" s="51"/>
    </row>
    <row r="167" spans="1:32" s="21" customFormat="1" ht="12" customHeight="1">
      <c r="A167" s="6" t="s">
        <v>55</v>
      </c>
      <c r="B167" s="49">
        <v>81.822999999999993</v>
      </c>
      <c r="C167" s="49" t="s">
        <v>61</v>
      </c>
      <c r="D167" s="346" t="s">
        <v>281</v>
      </c>
      <c r="E167" s="214" t="s">
        <v>397</v>
      </c>
      <c r="F167" s="51"/>
      <c r="G167" s="51"/>
      <c r="H167" s="51"/>
      <c r="I167" s="51"/>
      <c r="J167" s="161">
        <f t="shared" si="21"/>
        <v>10</v>
      </c>
      <c r="K167" s="36">
        <v>4</v>
      </c>
      <c r="L167" s="159">
        <v>34</v>
      </c>
      <c r="M167" s="160">
        <v>202</v>
      </c>
      <c r="N167" s="36">
        <v>10</v>
      </c>
      <c r="O167" s="159">
        <v>4</v>
      </c>
      <c r="P167" s="159">
        <v>4</v>
      </c>
      <c r="Q167" s="51" t="str">
        <f>CONCATENATE(D167,", 1.UEFS, FR ",IF(OR(T167="W",T167="S"),"Lindau","München"))</f>
        <v>WVZ208.1_A2, 1.UEFS, FR Lindau</v>
      </c>
      <c r="R167" s="37"/>
      <c r="S167" s="36">
        <v>20</v>
      </c>
      <c r="T167" s="161" t="s">
        <v>92</v>
      </c>
      <c r="U167" s="50" t="s">
        <v>106</v>
      </c>
      <c r="V167" s="36" t="s">
        <v>63</v>
      </c>
      <c r="W167" s="36">
        <v>3</v>
      </c>
      <c r="X167" s="53" t="s">
        <v>64</v>
      </c>
      <c r="Y167" s="36">
        <v>1</v>
      </c>
      <c r="Z167" s="204"/>
      <c r="AA167" s="51"/>
      <c r="AB167" s="51"/>
    </row>
    <row r="168" spans="1:32" s="25" customFormat="1">
      <c r="A168" s="59"/>
      <c r="B168" s="179"/>
      <c r="C168" s="169"/>
      <c r="D168" s="234"/>
      <c r="E168" s="234"/>
      <c r="F168" s="169"/>
      <c r="G168" s="169"/>
      <c r="H168" s="169"/>
      <c r="I168" s="180"/>
      <c r="J168" s="181"/>
      <c r="K168" s="181"/>
      <c r="L168" s="181"/>
      <c r="M168" s="181"/>
      <c r="N168" s="181"/>
      <c r="O168" s="181"/>
      <c r="P168" s="181"/>
      <c r="Q168" s="181"/>
      <c r="R168" s="165"/>
      <c r="S168" s="182"/>
      <c r="T168" s="183"/>
      <c r="U168" s="46"/>
      <c r="V168" s="46"/>
      <c r="W168" s="43"/>
      <c r="X168" s="46"/>
      <c r="Y168" s="181"/>
      <c r="Z168" s="181"/>
      <c r="AA168" s="181"/>
      <c r="AB168" s="181"/>
    </row>
    <row r="169" spans="1:32">
      <c r="B169" s="184"/>
      <c r="C169" s="160"/>
      <c r="D169" s="235"/>
      <c r="E169" s="235"/>
      <c r="F169" s="42"/>
      <c r="G169" s="42"/>
      <c r="H169" s="42"/>
      <c r="I169" s="185"/>
      <c r="J169" s="185"/>
      <c r="K169" s="185"/>
      <c r="L169" s="185"/>
      <c r="M169" s="185"/>
      <c r="N169" s="185"/>
      <c r="O169" s="185"/>
      <c r="P169" s="185"/>
      <c r="Q169" s="48"/>
      <c r="R169" s="47"/>
      <c r="S169" s="160"/>
      <c r="T169" s="160"/>
      <c r="U169" s="48"/>
      <c r="Z169" s="48"/>
      <c r="AA169" s="48"/>
      <c r="AB169" s="48"/>
    </row>
    <row r="170" spans="1:32">
      <c r="B170" s="184"/>
      <c r="C170" s="160"/>
      <c r="D170" s="235"/>
      <c r="E170" s="235"/>
      <c r="F170" s="42"/>
      <c r="G170" s="42"/>
      <c r="H170" s="42"/>
      <c r="I170" s="185"/>
      <c r="J170" s="185"/>
      <c r="K170" s="185"/>
      <c r="L170" s="185"/>
      <c r="M170" s="185"/>
      <c r="N170" s="185"/>
      <c r="O170" s="185"/>
      <c r="P170" s="185"/>
      <c r="Q170" s="48"/>
      <c r="R170" s="47"/>
      <c r="S170" s="160"/>
      <c r="T170" s="160"/>
      <c r="U170" s="48"/>
      <c r="Z170" s="48"/>
      <c r="AA170" s="48"/>
      <c r="AB170" s="48"/>
    </row>
    <row r="171" spans="1:32">
      <c r="B171" s="184"/>
      <c r="C171" s="160"/>
      <c r="D171" s="235"/>
      <c r="E171" s="235"/>
      <c r="F171" s="42"/>
      <c r="G171" s="42"/>
      <c r="H171" s="42"/>
      <c r="I171" s="185"/>
      <c r="J171" s="185"/>
      <c r="K171" s="185"/>
      <c r="L171" s="185"/>
      <c r="M171" s="185"/>
      <c r="N171" s="185"/>
      <c r="O171" s="185"/>
      <c r="P171" s="185"/>
      <c r="Q171" s="48"/>
      <c r="R171" s="47"/>
      <c r="S171" s="160"/>
      <c r="T171" s="160"/>
      <c r="U171" s="48"/>
      <c r="Z171" s="48"/>
      <c r="AA171" s="48"/>
      <c r="AB171" s="48"/>
    </row>
    <row r="172" spans="1:32">
      <c r="B172" s="184"/>
      <c r="C172" s="160"/>
      <c r="D172" s="235"/>
      <c r="E172" s="235"/>
      <c r="F172" s="42"/>
      <c r="G172" s="42"/>
      <c r="H172" s="42"/>
      <c r="I172" s="185"/>
      <c r="J172" s="185"/>
      <c r="K172" s="185"/>
      <c r="L172" s="185"/>
      <c r="M172" s="185"/>
      <c r="N172" s="185"/>
      <c r="O172" s="185"/>
      <c r="P172" s="185"/>
      <c r="Q172" s="48"/>
      <c r="R172" s="47"/>
      <c r="S172" s="160"/>
      <c r="T172" s="160"/>
      <c r="U172" s="48"/>
      <c r="Z172" s="48"/>
      <c r="AA172" s="48"/>
      <c r="AB172" s="48"/>
    </row>
    <row r="173" spans="1:32">
      <c r="B173" s="184"/>
      <c r="C173" s="160"/>
      <c r="D173" s="235"/>
      <c r="E173" s="235"/>
      <c r="F173" s="42"/>
      <c r="G173" s="42"/>
      <c r="H173" s="42"/>
      <c r="I173" s="185"/>
      <c r="J173" s="185"/>
      <c r="K173" s="185"/>
      <c r="L173" s="185"/>
      <c r="M173" s="185"/>
      <c r="N173" s="185"/>
      <c r="O173" s="185"/>
      <c r="P173" s="185"/>
      <c r="Q173" s="48"/>
      <c r="R173" s="47"/>
      <c r="S173" s="160"/>
      <c r="T173" s="160"/>
      <c r="U173" s="48"/>
      <c r="Z173" s="48"/>
      <c r="AA173" s="48"/>
      <c r="AB173" s="48"/>
    </row>
    <row r="174" spans="1:32">
      <c r="B174" s="184"/>
      <c r="C174" s="160"/>
      <c r="D174" s="235"/>
      <c r="E174" s="235"/>
      <c r="F174" s="42"/>
      <c r="G174" s="42"/>
      <c r="H174" s="42"/>
      <c r="I174" s="185"/>
      <c r="J174" s="185"/>
      <c r="K174" s="185"/>
      <c r="L174" s="185"/>
      <c r="M174" s="185"/>
      <c r="N174" s="185"/>
      <c r="O174" s="185"/>
      <c r="P174" s="185"/>
      <c r="Q174" s="48"/>
      <c r="R174" s="47"/>
      <c r="S174" s="160"/>
      <c r="T174" s="160"/>
      <c r="U174" s="48"/>
      <c r="Z174" s="48"/>
      <c r="AA174" s="48"/>
      <c r="AB174" s="48"/>
    </row>
    <row r="175" spans="1:32">
      <c r="B175" s="184"/>
      <c r="C175" s="160"/>
      <c r="D175" s="235"/>
      <c r="E175" s="235"/>
      <c r="F175" s="42"/>
      <c r="G175" s="42"/>
      <c r="H175" s="42"/>
      <c r="I175" s="185"/>
      <c r="J175" s="185"/>
      <c r="K175" s="185"/>
      <c r="L175" s="185"/>
      <c r="M175" s="185"/>
      <c r="N175" s="185"/>
      <c r="O175" s="185"/>
      <c r="P175" s="185"/>
      <c r="Q175" s="48"/>
      <c r="R175" s="47"/>
      <c r="S175" s="160"/>
      <c r="T175" s="160"/>
      <c r="U175" s="48"/>
      <c r="Z175" s="48"/>
      <c r="AA175" s="48"/>
      <c r="AB175" s="48"/>
    </row>
    <row r="176" spans="1:32">
      <c r="B176" s="184"/>
      <c r="C176" s="160"/>
      <c r="D176" s="235"/>
      <c r="E176" s="235"/>
      <c r="F176" s="42"/>
      <c r="G176" s="42"/>
      <c r="H176" s="42"/>
      <c r="I176" s="185"/>
      <c r="J176" s="185"/>
      <c r="K176" s="185"/>
      <c r="L176" s="185"/>
      <c r="M176" s="185"/>
      <c r="N176" s="185"/>
      <c r="O176" s="185"/>
      <c r="P176" s="185"/>
      <c r="Q176" s="48"/>
      <c r="R176" s="47"/>
      <c r="S176" s="160"/>
      <c r="T176" s="160"/>
      <c r="U176" s="48"/>
      <c r="Z176" s="48"/>
      <c r="AA176" s="48"/>
      <c r="AB176" s="48"/>
    </row>
    <row r="177" spans="2:28">
      <c r="B177" s="184"/>
      <c r="C177" s="160"/>
      <c r="D177" s="235"/>
      <c r="E177" s="235"/>
      <c r="F177" s="42"/>
      <c r="G177" s="42"/>
      <c r="H177" s="42"/>
      <c r="I177" s="185"/>
      <c r="J177" s="185"/>
      <c r="K177" s="185"/>
      <c r="L177" s="185"/>
      <c r="M177" s="185"/>
      <c r="N177" s="185"/>
      <c r="O177" s="185"/>
      <c r="P177" s="185"/>
      <c r="Q177" s="48"/>
      <c r="R177" s="47"/>
      <c r="S177" s="160"/>
      <c r="T177" s="160"/>
      <c r="U177" s="48"/>
      <c r="Z177" s="48"/>
      <c r="AA177" s="48"/>
      <c r="AB177" s="48"/>
    </row>
    <row r="178" spans="2:28">
      <c r="B178" s="184"/>
      <c r="C178" s="160"/>
      <c r="D178" s="235"/>
      <c r="E178" s="235"/>
      <c r="F178" s="42"/>
      <c r="G178" s="42"/>
      <c r="H178" s="42"/>
      <c r="I178" s="185"/>
      <c r="J178" s="185"/>
      <c r="K178" s="185"/>
      <c r="L178" s="185"/>
      <c r="M178" s="185"/>
      <c r="N178" s="185"/>
      <c r="O178" s="185"/>
      <c r="P178" s="185"/>
      <c r="Q178" s="48"/>
      <c r="R178" s="47"/>
      <c r="S178" s="160"/>
      <c r="T178" s="160"/>
      <c r="U178" s="48"/>
      <c r="Z178" s="48"/>
      <c r="AA178" s="48"/>
      <c r="AB178" s="48"/>
    </row>
    <row r="179" spans="2:28">
      <c r="B179" s="184"/>
      <c r="C179" s="160"/>
      <c r="D179" s="235"/>
      <c r="E179" s="235"/>
      <c r="F179" s="42"/>
      <c r="G179" s="42"/>
      <c r="H179" s="42"/>
      <c r="I179" s="185"/>
      <c r="J179" s="185"/>
      <c r="K179" s="185"/>
      <c r="L179" s="185"/>
      <c r="M179" s="185"/>
      <c r="N179" s="185"/>
      <c r="O179" s="185"/>
      <c r="P179" s="185"/>
      <c r="Q179" s="48"/>
      <c r="R179" s="47"/>
      <c r="S179" s="160"/>
      <c r="T179" s="160"/>
      <c r="U179" s="48"/>
      <c r="Z179" s="48"/>
      <c r="AA179" s="48"/>
      <c r="AB179" s="48"/>
    </row>
    <row r="180" spans="2:28">
      <c r="B180" s="184"/>
      <c r="C180" s="160"/>
      <c r="D180" s="235"/>
      <c r="E180" s="235"/>
      <c r="F180" s="42"/>
      <c r="G180" s="42"/>
      <c r="H180" s="42"/>
      <c r="I180" s="185"/>
      <c r="J180" s="185"/>
      <c r="K180" s="185"/>
      <c r="L180" s="185"/>
      <c r="M180" s="185"/>
      <c r="N180" s="185"/>
      <c r="O180" s="185"/>
      <c r="P180" s="185"/>
      <c r="Q180" s="48"/>
      <c r="R180" s="47"/>
      <c r="S180" s="160"/>
      <c r="T180" s="160"/>
      <c r="U180" s="48"/>
      <c r="Z180" s="48"/>
      <c r="AA180" s="48"/>
      <c r="AB180" s="48"/>
    </row>
    <row r="181" spans="2:28">
      <c r="B181" s="184"/>
      <c r="C181" s="160"/>
      <c r="D181" s="235"/>
      <c r="E181" s="235"/>
      <c r="F181" s="42"/>
      <c r="G181" s="42"/>
      <c r="H181" s="42"/>
      <c r="I181" s="185"/>
      <c r="J181" s="185"/>
      <c r="K181" s="185"/>
      <c r="L181" s="185"/>
      <c r="M181" s="185"/>
      <c r="N181" s="185"/>
      <c r="O181" s="185"/>
      <c r="P181" s="185"/>
      <c r="Q181" s="48"/>
      <c r="R181" s="47"/>
      <c r="S181" s="160"/>
      <c r="T181" s="160"/>
      <c r="U181" s="48"/>
      <c r="Z181" s="48"/>
      <c r="AA181" s="48"/>
      <c r="AB181" s="48"/>
    </row>
    <row r="182" spans="2:28">
      <c r="B182" s="184"/>
      <c r="C182" s="160"/>
      <c r="D182" s="235"/>
      <c r="E182" s="235"/>
      <c r="F182" s="42"/>
      <c r="G182" s="42"/>
      <c r="H182" s="42"/>
      <c r="I182" s="185"/>
      <c r="J182" s="185"/>
      <c r="K182" s="185"/>
      <c r="L182" s="185"/>
      <c r="M182" s="185"/>
      <c r="N182" s="185"/>
      <c r="O182" s="185"/>
      <c r="P182" s="185"/>
      <c r="Q182" s="48"/>
      <c r="R182" s="47"/>
      <c r="S182" s="160"/>
      <c r="T182" s="160"/>
      <c r="U182" s="48"/>
      <c r="Z182" s="48"/>
      <c r="AA182" s="48"/>
      <c r="AB182" s="48"/>
    </row>
    <row r="183" spans="2:28">
      <c r="B183" s="184"/>
      <c r="C183" s="160"/>
      <c r="D183" s="235"/>
      <c r="E183" s="235"/>
      <c r="F183" s="42"/>
      <c r="G183" s="42"/>
      <c r="H183" s="42"/>
      <c r="I183" s="185"/>
      <c r="J183" s="185"/>
      <c r="K183" s="185"/>
      <c r="L183" s="185"/>
      <c r="M183" s="185"/>
      <c r="N183" s="185"/>
      <c r="O183" s="185"/>
      <c r="P183" s="185"/>
      <c r="Q183" s="48"/>
      <c r="R183" s="47"/>
      <c r="S183" s="160"/>
      <c r="T183" s="160"/>
      <c r="U183" s="48"/>
      <c r="Z183" s="48"/>
      <c r="AA183" s="48"/>
      <c r="AB183" s="48"/>
    </row>
    <row r="184" spans="2:28">
      <c r="B184" s="184"/>
      <c r="C184" s="160"/>
      <c r="D184" s="235"/>
      <c r="E184" s="235"/>
      <c r="F184" s="42"/>
      <c r="G184" s="42"/>
      <c r="H184" s="42"/>
      <c r="I184" s="185"/>
      <c r="J184" s="185"/>
      <c r="K184" s="185"/>
      <c r="L184" s="185"/>
      <c r="M184" s="185"/>
      <c r="N184" s="185"/>
      <c r="O184" s="185"/>
      <c r="P184" s="185"/>
      <c r="Q184" s="48"/>
      <c r="R184" s="47"/>
      <c r="S184" s="160"/>
      <c r="T184" s="160"/>
      <c r="U184" s="48"/>
      <c r="Z184" s="48"/>
      <c r="AA184" s="48"/>
      <c r="AB184" s="48"/>
    </row>
    <row r="185" spans="2:28">
      <c r="B185" s="184"/>
      <c r="C185" s="160"/>
      <c r="D185" s="235"/>
      <c r="E185" s="235"/>
      <c r="F185" s="42"/>
      <c r="G185" s="42"/>
      <c r="H185" s="42"/>
      <c r="I185" s="185"/>
      <c r="J185" s="185"/>
      <c r="K185" s="185"/>
      <c r="L185" s="185"/>
      <c r="M185" s="185"/>
      <c r="N185" s="185"/>
      <c r="O185" s="185"/>
      <c r="P185" s="185"/>
      <c r="Q185" s="48"/>
      <c r="R185" s="47"/>
      <c r="S185" s="160"/>
      <c r="T185" s="160"/>
      <c r="U185" s="48"/>
      <c r="Z185" s="48"/>
      <c r="AA185" s="48"/>
      <c r="AB185" s="48"/>
    </row>
    <row r="186" spans="2:28">
      <c r="B186" s="184"/>
      <c r="C186" s="160"/>
      <c r="D186" s="235"/>
      <c r="E186" s="235"/>
      <c r="F186" s="42"/>
      <c r="G186" s="42"/>
      <c r="H186" s="42"/>
      <c r="I186" s="185"/>
      <c r="J186" s="185"/>
      <c r="K186" s="185"/>
      <c r="L186" s="185"/>
      <c r="M186" s="185"/>
      <c r="N186" s="185"/>
      <c r="O186" s="185"/>
      <c r="P186" s="185"/>
      <c r="Q186" s="48"/>
      <c r="R186" s="47"/>
      <c r="S186" s="160"/>
      <c r="T186" s="160"/>
      <c r="U186" s="48"/>
      <c r="Z186" s="48"/>
      <c r="AA186" s="48"/>
      <c r="AB186" s="48"/>
    </row>
    <row r="187" spans="2:28">
      <c r="B187" s="184"/>
      <c r="C187" s="160"/>
      <c r="D187" s="235"/>
      <c r="E187" s="235"/>
      <c r="F187" s="42"/>
      <c r="G187" s="42"/>
      <c r="H187" s="42"/>
      <c r="I187" s="185"/>
      <c r="J187" s="185"/>
      <c r="K187" s="185"/>
      <c r="L187" s="185"/>
      <c r="M187" s="185"/>
      <c r="N187" s="185"/>
      <c r="O187" s="185"/>
      <c r="P187" s="185"/>
      <c r="Q187" s="48"/>
      <c r="R187" s="47"/>
      <c r="S187" s="160"/>
      <c r="T187" s="160"/>
      <c r="U187" s="48"/>
      <c r="Z187" s="48"/>
      <c r="AA187" s="48"/>
      <c r="AB187" s="48"/>
    </row>
  </sheetData>
  <autoFilter ref="A4:U168">
    <filterColumn colId="0" showButton="0"/>
    <filterColumn colId="12" showButton="0"/>
    <filterColumn colId="14" showButton="0"/>
  </autoFilter>
  <mergeCells count="13">
    <mergeCell ref="A1:Y1"/>
    <mergeCell ref="A2:Y2"/>
    <mergeCell ref="A4:B4"/>
    <mergeCell ref="R4:R5"/>
    <mergeCell ref="M4:N4"/>
    <mergeCell ref="O4:P4"/>
    <mergeCell ref="U4:U5"/>
    <mergeCell ref="V4:V5"/>
    <mergeCell ref="W4:W5"/>
    <mergeCell ref="Y4:Y5"/>
    <mergeCell ref="I3:L3"/>
    <mergeCell ref="M3:P3"/>
    <mergeCell ref="A3:B3"/>
  </mergeCells>
  <phoneticPr fontId="0" type="noConversion"/>
  <printOptions gridLines="1"/>
  <pageMargins left="0.82677165354330717" right="0.55118110236220474" top="0.74803149606299213" bottom="0.51181102362204722" header="0.43307086614173229" footer="0.19685039370078741"/>
  <pageSetup paperSize="9" scale="49" fitToHeight="3" orientation="landscape" horizontalDpi="1200" verticalDpi="1200" r:id="rId1"/>
  <headerFooter alignWithMargins="0">
    <oddHeader>&amp;LKonfigurationstabelle&amp;C
&amp;R&amp;A</oddHeader>
    <oddFooter>&amp;LQSG Verkehrstechnik GmbH  
M. Schamasow, D. Thamer&amp;C&amp;F
&amp;R&amp;P/&amp;N</oddFooter>
  </headerFooter>
  <rowBreaks count="2" manualBreakCount="2">
    <brk id="54" max="24" man="1"/>
    <brk id="116" max="2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5">
    <pageSetUpPr fitToPage="1"/>
  </sheetPr>
  <dimension ref="A1:W49"/>
  <sheetViews>
    <sheetView zoomScale="130" zoomScaleNormal="130" workbookViewId="0">
      <selection activeCell="C8" sqref="C8"/>
    </sheetView>
  </sheetViews>
  <sheetFormatPr baseColWidth="10" defaultColWidth="8.85546875" defaultRowHeight="12.75"/>
  <cols>
    <col min="1" max="1" width="12.85546875" style="28" customWidth="1"/>
    <col min="2" max="2" width="9.7109375" style="28" customWidth="1"/>
    <col min="3" max="3" width="10.85546875" style="118" customWidth="1"/>
    <col min="4" max="4" width="7" style="29" customWidth="1"/>
    <col min="5" max="5" width="2.7109375" style="30" customWidth="1"/>
    <col min="6" max="6" width="10" style="30" customWidth="1"/>
    <col min="7" max="7" width="9.7109375" style="30" customWidth="1"/>
    <col min="8" max="8" width="10.28515625" style="30" customWidth="1"/>
    <col min="9" max="9" width="7.28515625" customWidth="1"/>
    <col min="10" max="10" width="45" customWidth="1"/>
    <col min="11" max="256" width="11.42578125" customWidth="1"/>
  </cols>
  <sheetData>
    <row r="1" spans="1:22" ht="23.25" customHeight="1" thickBot="1">
      <c r="A1" s="34" t="s">
        <v>31</v>
      </c>
      <c r="B1" s="34"/>
      <c r="C1" s="35" t="s">
        <v>136</v>
      </c>
      <c r="D1" s="35" t="s">
        <v>22</v>
      </c>
      <c r="E1" s="332" t="s">
        <v>34</v>
      </c>
      <c r="F1" s="333"/>
      <c r="G1" s="333"/>
      <c r="H1" s="333"/>
    </row>
    <row r="2" spans="1:22" ht="12.75" customHeight="1" thickTop="1"/>
    <row r="3" spans="1:22" ht="12.75" customHeight="1">
      <c r="A3" s="31"/>
      <c r="B3" s="31"/>
    </row>
    <row r="4" spans="1:22" ht="12.75" customHeight="1">
      <c r="A4" s="31" t="s">
        <v>137</v>
      </c>
      <c r="B4" s="56"/>
      <c r="C4" s="119" t="s">
        <v>138</v>
      </c>
      <c r="D4" s="33">
        <v>3</v>
      </c>
      <c r="F4" s="30">
        <v>26</v>
      </c>
      <c r="G4" s="30">
        <v>24</v>
      </c>
      <c r="H4" s="30">
        <v>22</v>
      </c>
    </row>
    <row r="5" spans="1:22" ht="12.75" customHeight="1">
      <c r="A5" s="31"/>
      <c r="B5" s="56"/>
      <c r="C5" s="119" t="s">
        <v>106</v>
      </c>
      <c r="D5" s="33">
        <v>3</v>
      </c>
      <c r="E5" s="32"/>
      <c r="F5" s="30">
        <v>26</v>
      </c>
      <c r="G5" s="30">
        <v>24</v>
      </c>
      <c r="H5" s="186">
        <v>22</v>
      </c>
    </row>
    <row r="6" spans="1:22" ht="12.75" customHeight="1">
      <c r="A6" s="31"/>
      <c r="B6" s="56"/>
      <c r="C6" s="119" t="s">
        <v>76</v>
      </c>
      <c r="D6" s="33">
        <v>2</v>
      </c>
      <c r="E6" s="32"/>
      <c r="F6" s="30">
        <v>26</v>
      </c>
      <c r="G6" s="30">
        <v>24</v>
      </c>
    </row>
    <row r="7" spans="1:22" ht="12.75" customHeight="1">
      <c r="A7" s="31" t="s">
        <v>139</v>
      </c>
      <c r="B7" s="56"/>
      <c r="C7" s="119" t="s">
        <v>110</v>
      </c>
      <c r="D7" s="33">
        <v>1</v>
      </c>
      <c r="E7" s="32"/>
      <c r="F7" s="30">
        <v>12</v>
      </c>
    </row>
    <row r="8" spans="1:22" ht="12.75" customHeight="1">
      <c r="A8" s="31"/>
      <c r="B8" s="56"/>
      <c r="C8" s="119" t="s">
        <v>140</v>
      </c>
      <c r="D8" s="33">
        <v>3</v>
      </c>
      <c r="E8" s="32"/>
      <c r="F8" s="30">
        <v>8</v>
      </c>
      <c r="G8" s="30">
        <v>9</v>
      </c>
      <c r="H8" s="30">
        <v>39</v>
      </c>
    </row>
    <row r="9" spans="1:22" ht="12.75" customHeight="1">
      <c r="A9" s="31" t="s">
        <v>141</v>
      </c>
      <c r="B9" s="56"/>
      <c r="C9" s="119" t="s">
        <v>111</v>
      </c>
      <c r="D9" s="33">
        <v>1</v>
      </c>
      <c r="F9" s="30">
        <v>99</v>
      </c>
    </row>
    <row r="10" spans="1:22" ht="12.75" customHeight="1">
      <c r="A10" s="31"/>
      <c r="B10" s="56"/>
      <c r="C10" s="119" t="s">
        <v>142</v>
      </c>
      <c r="D10" s="33">
        <v>3</v>
      </c>
      <c r="E10" s="32"/>
      <c r="F10" s="30">
        <v>62</v>
      </c>
      <c r="G10" s="30">
        <v>201</v>
      </c>
      <c r="H10" s="30">
        <v>99</v>
      </c>
    </row>
    <row r="11" spans="1:22" ht="12.75" customHeight="1">
      <c r="A11" s="31"/>
      <c r="B11" s="56"/>
    </row>
    <row r="12" spans="1:22" ht="12.75" customHeight="1">
      <c r="A12" s="31"/>
      <c r="B12" s="31"/>
      <c r="D12" s="33"/>
      <c r="E12" s="32"/>
      <c r="F12" s="40"/>
      <c r="G12" s="40"/>
    </row>
    <row r="13" spans="1:22" ht="12.75" customHeight="1" thickBot="1"/>
    <row r="14" spans="1:22" ht="12.75" customHeight="1" thickTop="1">
      <c r="A14" s="334"/>
      <c r="B14" s="334"/>
      <c r="C14" s="334"/>
      <c r="D14" s="334"/>
      <c r="E14" s="334"/>
      <c r="F14" s="334"/>
      <c r="G14" s="334"/>
      <c r="H14" s="334"/>
    </row>
    <row r="15" spans="1:22" s="4" customFormat="1">
      <c r="A15" s="28"/>
      <c r="B15" s="28"/>
      <c r="C15" s="118"/>
      <c r="D15" s="29"/>
      <c r="E15" s="30"/>
      <c r="F15" s="30"/>
      <c r="G15" s="30"/>
      <c r="H15" s="30"/>
      <c r="I15"/>
      <c r="J15"/>
      <c r="K15"/>
      <c r="L15" s="12"/>
      <c r="M15" s="12"/>
      <c r="N15" s="12"/>
    </row>
    <row r="16" spans="1:22" s="4" customFormat="1" ht="25.5" customHeight="1" thickBot="1">
      <c r="A16" s="104" t="s">
        <v>31</v>
      </c>
      <c r="B16" s="104" t="s">
        <v>143</v>
      </c>
      <c r="C16" s="104" t="s">
        <v>144</v>
      </c>
      <c r="D16" s="335" t="s">
        <v>136</v>
      </c>
      <c r="E16" s="336"/>
      <c r="F16" s="336"/>
      <c r="G16" s="336"/>
      <c r="H16" s="336"/>
      <c r="I16" s="104" t="s">
        <v>145</v>
      </c>
      <c r="J16" s="105"/>
      <c r="R16"/>
      <c r="S16" s="106"/>
      <c r="T16"/>
      <c r="U16"/>
      <c r="V16" s="107"/>
    </row>
    <row r="17" spans="1:23" ht="14.25" thickTop="1" thickBot="1">
      <c r="A17" s="115"/>
      <c r="B17" s="41"/>
      <c r="C17" s="120"/>
      <c r="D17" s="2"/>
      <c r="E17" s="2"/>
      <c r="F17" s="2"/>
      <c r="G17" s="2"/>
      <c r="H17" s="2"/>
      <c r="I17" s="116"/>
    </row>
    <row r="18" spans="1:23" s="4" customFormat="1" ht="30.95" customHeight="1" thickTop="1">
      <c r="A18" s="154"/>
      <c r="B18" s="155" t="s">
        <v>146</v>
      </c>
      <c r="C18" s="156" t="s">
        <v>147</v>
      </c>
      <c r="D18" s="337" t="s">
        <v>148</v>
      </c>
      <c r="E18" s="330"/>
      <c r="F18" s="330"/>
      <c r="G18" s="330"/>
      <c r="H18" s="330"/>
      <c r="I18" s="147"/>
      <c r="O18"/>
      <c r="R18"/>
      <c r="T18"/>
      <c r="U18"/>
      <c r="V18"/>
      <c r="W18"/>
    </row>
    <row r="19" spans="1:23" s="4" customFormat="1" ht="30.95" customHeight="1">
      <c r="A19" s="148"/>
      <c r="B19" s="64" t="s">
        <v>149</v>
      </c>
      <c r="C19" s="121" t="s">
        <v>150</v>
      </c>
      <c r="D19" s="338" t="s">
        <v>151</v>
      </c>
      <c r="E19" s="329"/>
      <c r="F19" s="329"/>
      <c r="G19" s="329"/>
      <c r="H19" s="329"/>
      <c r="I19" s="149"/>
      <c r="O19"/>
      <c r="R19"/>
      <c r="S19" s="106"/>
      <c r="T19" s="107"/>
      <c r="U19" s="107"/>
      <c r="V19"/>
      <c r="W19"/>
    </row>
    <row r="20" spans="1:23" s="4" customFormat="1" ht="30.95" customHeight="1">
      <c r="A20" s="148"/>
      <c r="B20" s="64" t="s">
        <v>152</v>
      </c>
      <c r="C20" s="122" t="s">
        <v>153</v>
      </c>
      <c r="D20" s="338" t="s">
        <v>154</v>
      </c>
      <c r="E20" s="329"/>
      <c r="F20" s="329"/>
      <c r="G20" s="329"/>
      <c r="H20" s="329"/>
      <c r="I20" s="157"/>
      <c r="O20"/>
      <c r="R20"/>
      <c r="S20" s="106"/>
      <c r="T20"/>
      <c r="U20"/>
      <c r="V20" s="56"/>
      <c r="W20"/>
    </row>
    <row r="21" spans="1:23" s="4" customFormat="1" ht="30.95" customHeight="1" thickBot="1">
      <c r="A21" s="151"/>
      <c r="B21" s="152"/>
      <c r="C21" s="143" t="s">
        <v>155</v>
      </c>
      <c r="D21" s="339" t="s">
        <v>156</v>
      </c>
      <c r="E21" s="331"/>
      <c r="F21" s="331"/>
      <c r="G21" s="331"/>
      <c r="H21" s="331"/>
      <c r="I21" s="153"/>
      <c r="O21"/>
      <c r="R21"/>
      <c r="S21" s="106"/>
      <c r="T21"/>
      <c r="U21"/>
      <c r="V21" s="56"/>
      <c r="W21"/>
    </row>
    <row r="22" spans="1:23" ht="6.75" customHeight="1" thickTop="1" thickBot="1">
      <c r="C22" s="105"/>
      <c r="D22" s="326"/>
      <c r="E22" s="326"/>
      <c r="F22" s="326"/>
      <c r="G22" s="326"/>
      <c r="H22" s="326"/>
    </row>
    <row r="23" spans="1:23" s="4" customFormat="1" ht="20.25" customHeight="1" thickTop="1">
      <c r="A23" s="144" t="s">
        <v>157</v>
      </c>
      <c r="B23" s="145"/>
      <c r="C23" s="146"/>
      <c r="D23" s="328"/>
      <c r="E23" s="330"/>
      <c r="F23" s="330"/>
      <c r="G23" s="330"/>
      <c r="H23" s="330"/>
      <c r="I23" s="147"/>
      <c r="S23"/>
      <c r="T23" s="109"/>
      <c r="U23" s="107"/>
      <c r="V23"/>
      <c r="W23"/>
    </row>
    <row r="24" spans="1:23" s="4" customFormat="1" ht="30.95" customHeight="1">
      <c r="A24" s="148"/>
      <c r="B24" s="108" t="s">
        <v>158</v>
      </c>
      <c r="C24" s="121" t="s">
        <v>159</v>
      </c>
      <c r="D24" s="326" t="s">
        <v>160</v>
      </c>
      <c r="E24" s="329"/>
      <c r="F24" s="329"/>
      <c r="G24" s="329"/>
      <c r="H24" s="329"/>
      <c r="I24" s="149"/>
      <c r="S24"/>
      <c r="T24" s="109"/>
      <c r="U24" s="107"/>
      <c r="V24"/>
      <c r="W24"/>
    </row>
    <row r="25" spans="1:23" s="4" customFormat="1" ht="30.95" customHeight="1">
      <c r="A25" s="148"/>
      <c r="B25" s="108" t="s">
        <v>161</v>
      </c>
      <c r="C25" s="121" t="s">
        <v>162</v>
      </c>
      <c r="D25" s="326" t="s">
        <v>163</v>
      </c>
      <c r="E25" s="329"/>
      <c r="F25" s="329"/>
      <c r="G25" s="329"/>
      <c r="H25" s="329"/>
      <c r="I25" s="149"/>
      <c r="S25"/>
      <c r="T25" s="106"/>
      <c r="U25"/>
      <c r="V25"/>
      <c r="W25"/>
    </row>
    <row r="26" spans="1:23" s="4" customFormat="1" ht="30.95" customHeight="1">
      <c r="A26" s="148"/>
      <c r="B26" t="s">
        <v>164</v>
      </c>
      <c r="C26" s="121" t="s">
        <v>165</v>
      </c>
      <c r="D26" s="326" t="s">
        <v>166</v>
      </c>
      <c r="E26" s="329"/>
      <c r="F26" s="329"/>
      <c r="G26" s="329"/>
      <c r="H26" s="329"/>
      <c r="I26" s="149"/>
      <c r="S26"/>
      <c r="T26" s="106"/>
      <c r="U26"/>
      <c r="V26"/>
      <c r="W26"/>
    </row>
    <row r="27" spans="1:23" s="4" customFormat="1" ht="30.95" customHeight="1">
      <c r="A27" s="148"/>
      <c r="B27" s="64" t="s">
        <v>167</v>
      </c>
      <c r="C27" s="121" t="s">
        <v>168</v>
      </c>
      <c r="D27" s="326" t="s">
        <v>169</v>
      </c>
      <c r="E27" s="329"/>
      <c r="F27" s="329"/>
      <c r="G27" s="329"/>
      <c r="H27" s="329"/>
      <c r="I27" s="150"/>
      <c r="O27"/>
      <c r="S27"/>
      <c r="T27" s="106"/>
      <c r="U27" s="107"/>
      <c r="V27"/>
      <c r="W27"/>
    </row>
    <row r="28" spans="1:23" s="4" customFormat="1" ht="28.5" customHeight="1" thickBot="1">
      <c r="A28" s="151"/>
      <c r="B28" s="152"/>
      <c r="C28" s="143" t="s">
        <v>170</v>
      </c>
      <c r="D28" s="327" t="s">
        <v>156</v>
      </c>
      <c r="E28" s="331"/>
      <c r="F28" s="331"/>
      <c r="G28" s="331"/>
      <c r="H28" s="331"/>
      <c r="I28" s="153"/>
      <c r="J28"/>
      <c r="O28"/>
      <c r="R28"/>
      <c r="S28" s="106"/>
      <c r="T28"/>
      <c r="U28"/>
      <c r="V28" s="56"/>
      <c r="W28"/>
    </row>
    <row r="29" spans="1:23" ht="6.75" customHeight="1" thickTop="1" thickBot="1">
      <c r="C29" s="105"/>
      <c r="D29" s="326"/>
      <c r="E29" s="326"/>
      <c r="F29" s="326"/>
      <c r="G29" s="326"/>
      <c r="H29" s="326"/>
    </row>
    <row r="30" spans="1:23" s="4" customFormat="1" ht="20.25" customHeight="1" thickTop="1">
      <c r="A30" s="144" t="s">
        <v>171</v>
      </c>
      <c r="B30" s="145"/>
      <c r="C30" s="146"/>
      <c r="D30" s="328"/>
      <c r="E30" s="330"/>
      <c r="F30" s="330"/>
      <c r="G30" s="330"/>
      <c r="H30" s="330"/>
      <c r="I30" s="147"/>
      <c r="S30"/>
      <c r="T30" s="109"/>
      <c r="U30" s="107"/>
      <c r="V30"/>
      <c r="W30"/>
    </row>
    <row r="31" spans="1:23" s="4" customFormat="1" ht="16.5" customHeight="1">
      <c r="A31" s="148"/>
      <c r="B31" s="108"/>
      <c r="C31" s="121" t="s">
        <v>172</v>
      </c>
      <c r="D31" s="326" t="s">
        <v>173</v>
      </c>
      <c r="E31" s="329"/>
      <c r="F31" s="329"/>
      <c r="G31" s="329"/>
      <c r="H31" s="329"/>
      <c r="I31" s="149"/>
      <c r="S31"/>
      <c r="T31" s="109"/>
      <c r="U31" s="107"/>
      <c r="V31"/>
      <c r="W31"/>
    </row>
    <row r="32" spans="1:23" s="4" customFormat="1" ht="16.5" customHeight="1">
      <c r="A32" s="148"/>
      <c r="B32" s="108"/>
      <c r="C32" s="121" t="s">
        <v>174</v>
      </c>
      <c r="D32" s="326" t="s">
        <v>175</v>
      </c>
      <c r="E32" s="329"/>
      <c r="F32" s="329"/>
      <c r="G32" s="329"/>
      <c r="H32" s="329"/>
      <c r="I32" s="149"/>
      <c r="S32"/>
      <c r="T32" s="106"/>
      <c r="U32"/>
      <c r="V32"/>
      <c r="W32"/>
    </row>
    <row r="33" spans="1:23" s="4" customFormat="1" ht="18.75" customHeight="1">
      <c r="A33" s="148"/>
      <c r="B33"/>
      <c r="C33" s="121" t="s">
        <v>176</v>
      </c>
      <c r="D33" s="326" t="s">
        <v>177</v>
      </c>
      <c r="E33" s="329"/>
      <c r="F33" s="329"/>
      <c r="G33" s="329"/>
      <c r="H33" s="329"/>
      <c r="I33" s="149"/>
      <c r="S33"/>
      <c r="T33" s="106"/>
      <c r="U33"/>
      <c r="V33"/>
      <c r="W33"/>
    </row>
    <row r="34" spans="1:23" ht="6.75" customHeight="1" thickBot="1">
      <c r="C34" s="105"/>
      <c r="D34" s="326"/>
      <c r="E34" s="326"/>
      <c r="F34" s="326"/>
      <c r="G34" s="326"/>
      <c r="H34" s="326"/>
    </row>
    <row r="35" spans="1:23" ht="17.25" customHeight="1" thickTop="1">
      <c r="A35" s="142" t="s">
        <v>178</v>
      </c>
      <c r="B35" s="136"/>
      <c r="C35" s="127"/>
      <c r="D35" s="328"/>
      <c r="E35" s="328"/>
      <c r="F35" s="328"/>
      <c r="G35" s="328"/>
      <c r="H35" s="328"/>
      <c r="I35" s="128"/>
    </row>
    <row r="36" spans="1:23" ht="27" customHeight="1">
      <c r="A36" s="138"/>
      <c r="C36" s="122" t="s">
        <v>179</v>
      </c>
      <c r="D36" s="326" t="s">
        <v>180</v>
      </c>
      <c r="E36" s="326"/>
      <c r="F36" s="326"/>
      <c r="G36" s="326"/>
      <c r="H36" s="326"/>
      <c r="I36" s="130"/>
    </row>
    <row r="37" spans="1:23" ht="27" customHeight="1">
      <c r="A37" s="138"/>
      <c r="C37" s="122" t="s">
        <v>181</v>
      </c>
      <c r="D37" s="326" t="s">
        <v>182</v>
      </c>
      <c r="E37" s="326"/>
      <c r="F37" s="326"/>
      <c r="G37" s="326"/>
      <c r="H37" s="326"/>
      <c r="I37" s="130"/>
    </row>
    <row r="38" spans="1:23" ht="29.25" customHeight="1">
      <c r="A38" s="138"/>
      <c r="C38" s="122" t="s">
        <v>183</v>
      </c>
      <c r="D38" s="326" t="s">
        <v>184</v>
      </c>
      <c r="E38" s="326"/>
      <c r="F38" s="326"/>
      <c r="G38" s="326"/>
      <c r="H38" s="326"/>
      <c r="I38" s="130"/>
    </row>
    <row r="39" spans="1:23" ht="27" customHeight="1" thickBot="1">
      <c r="A39" s="139"/>
      <c r="B39" s="140"/>
      <c r="C39" s="143" t="s">
        <v>185</v>
      </c>
      <c r="D39" s="327" t="s">
        <v>186</v>
      </c>
      <c r="E39" s="327"/>
      <c r="F39" s="327"/>
      <c r="G39" s="327"/>
      <c r="H39" s="327"/>
      <c r="I39" s="134"/>
    </row>
    <row r="40" spans="1:23" ht="11.25" customHeight="1" thickTop="1" thickBot="1">
      <c r="C40" s="122"/>
      <c r="D40" s="326"/>
      <c r="E40" s="326"/>
      <c r="F40" s="326"/>
      <c r="G40" s="326"/>
      <c r="H40" s="326"/>
    </row>
    <row r="41" spans="1:23" ht="18" customHeight="1" thickTop="1">
      <c r="A41" s="135" t="s">
        <v>187</v>
      </c>
      <c r="B41" s="136"/>
      <c r="C41" s="137"/>
      <c r="D41" s="328"/>
      <c r="E41" s="328"/>
      <c r="F41" s="328"/>
      <c r="G41" s="328"/>
      <c r="H41" s="328"/>
      <c r="I41" s="128"/>
    </row>
    <row r="42" spans="1:23" ht="18.75" customHeight="1">
      <c r="A42" s="138"/>
      <c r="C42" s="123" t="s">
        <v>188</v>
      </c>
      <c r="D42" s="326" t="s">
        <v>182</v>
      </c>
      <c r="E42" s="326"/>
      <c r="F42" s="326"/>
      <c r="G42" s="326"/>
      <c r="H42" s="326"/>
      <c r="I42" s="130"/>
    </row>
    <row r="43" spans="1:23" ht="16.5" customHeight="1" thickBot="1">
      <c r="A43" s="139"/>
      <c r="B43" s="140"/>
      <c r="C43" s="141" t="s">
        <v>189</v>
      </c>
      <c r="D43" s="327" t="s">
        <v>186</v>
      </c>
      <c r="E43" s="327"/>
      <c r="F43" s="327"/>
      <c r="G43" s="327"/>
      <c r="H43" s="327"/>
      <c r="I43" s="134"/>
    </row>
    <row r="44" spans="1:23" ht="6.75" customHeight="1" thickTop="1" thickBot="1">
      <c r="C44" s="105"/>
      <c r="D44" s="326"/>
      <c r="E44" s="326"/>
      <c r="F44" s="326"/>
      <c r="G44" s="326"/>
      <c r="H44" s="326"/>
    </row>
    <row r="45" spans="1:23" ht="18" customHeight="1" thickTop="1">
      <c r="A45" s="125" t="s">
        <v>190</v>
      </c>
      <c r="B45" s="126"/>
      <c r="C45" s="127"/>
      <c r="D45" s="328"/>
      <c r="E45" s="328"/>
      <c r="F45" s="328"/>
      <c r="G45" s="328"/>
      <c r="H45" s="328"/>
      <c r="I45" s="128"/>
    </row>
    <row r="46" spans="1:23" ht="26.25" customHeight="1">
      <c r="A46" s="129"/>
      <c r="B46" s="111"/>
      <c r="C46" s="124" t="s">
        <v>191</v>
      </c>
      <c r="D46" s="326" t="s">
        <v>192</v>
      </c>
      <c r="E46" s="326"/>
      <c r="F46" s="326"/>
      <c r="G46" s="326"/>
      <c r="H46" s="326"/>
      <c r="I46" s="130"/>
    </row>
    <row r="47" spans="1:23" ht="24" customHeight="1">
      <c r="A47" s="129"/>
      <c r="B47" s="111"/>
      <c r="C47" s="124" t="s">
        <v>176</v>
      </c>
      <c r="D47" s="326" t="s">
        <v>193</v>
      </c>
      <c r="E47" s="326"/>
      <c r="F47" s="326"/>
      <c r="G47" s="326"/>
      <c r="H47" s="326"/>
      <c r="I47" s="130"/>
    </row>
    <row r="48" spans="1:23" ht="24" customHeight="1" thickBot="1">
      <c r="A48" s="131"/>
      <c r="B48" s="132"/>
      <c r="C48" s="133" t="s">
        <v>194</v>
      </c>
      <c r="D48" s="327" t="s">
        <v>195</v>
      </c>
      <c r="E48" s="327"/>
      <c r="F48" s="327"/>
      <c r="G48" s="327"/>
      <c r="H48" s="327"/>
      <c r="I48" s="134"/>
    </row>
    <row r="49" spans="2:6" ht="13.5" thickTop="1">
      <c r="B49" s="114"/>
      <c r="F49" s="113"/>
    </row>
  </sheetData>
  <mergeCells count="34">
    <mergeCell ref="D41:H41"/>
    <mergeCell ref="D42:H42"/>
    <mergeCell ref="E1:H1"/>
    <mergeCell ref="A14:H14"/>
    <mergeCell ref="D16:H16"/>
    <mergeCell ref="D18:H18"/>
    <mergeCell ref="D31:H31"/>
    <mergeCell ref="D19:H19"/>
    <mergeCell ref="D20:H20"/>
    <mergeCell ref="D21:H21"/>
    <mergeCell ref="D23:H23"/>
    <mergeCell ref="D40:H40"/>
    <mergeCell ref="D36:H36"/>
    <mergeCell ref="D37:H37"/>
    <mergeCell ref="D22:H22"/>
    <mergeCell ref="D35:H35"/>
    <mergeCell ref="D32:H32"/>
    <mergeCell ref="D33:H33"/>
    <mergeCell ref="D38:H38"/>
    <mergeCell ref="D39:H39"/>
    <mergeCell ref="D34:H34"/>
    <mergeCell ref="D24:H24"/>
    <mergeCell ref="D25:H25"/>
    <mergeCell ref="D26:H26"/>
    <mergeCell ref="D29:H29"/>
    <mergeCell ref="D30:H30"/>
    <mergeCell ref="D28:H28"/>
    <mergeCell ref="D27:H27"/>
    <mergeCell ref="D47:H47"/>
    <mergeCell ref="D48:H48"/>
    <mergeCell ref="D45:H45"/>
    <mergeCell ref="D44:H44"/>
    <mergeCell ref="D43:H43"/>
    <mergeCell ref="D46:H46"/>
  </mergeCells>
  <phoneticPr fontId="0" type="noConversion"/>
  <printOptions gridLines="1"/>
  <pageMargins left="0.78740157499999996" right="0.78740157499999996" top="0.984251969" bottom="0.984251969" header="0.4921259845" footer="0.4921259845"/>
  <pageSetup paperSize="9" scale="78" orientation="portrait" r:id="rId1"/>
  <headerFooter alignWithMargins="0">
    <oddHeader>&amp;LVRZ Konfigurationstabelle&amp;C&amp;F&amp;R&amp;D</oddHeader>
    <oddFooter>&amp;LQSGmbH - Verkehrstechnik
M. Schamasow&amp;C&amp;A&amp;R&amp;P/&amp;N</oddFooter>
  </headerFooter>
  <drawing r:id="rId2"/>
  <legacyDrawing r:id="rId3"/>
  <oleObjects>
    <mc:AlternateContent xmlns:mc="http://schemas.openxmlformats.org/markup-compatibility/2006">
      <mc:Choice Requires="x14">
        <oleObject progId="Visio.Drawing.11" shapeId="9243" r:id="rId4">
          <objectPr defaultSize="0" autoPict="0" r:id="rId5">
            <anchor moveWithCells="1" sizeWithCells="1">
              <from>
                <xdr:col>8</xdr:col>
                <xdr:colOff>76200</xdr:colOff>
                <xdr:row>23</xdr:row>
                <xdr:rowOff>47625</xdr:rowOff>
              </from>
              <to>
                <xdr:col>8</xdr:col>
                <xdr:colOff>419100</xdr:colOff>
                <xdr:row>23</xdr:row>
                <xdr:rowOff>381000</xdr:rowOff>
              </to>
            </anchor>
          </objectPr>
        </oleObject>
      </mc:Choice>
      <mc:Fallback>
        <oleObject progId="Visio.Drawing.11" shapeId="9243" r:id="rId4"/>
      </mc:Fallback>
    </mc:AlternateContent>
    <mc:AlternateContent xmlns:mc="http://schemas.openxmlformats.org/markup-compatibility/2006">
      <mc:Choice Requires="x14">
        <oleObject progId="Visio.Drawing.11" shapeId="9246" r:id="rId6">
          <objectPr defaultSize="0" autoPict="0" r:id="rId7">
            <anchor moveWithCells="1" sizeWithCells="1">
              <from>
                <xdr:col>8</xdr:col>
                <xdr:colOff>85725</xdr:colOff>
                <xdr:row>24</xdr:row>
                <xdr:rowOff>47625</xdr:rowOff>
              </from>
              <to>
                <xdr:col>8</xdr:col>
                <xdr:colOff>419100</xdr:colOff>
                <xdr:row>24</xdr:row>
                <xdr:rowOff>381000</xdr:rowOff>
              </to>
            </anchor>
          </objectPr>
        </oleObject>
      </mc:Choice>
      <mc:Fallback>
        <oleObject progId="Visio.Drawing.11" shapeId="9246" r:id="rId6"/>
      </mc:Fallback>
    </mc:AlternateContent>
    <mc:AlternateContent xmlns:mc="http://schemas.openxmlformats.org/markup-compatibility/2006">
      <mc:Choice Requires="x14">
        <oleObject progId="Paint.Picture" shapeId="9252" r:id="rId8">
          <objectPr defaultSize="0" autoPict="0" r:id="rId9">
            <anchor moveWithCells="1">
              <from>
                <xdr:col>8</xdr:col>
                <xdr:colOff>104775</xdr:colOff>
                <xdr:row>25</xdr:row>
                <xdr:rowOff>66675</xdr:rowOff>
              </from>
              <to>
                <xdr:col>8</xdr:col>
                <xdr:colOff>409575</xdr:colOff>
                <xdr:row>25</xdr:row>
                <xdr:rowOff>371475</xdr:rowOff>
              </to>
            </anchor>
          </objectPr>
        </oleObject>
      </mc:Choice>
      <mc:Fallback>
        <oleObject progId="Paint.Picture" shapeId="9252" r:id="rId8"/>
      </mc:Fallback>
    </mc:AlternateContent>
    <mc:AlternateContent xmlns:mc="http://schemas.openxmlformats.org/markup-compatibility/2006">
      <mc:Choice Requires="x14">
        <oleObject progId="MSPhotoEd.3" shapeId="9257" r:id="rId10">
          <objectPr defaultSize="0" autoPict="0" r:id="rId11">
            <anchor moveWithCells="1">
              <from>
                <xdr:col>8</xdr:col>
                <xdr:colOff>152400</xdr:colOff>
                <xdr:row>35</xdr:row>
                <xdr:rowOff>38100</xdr:rowOff>
              </from>
              <to>
                <xdr:col>8</xdr:col>
                <xdr:colOff>323850</xdr:colOff>
                <xdr:row>35</xdr:row>
                <xdr:rowOff>314325</xdr:rowOff>
              </to>
            </anchor>
          </objectPr>
        </oleObject>
      </mc:Choice>
      <mc:Fallback>
        <oleObject progId="MSPhotoEd.3" shapeId="9257" r:id="rId10"/>
      </mc:Fallback>
    </mc:AlternateContent>
    <mc:AlternateContent xmlns:mc="http://schemas.openxmlformats.org/markup-compatibility/2006">
      <mc:Choice Requires="x14">
        <oleObject progId="MSPhotoEd.3" shapeId="9258" r:id="rId12">
          <objectPr defaultSize="0" autoPict="0" r:id="rId13">
            <anchor moveWithCells="1">
              <from>
                <xdr:col>8</xdr:col>
                <xdr:colOff>152400</xdr:colOff>
                <xdr:row>37</xdr:row>
                <xdr:rowOff>38100</xdr:rowOff>
              </from>
              <to>
                <xdr:col>8</xdr:col>
                <xdr:colOff>323850</xdr:colOff>
                <xdr:row>37</xdr:row>
                <xdr:rowOff>333375</xdr:rowOff>
              </to>
            </anchor>
          </objectPr>
        </oleObject>
      </mc:Choice>
      <mc:Fallback>
        <oleObject progId="MSPhotoEd.3" shapeId="9258" r:id="rId12"/>
      </mc:Fallback>
    </mc:AlternateContent>
    <mc:AlternateContent xmlns:mc="http://schemas.openxmlformats.org/markup-compatibility/2006">
      <mc:Choice Requires="x14">
        <oleObject progId="MSPhotoEd.3" shapeId="9260" r:id="rId14">
          <objectPr defaultSize="0" autoPict="0" r:id="rId15">
            <anchor moveWithCells="1">
              <from>
                <xdr:col>8</xdr:col>
                <xdr:colOff>152400</xdr:colOff>
                <xdr:row>38</xdr:row>
                <xdr:rowOff>38100</xdr:rowOff>
              </from>
              <to>
                <xdr:col>8</xdr:col>
                <xdr:colOff>323850</xdr:colOff>
                <xdr:row>38</xdr:row>
                <xdr:rowOff>314325</xdr:rowOff>
              </to>
            </anchor>
          </objectPr>
        </oleObject>
      </mc:Choice>
      <mc:Fallback>
        <oleObject progId="MSPhotoEd.3" shapeId="9260" r:id="rId14"/>
      </mc:Fallback>
    </mc:AlternateContent>
    <mc:AlternateContent xmlns:mc="http://schemas.openxmlformats.org/markup-compatibility/2006">
      <mc:Choice Requires="x14">
        <oleObject progId="MSPhotoEd.3" shapeId="9263" r:id="rId16">
          <objectPr defaultSize="0" autoPict="0" r:id="rId11">
            <anchor moveWithCells="1">
              <from>
                <xdr:col>8</xdr:col>
                <xdr:colOff>152400</xdr:colOff>
                <xdr:row>36</xdr:row>
                <xdr:rowOff>38100</xdr:rowOff>
              </from>
              <to>
                <xdr:col>8</xdr:col>
                <xdr:colOff>323850</xdr:colOff>
                <xdr:row>36</xdr:row>
                <xdr:rowOff>314325</xdr:rowOff>
              </to>
            </anchor>
          </objectPr>
        </oleObject>
      </mc:Choice>
      <mc:Fallback>
        <oleObject progId="MSPhotoEd.3" shapeId="9263" r:id="rId16"/>
      </mc:Fallback>
    </mc:AlternateContent>
    <mc:AlternateContent xmlns:mc="http://schemas.openxmlformats.org/markup-compatibility/2006">
      <mc:Choice Requires="x14">
        <oleObject progId="Visio.Drawing.11" shapeId="9270" r:id="rId17">
          <objectPr defaultSize="0" autoPict="0" r:id="rId18">
            <anchor moveWithCells="1" sizeWithCells="1">
              <from>
                <xdr:col>8</xdr:col>
                <xdr:colOff>76200</xdr:colOff>
                <xdr:row>26</xdr:row>
                <xdr:rowOff>9525</xdr:rowOff>
              </from>
              <to>
                <xdr:col>8</xdr:col>
                <xdr:colOff>419100</xdr:colOff>
                <xdr:row>26</xdr:row>
                <xdr:rowOff>352425</xdr:rowOff>
              </to>
            </anchor>
          </objectPr>
        </oleObject>
      </mc:Choice>
      <mc:Fallback>
        <oleObject progId="Visio.Drawing.11" shapeId="9270" r:id="rId17"/>
      </mc:Fallback>
    </mc:AlternateContent>
  </oleObjec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5BDC306431B34CBF7AC296F72CB9A2" ma:contentTypeVersion="15" ma:contentTypeDescription="Ein neues Dokument erstellen." ma:contentTypeScope="" ma:versionID="718608315f0e2e6d483ae1a1709c9dc9">
  <xsd:schema xmlns:xsd="http://www.w3.org/2001/XMLSchema" xmlns:xs="http://www.w3.org/2001/XMLSchema" xmlns:p="http://schemas.microsoft.com/office/2006/metadata/properties" xmlns:ns2="a4eed0d6-a00f-4166-812c-b73c28918d8b" xmlns:ns3="caacfe8c-ea52-4180-814f-d3fc58b601bb" targetNamespace="http://schemas.microsoft.com/office/2006/metadata/properties" ma:root="true" ma:fieldsID="646bfe7c1c81581bcfa39be93d50f29c" ns2:_="" ns3:_="">
    <xsd:import namespace="a4eed0d6-a00f-4166-812c-b73c28918d8b"/>
    <xsd:import namespace="caacfe8c-ea52-4180-814f-d3fc58b601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Gesehenvon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ed0d6-a00f-4166-812c-b73c28918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81694422-2b07-46da-88d8-5ad29c96ce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Gesehenvon" ma:index="20" ma:displayName="Gesehen von" ma:format="Dropdown" ma:list="UserInfo" ma:SharePointGroup="0" ma:internalName="Gesehenv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cfe8c-ea52-4180-814f-d3fc58b601b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ed0d6-a00f-4166-812c-b73c28918d8b">
      <Terms xmlns="http://schemas.microsoft.com/office/infopath/2007/PartnerControls"/>
    </lcf76f155ced4ddcb4097134ff3c332f>
    <Gesehenvon xmlns="a4eed0d6-a00f-4166-812c-b73c28918d8b">
      <UserInfo>
        <DisplayName/>
        <AccountId/>
        <AccountType/>
      </UserInfo>
    </Gesehenvon>
  </documentManagement>
</p:properties>
</file>

<file path=customXml/itemProps1.xml><?xml version="1.0" encoding="utf-8"?>
<ds:datastoreItem xmlns:ds="http://schemas.openxmlformats.org/officeDocument/2006/customXml" ds:itemID="{0EB02CC4-5B6E-475E-966C-AF6C6604985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A6E4D7C-9979-4092-A4D0-9C9EF57E4D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EAA307-125B-4460-9A6D-395D5981F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ed0d6-a00f-4166-812c-b73c28918d8b"/>
    <ds:schemaRef ds:uri="caacfe8c-ea52-4180-814f-d3fc58b601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1EF0A3F-4FD9-4C72-9C88-0C300A30DFC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4eed0d6-a00f-4166-812c-b73c28918d8b"/>
    <ds:schemaRef ds:uri="http://purl.org/dc/elements/1.1/"/>
    <ds:schemaRef ds:uri="http://schemas.microsoft.com/office/2006/documentManagement/types"/>
    <ds:schemaRef ds:uri="caacfe8c-ea52-4180-814f-d3fc58b601bb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Änderungsübersicht</vt:lpstr>
      <vt:lpstr>Version 1.2, Stand 19.06.2009</vt:lpstr>
      <vt:lpstr>Codedef</vt:lpstr>
      <vt:lpstr>Änderungsübersicht!Druckbereich</vt:lpstr>
      <vt:lpstr>Codedef!Druckbereich</vt:lpstr>
      <vt:lpstr>'Version 1.2, Stand 19.06.2009'!Druckbereich</vt:lpstr>
      <vt:lpstr>'Version 1.2, Stand 19.06.2009'!Drucktitel</vt:lpstr>
    </vt:vector>
  </TitlesOfParts>
  <Manager/>
  <Company>Heusch Boesefeldt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2002-08-26T09:22:54Z</dcterms:created>
  <dc:creator>Horst Lilleike</dc:creator>
  <cp:lastModifiedBy>David Hermanns</cp:lastModifiedBy>
  <dcterms:modified xsi:type="dcterms:W3CDTF">2025-12-15T16:11:50Z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Eisele, Martin (AdB NL Südbayern)</vt:lpwstr>
  </property>
  <property fmtid="{D5CDD505-2E9C-101B-9397-08002B2CF9AE}" pid="3" name="Order">
    <vt:lpwstr>1193800.00000000</vt:lpwstr>
  </property>
  <property fmtid="{D5CDD505-2E9C-101B-9397-08002B2CF9AE}" pid="4" name="display_urn:schemas-microsoft-com:office:office#Author">
    <vt:lpwstr>Eisele, Martin (AdB NL Südbayern)</vt:lpwstr>
  </property>
  <property fmtid="{D5CDD505-2E9C-101B-9397-08002B2CF9AE}" pid="5" name="ContentTypeId">
    <vt:lpwstr>0x010100815BDC306431B34CBF7AC296F72CB9A2</vt:lpwstr>
  </property>
</Properties>
</file>