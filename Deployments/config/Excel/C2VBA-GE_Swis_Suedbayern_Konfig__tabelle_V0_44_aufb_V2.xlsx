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AdB-Nordbayern\C2VBA-DB bayernweites Rollout\Material\Unterlagenverzeichnis\BU\SBy\SWIS\"/>
    </mc:Choice>
  </mc:AlternateContent>
  <xr:revisionPtr revIDLastSave="0" documentId="13_ncr:1_{D462462A-60F3-4ED1-93DE-0EA59852D374}" xr6:coauthVersionLast="36" xr6:coauthVersionMax="36" xr10:uidLastSave="{00000000-0000-0000-0000-000000000000}"/>
  <bookViews>
    <workbookView xWindow="0" yWindow="0" windowWidth="27465" windowHeight="12075" tabRatio="754" xr2:uid="{00000000-000D-0000-FFFF-FFFF00000000}"/>
  </bookViews>
  <sheets>
    <sheet name="KonfTab" sheetId="1" r:id="rId1"/>
    <sheet name="Kohlberg Tunnel" sheetId="8" r:id="rId2"/>
    <sheet name="Änderung + Legende" sheetId="2" r:id="rId3"/>
    <sheet name="Tabelle1" sheetId="3" r:id="rId4"/>
    <sheet name="Tabelle2" sheetId="4" r:id="rId5"/>
    <sheet name="München Nord" sheetId="5" r:id="rId6"/>
    <sheet name="Pentling" sheetId="6" r:id="rId7"/>
    <sheet name="Rosenheim" sheetId="7" r:id="rId8"/>
  </sheets>
  <externalReferences>
    <externalReference r:id="rId9"/>
  </externalReferences>
  <definedNames>
    <definedName name="_xlnm._FilterDatabase" localSheetId="0" hidden="1">KonfTab!$A$1:$BN$1110</definedName>
    <definedName name="_xlnm.Print_Area" localSheetId="0">KonfTab!$AI$1:$BE$1105</definedName>
    <definedName name="_xlnm.Print_Titles" localSheetId="0">KonfTab!$1:$6</definedName>
  </definedNames>
  <calcPr calcId="191029"/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9" i="1"/>
  <c r="H137" i="1" l="1"/>
  <c r="H670" i="1"/>
  <c r="G9" i="1" l="1"/>
  <c r="K476" i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461" i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755" i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739" i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M10" i="1" l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96" i="1"/>
  <c r="N396" i="1"/>
  <c r="M397" i="1"/>
  <c r="N397" i="1"/>
  <c r="M398" i="1"/>
  <c r="N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N413" i="1"/>
  <c r="M414" i="1"/>
  <c r="N414" i="1"/>
  <c r="M415" i="1"/>
  <c r="N415" i="1"/>
  <c r="M416" i="1"/>
  <c r="N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M475" i="1"/>
  <c r="N475" i="1"/>
  <c r="M476" i="1"/>
  <c r="N476" i="1"/>
  <c r="M477" i="1"/>
  <c r="N477" i="1"/>
  <c r="M478" i="1"/>
  <c r="N478" i="1"/>
  <c r="M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N506" i="1"/>
  <c r="N507" i="1"/>
  <c r="N508" i="1"/>
  <c r="N509" i="1"/>
  <c r="N510" i="1"/>
  <c r="N511" i="1"/>
  <c r="N512" i="1"/>
  <c r="N513" i="1"/>
  <c r="M514" i="1"/>
  <c r="N514" i="1"/>
  <c r="M515" i="1"/>
  <c r="N515" i="1"/>
  <c r="M516" i="1"/>
  <c r="N516" i="1"/>
  <c r="M517" i="1"/>
  <c r="N517" i="1"/>
  <c r="M518" i="1"/>
  <c r="N518" i="1"/>
  <c r="N519" i="1"/>
  <c r="N520" i="1"/>
  <c r="M529" i="1"/>
  <c r="M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M610" i="1"/>
  <c r="M611" i="1"/>
  <c r="M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2" i="1"/>
  <c r="M673" i="1"/>
  <c r="M674" i="1"/>
  <c r="M675" i="1"/>
  <c r="M676" i="1"/>
  <c r="M677" i="1"/>
  <c r="M678" i="1"/>
  <c r="M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M838" i="1"/>
  <c r="M839" i="1"/>
  <c r="M840" i="1"/>
  <c r="M841" i="1"/>
  <c r="M842" i="1"/>
  <c r="M843" i="1"/>
  <c r="M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N1093" i="1"/>
  <c r="M1094" i="1"/>
  <c r="N1094" i="1"/>
  <c r="M1095" i="1"/>
  <c r="N1095" i="1"/>
  <c r="M1096" i="1"/>
  <c r="N1096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N9" i="1"/>
  <c r="M9" i="1"/>
  <c r="L22" i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/>
  <c r="L564" i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/>
  <c r="L608" i="1" s="1"/>
  <c r="L609" i="1" s="1"/>
  <c r="L610" i="1" s="1"/>
  <c r="L611" i="1" s="1"/>
  <c r="L612" i="1" s="1"/>
  <c r="L613" i="1" s="1"/>
  <c r="L614" i="1" s="1"/>
  <c r="L615" i="1" s="1"/>
  <c r="L616" i="1" s="1"/>
  <c r="L617" i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9" i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A205" i="1" l="1"/>
  <c r="A198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C59" i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/>
  <c r="C112" i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/>
  <c r="C197" i="1" s="1"/>
  <c r="C211" i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/>
  <c r="C250" i="1"/>
  <c r="C263" i="1"/>
  <c r="C276" i="1"/>
  <c r="C291" i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5" i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7" i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/>
  <c r="C416" i="1" s="1"/>
  <c r="C417" i="1" s="1"/>
  <c r="C432" i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5" i="1"/>
  <c r="C446" i="1" s="1"/>
  <c r="C447" i="1" s="1"/>
  <c r="C448" i="1" s="1"/>
  <c r="C449" i="1" s="1"/>
  <c r="C450" i="1" s="1"/>
  <c r="C451" i="1" s="1"/>
  <c r="C461" i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/>
  <c r="C490" i="1"/>
  <c r="C491" i="1" s="1"/>
  <c r="C492" i="1" s="1"/>
  <c r="C493" i="1" s="1"/>
  <c r="C494" i="1" s="1"/>
  <c r="C495" i="1" s="1"/>
  <c r="C496" i="1" s="1"/>
  <c r="C497" i="1" s="1"/>
  <c r="C498" i="1" s="1"/>
  <c r="C499" i="1" s="1"/>
  <c r="C504" i="1"/>
  <c r="C517" i="1"/>
  <c r="C532" i="1"/>
  <c r="C549" i="1"/>
  <c r="C564" i="1"/>
  <c r="C565" i="1" s="1"/>
  <c r="C566" i="1" s="1"/>
  <c r="C567" i="1" s="1"/>
  <c r="C568" i="1" s="1"/>
  <c r="C569" i="1" s="1"/>
  <c r="C570" i="1" s="1"/>
  <c r="C571" i="1" s="1"/>
  <c r="C577" i="1"/>
  <c r="C589" i="1"/>
  <c r="C590" i="1" s="1"/>
  <c r="C591" i="1" s="1"/>
  <c r="C592" i="1" s="1"/>
  <c r="C593" i="1" s="1"/>
  <c r="C594" i="1" s="1"/>
  <c r="C595" i="1" s="1"/>
  <c r="C607" i="1"/>
  <c r="C608" i="1" s="1"/>
  <c r="C609" i="1" s="1"/>
  <c r="C610" i="1" s="1"/>
  <c r="C611" i="1" s="1"/>
  <c r="C617" i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/>
  <c r="C696" i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5" i="1"/>
  <c r="C756" i="1" s="1"/>
  <c r="C757" i="1" s="1"/>
  <c r="C758" i="1" s="1"/>
  <c r="C759" i="1" s="1"/>
  <c r="C760" i="1" s="1"/>
  <c r="C761" i="1" s="1"/>
  <c r="C762" i="1" s="1"/>
  <c r="C763" i="1" s="1"/>
  <c r="C764" i="1" s="1"/>
  <c r="C770" i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6" i="1"/>
  <c r="C809" i="1"/>
  <c r="C822" i="1"/>
  <c r="C823" i="1" s="1"/>
  <c r="C824" i="1" s="1"/>
  <c r="C825" i="1" s="1"/>
  <c r="C835" i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2" i="1"/>
  <c r="C865" i="1"/>
  <c r="C884" i="1"/>
  <c r="C896" i="1"/>
  <c r="C909" i="1"/>
  <c r="C921" i="1"/>
  <c r="C934" i="1"/>
  <c r="C946" i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/>
  <c r="C978" i="1" s="1"/>
  <c r="C979" i="1" s="1"/>
  <c r="C980" i="1" s="1"/>
  <c r="C981" i="1" s="1"/>
  <c r="C982" i="1" s="1"/>
  <c r="C983" i="1" s="1"/>
  <c r="C984" i="1" s="1"/>
  <c r="C985" i="1" s="1"/>
  <c r="C989" i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3" i="1"/>
  <c r="C1004" i="1" s="1"/>
  <c r="C1005" i="1" s="1"/>
  <c r="C1006" i="1" s="1"/>
  <c r="C1007" i="1" s="1"/>
  <c r="C1008" i="1" s="1"/>
  <c r="C1009" i="1" s="1"/>
  <c r="C1016" i="1"/>
  <c r="C1017" i="1" s="1"/>
  <c r="C1018" i="1" s="1"/>
  <c r="C1019" i="1" s="1"/>
  <c r="C1020" i="1" s="1"/>
  <c r="C1021" i="1" s="1"/>
  <c r="C1022" i="1" s="1"/>
  <c r="C1023" i="1" s="1"/>
  <c r="C1024" i="1" s="1"/>
  <c r="C1025" i="1" s="1"/>
  <c r="C1033" i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/>
  <c r="C1047" i="1" s="1"/>
  <c r="C1048" i="1" s="1"/>
  <c r="C1049" i="1" s="1"/>
  <c r="C1063" i="1"/>
  <c r="C1064" i="1" s="1"/>
  <c r="C1065" i="1" s="1"/>
  <c r="C1076" i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5" i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47" i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P1085" i="1"/>
  <c r="P972" i="1"/>
  <c r="P791" i="1"/>
  <c r="P765" i="1"/>
  <c r="P750" i="1"/>
  <c r="P652" i="1"/>
  <c r="P599" i="1"/>
  <c r="P527" i="1"/>
  <c r="P499" i="1"/>
  <c r="P485" i="1"/>
  <c r="P471" i="1"/>
  <c r="P392" i="1"/>
  <c r="P378" i="1"/>
  <c r="P206" i="1"/>
  <c r="P191" i="1"/>
  <c r="P165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5" i="1"/>
  <c r="P147" i="1"/>
  <c r="P148" i="1"/>
  <c r="P154" i="1"/>
  <c r="P155" i="1"/>
  <c r="P156" i="1"/>
  <c r="P157" i="1"/>
  <c r="P158" i="1"/>
  <c r="P159" i="1"/>
  <c r="P160" i="1"/>
  <c r="P161" i="1"/>
  <c r="P162" i="1"/>
  <c r="P163" i="1"/>
  <c r="P164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6" i="1"/>
  <c r="P267" i="1"/>
  <c r="P268" i="1"/>
  <c r="P271" i="1"/>
  <c r="P275" i="1"/>
  <c r="P276" i="1"/>
  <c r="P277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3" i="1"/>
  <c r="P394" i="1"/>
  <c r="P395" i="1"/>
  <c r="P396" i="1"/>
  <c r="P397" i="1"/>
  <c r="P398" i="1"/>
  <c r="P399" i="1"/>
  <c r="P400" i="1"/>
  <c r="P401" i="1"/>
  <c r="P402" i="1"/>
  <c r="P406" i="1"/>
  <c r="P407" i="1"/>
  <c r="P414" i="1"/>
  <c r="P415" i="1"/>
  <c r="P416" i="1"/>
  <c r="P417" i="1"/>
  <c r="P418" i="1"/>
  <c r="P419" i="1"/>
  <c r="P420" i="1"/>
  <c r="P424" i="1"/>
  <c r="P425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8" i="1"/>
  <c r="P529" i="1"/>
  <c r="P530" i="1"/>
  <c r="P531" i="1"/>
  <c r="P532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9" i="1"/>
  <c r="P700" i="1"/>
  <c r="P702" i="1"/>
  <c r="P705" i="1"/>
  <c r="P706" i="1"/>
  <c r="P708" i="1"/>
  <c r="P709" i="1"/>
  <c r="P710" i="1"/>
  <c r="P712" i="1"/>
  <c r="P713" i="1"/>
  <c r="P715" i="1"/>
  <c r="P718" i="1"/>
  <c r="P720" i="1"/>
  <c r="P721" i="1"/>
  <c r="P722" i="1"/>
  <c r="P724" i="1"/>
  <c r="P725" i="1"/>
  <c r="P727" i="1"/>
  <c r="P730" i="1"/>
  <c r="P733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8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9" i="1"/>
  <c r="P1050" i="1"/>
  <c r="P1051" i="1"/>
  <c r="P1055" i="1"/>
  <c r="P1056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9" i="1"/>
  <c r="P1080" i="1"/>
  <c r="P1081" i="1"/>
  <c r="P1084" i="1"/>
  <c r="P1086" i="1"/>
  <c r="P1087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0" i="1"/>
  <c r="G47" i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H47" i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G59" i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H59" i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G71" i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H71" i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G86" i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H86" i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G100" i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H100" i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G112" i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H112" i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G124" i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H124" i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G136" i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H136" i="1"/>
  <c r="H138" i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G155" i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H155" i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G170" i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H170" i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G182" i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H182" i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G196" i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H196" i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G211" i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H211" i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G224" i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H224" i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G239" i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H239" i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G250" i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H250" i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G263" i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H263" i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G276" i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H276" i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G291" i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H291" i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G304" i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H304" i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G317" i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H317" i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G330" i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H330" i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G343" i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H343" i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G356" i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H356" i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G369" i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H369" i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G383" i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H383" i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G397" i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H397" i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G415" i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H415" i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G432" i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H432" i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G445" i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H445" i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G461" i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H461" i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G476" i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H476" i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G490" i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H490" i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G504" i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H504" i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G517" i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H517" i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G532" i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H532" i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G549" i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H549" i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G564" i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H564" i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G577" i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H577" i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G589" i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H589" i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G607" i="1"/>
  <c r="G608" i="1" s="1"/>
  <c r="G609" i="1" s="1"/>
  <c r="G610" i="1" s="1"/>
  <c r="G611" i="1" s="1"/>
  <c r="G612" i="1" s="1"/>
  <c r="G613" i="1" s="1"/>
  <c r="G614" i="1" s="1"/>
  <c r="G615" i="1" s="1"/>
  <c r="G616" i="1" s="1"/>
  <c r="H607" i="1"/>
  <c r="H608" i="1" s="1"/>
  <c r="H609" i="1" s="1"/>
  <c r="H610" i="1" s="1"/>
  <c r="H611" i="1" s="1"/>
  <c r="H612" i="1" s="1"/>
  <c r="H613" i="1" s="1"/>
  <c r="H614" i="1" s="1"/>
  <c r="H615" i="1" s="1"/>
  <c r="H616" i="1" s="1"/>
  <c r="G617" i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H617" i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G629" i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H629" i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G642" i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H642" i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G657" i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H657" i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G669" i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H669" i="1"/>
  <c r="H671" i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G682" i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H682" i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G696" i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H696" i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G709" i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H709" i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G721" i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H721" i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G739" i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H739" i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G755" i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H755" i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G770" i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H770" i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G782" i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H782" i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G796" i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H796" i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G809" i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H809" i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G822" i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H822" i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G835" i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H835" i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G852" i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H852" i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G865" i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H865" i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G884" i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H884" i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G896" i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H896" i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G909" i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H909" i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G921" i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H921" i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G934" i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H934" i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G946" i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H946" i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G961" i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H961" i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G977" i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H977" i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G989" i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H989" i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G1003" i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H1003" i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G1016" i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H1016" i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G1033" i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H1033" i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G1046" i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H1046" i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G1063" i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H1063" i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G1076" i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H1076" i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G1095" i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H1095" i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G22" i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H22" i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G35" i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H35" i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P9" i="1"/>
  <c r="A59" i="1"/>
  <c r="A71" i="1"/>
  <c r="A86" i="1"/>
  <c r="A98" i="1"/>
  <c r="E98" i="1" s="1"/>
  <c r="A101" i="1"/>
  <c r="A112" i="1"/>
  <c r="A124" i="1"/>
  <c r="A136" i="1"/>
  <c r="A155" i="1"/>
  <c r="A170" i="1"/>
  <c r="A182" i="1"/>
  <c r="A196" i="1"/>
  <c r="A211" i="1"/>
  <c r="A224" i="1"/>
  <c r="A237" i="1"/>
  <c r="A240" i="1"/>
  <c r="A251" i="1"/>
  <c r="A264" i="1"/>
  <c r="A277" i="1"/>
  <c r="A289" i="1"/>
  <c r="A291" i="1"/>
  <c r="A304" i="1"/>
  <c r="A317" i="1"/>
  <c r="A330" i="1"/>
  <c r="A343" i="1"/>
  <c r="A356" i="1"/>
  <c r="A369" i="1"/>
  <c r="A383" i="1"/>
  <c r="A397" i="1"/>
  <c r="A415" i="1"/>
  <c r="E415" i="1" s="1"/>
  <c r="A432" i="1"/>
  <c r="A445" i="1"/>
  <c r="A459" i="1"/>
  <c r="A461" i="1"/>
  <c r="A490" i="1"/>
  <c r="A562" i="1"/>
  <c r="A564" i="1"/>
  <c r="A578" i="1"/>
  <c r="A589" i="1"/>
  <c r="A605" i="1"/>
  <c r="A607" i="1"/>
  <c r="A617" i="1"/>
  <c r="A629" i="1"/>
  <c r="A642" i="1"/>
  <c r="A657" i="1"/>
  <c r="A669" i="1"/>
  <c r="A696" i="1"/>
  <c r="A709" i="1"/>
  <c r="A721" i="1"/>
  <c r="A737" i="1"/>
  <c r="E737" i="1" s="1"/>
  <c r="A739" i="1"/>
  <c r="A755" i="1"/>
  <c r="A770" i="1"/>
  <c r="A782" i="1"/>
  <c r="A810" i="1"/>
  <c r="A822" i="1"/>
  <c r="A835" i="1"/>
  <c r="A946" i="1"/>
  <c r="A959" i="1"/>
  <c r="E959" i="1" s="1"/>
  <c r="A961" i="1"/>
  <c r="A977" i="1"/>
  <c r="A989" i="1"/>
  <c r="A1003" i="1"/>
  <c r="A1016" i="1"/>
  <c r="A1033" i="1"/>
  <c r="A1046" i="1"/>
  <c r="A1063" i="1"/>
  <c r="A1076" i="1"/>
  <c r="A1095" i="1"/>
  <c r="A22" i="1"/>
  <c r="A35" i="1"/>
  <c r="A47" i="1"/>
  <c r="A9" i="1"/>
  <c r="C22" i="1"/>
  <c r="C23" i="1" s="1"/>
  <c r="C35" i="1"/>
  <c r="C36" i="1" s="1"/>
  <c r="C9" i="1"/>
  <c r="C10" i="1" s="1"/>
  <c r="C11" i="1" s="1"/>
  <c r="C12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G10" i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E237" i="1" l="1"/>
  <c r="A36" i="1"/>
  <c r="A1064" i="1"/>
  <c r="A1004" i="1"/>
  <c r="A1005" i="1" s="1"/>
  <c r="A960" i="1"/>
  <c r="E960" i="1" s="1"/>
  <c r="A370" i="1"/>
  <c r="A318" i="1"/>
  <c r="A319" i="1" s="1"/>
  <c r="A278" i="1"/>
  <c r="A238" i="1"/>
  <c r="E238" i="1" s="1"/>
  <c r="A183" i="1"/>
  <c r="A125" i="1"/>
  <c r="A87" i="1"/>
  <c r="C910" i="1"/>
  <c r="C853" i="1"/>
  <c r="C854" i="1" s="1"/>
  <c r="C855" i="1" s="1"/>
  <c r="C856" i="1" s="1"/>
  <c r="C857" i="1" s="1"/>
  <c r="C858" i="1" s="1"/>
  <c r="C797" i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505" i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277" i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A990" i="1"/>
  <c r="A618" i="1"/>
  <c r="A619" i="1" s="1"/>
  <c r="A357" i="1"/>
  <c r="A305" i="1"/>
  <c r="A306" i="1" s="1"/>
  <c r="A265" i="1"/>
  <c r="A266" i="1" s="1"/>
  <c r="A225" i="1"/>
  <c r="A226" i="1" s="1"/>
  <c r="A171" i="1"/>
  <c r="A113" i="1"/>
  <c r="A114" i="1" s="1"/>
  <c r="A72" i="1"/>
  <c r="C897" i="1"/>
  <c r="C550" i="1"/>
  <c r="C551" i="1" s="1"/>
  <c r="C552" i="1" s="1"/>
  <c r="C553" i="1" s="1"/>
  <c r="C554" i="1" s="1"/>
  <c r="C555" i="1" s="1"/>
  <c r="C556" i="1" s="1"/>
  <c r="C264" i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101" i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A1034" i="1"/>
  <c r="A722" i="1"/>
  <c r="A723" i="1" s="1"/>
  <c r="A658" i="1"/>
  <c r="A659" i="1" s="1"/>
  <c r="A460" i="1"/>
  <c r="A398" i="1"/>
  <c r="A399" i="1" s="1"/>
  <c r="A344" i="1"/>
  <c r="A292" i="1"/>
  <c r="A293" i="1" s="1"/>
  <c r="A252" i="1"/>
  <c r="A253" i="1" s="1"/>
  <c r="A212" i="1"/>
  <c r="A102" i="1"/>
  <c r="A60" i="1"/>
  <c r="A61" i="1" s="1"/>
  <c r="C935" i="1"/>
  <c r="C885" i="1"/>
  <c r="C533" i="1"/>
  <c r="C534" i="1" s="1"/>
  <c r="C535" i="1" s="1"/>
  <c r="C536" i="1" s="1"/>
  <c r="C537" i="1" s="1"/>
  <c r="C538" i="1" s="1"/>
  <c r="C539" i="1" s="1"/>
  <c r="C540" i="1" s="1"/>
  <c r="C477" i="1"/>
  <c r="C478" i="1" s="1"/>
  <c r="C479" i="1" s="1"/>
  <c r="C480" i="1" s="1"/>
  <c r="C481" i="1" s="1"/>
  <c r="C482" i="1" s="1"/>
  <c r="C483" i="1" s="1"/>
  <c r="C484" i="1" s="1"/>
  <c r="C251" i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198" i="1"/>
  <c r="C199" i="1" s="1"/>
  <c r="C200" i="1" s="1"/>
  <c r="A199" i="1"/>
  <c r="A23" i="1"/>
  <c r="A1047" i="1"/>
  <c r="A947" i="1"/>
  <c r="A10" i="1"/>
  <c r="A11" i="1" s="1"/>
  <c r="A1096" i="1"/>
  <c r="A978" i="1"/>
  <c r="A48" i="1"/>
  <c r="A49" i="1" s="1"/>
  <c r="A1077" i="1"/>
  <c r="A1017" i="1"/>
  <c r="A962" i="1"/>
  <c r="A710" i="1"/>
  <c r="A711" i="1" s="1"/>
  <c r="A606" i="1"/>
  <c r="A563" i="1"/>
  <c r="A384" i="1"/>
  <c r="A331" i="1"/>
  <c r="A290" i="1"/>
  <c r="A137" i="1"/>
  <c r="A99" i="1"/>
  <c r="E99" i="1" s="1"/>
  <c r="C922" i="1"/>
  <c r="C866" i="1"/>
  <c r="C810" i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683" i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578" i="1"/>
  <c r="C579" i="1" s="1"/>
  <c r="C580" i="1" s="1"/>
  <c r="C581" i="1" s="1"/>
  <c r="C582" i="1" s="1"/>
  <c r="C583" i="1" s="1"/>
  <c r="C584" i="1" s="1"/>
  <c r="C585" i="1" s="1"/>
  <c r="C586" i="1" s="1"/>
  <c r="C518" i="1"/>
  <c r="C519" i="1" s="1"/>
  <c r="C520" i="1" s="1"/>
  <c r="C521" i="1" s="1"/>
  <c r="C522" i="1" s="1"/>
  <c r="C523" i="1" s="1"/>
  <c r="C524" i="1" s="1"/>
  <c r="C240" i="1"/>
  <c r="C241" i="1" s="1"/>
  <c r="C242" i="1" s="1"/>
  <c r="C243" i="1" s="1"/>
  <c r="C244" i="1" s="1"/>
  <c r="C245" i="1" s="1"/>
  <c r="C246" i="1" s="1"/>
  <c r="C247" i="1" s="1"/>
  <c r="C248" i="1" s="1"/>
  <c r="C249" i="1" s="1"/>
  <c r="A206" i="1"/>
  <c r="A811" i="1"/>
  <c r="A433" i="1"/>
  <c r="A771" i="1"/>
  <c r="A683" i="1"/>
  <c r="A590" i="1"/>
  <c r="A491" i="1"/>
  <c r="A797" i="1"/>
  <c r="A518" i="1"/>
  <c r="A783" i="1"/>
  <c r="A505" i="1"/>
  <c r="A608" i="1"/>
  <c r="A416" i="1"/>
  <c r="E416" i="1" s="1"/>
  <c r="A756" i="1"/>
  <c r="A477" i="1"/>
  <c r="A740" i="1"/>
  <c r="A565" i="1"/>
  <c r="A533" i="1"/>
  <c r="A697" i="1"/>
  <c r="A579" i="1"/>
  <c r="A836" i="1"/>
  <c r="A738" i="1"/>
  <c r="E738" i="1" s="1"/>
  <c r="A643" i="1"/>
  <c r="A670" i="1"/>
  <c r="A853" i="1"/>
  <c r="A462" i="1"/>
  <c r="A823" i="1"/>
  <c r="A630" i="1"/>
  <c r="A550" i="1"/>
  <c r="A446" i="1"/>
  <c r="C1050" i="1"/>
  <c r="C1106" i="1"/>
  <c r="C986" i="1"/>
  <c r="C572" i="1"/>
  <c r="C1090" i="1"/>
  <c r="C1026" i="1"/>
  <c r="C850" i="1"/>
  <c r="C754" i="1"/>
  <c r="C765" i="1"/>
  <c r="C794" i="1"/>
  <c r="C1010" i="1"/>
  <c r="C826" i="1"/>
  <c r="C1066" i="1"/>
  <c r="C1002" i="1"/>
  <c r="C418" i="1"/>
  <c r="C596" i="1"/>
  <c r="C612" i="1"/>
  <c r="C452" i="1"/>
  <c r="C500" i="1"/>
  <c r="C444" i="1"/>
  <c r="A371" i="1"/>
  <c r="A241" i="1"/>
  <c r="A156" i="1"/>
  <c r="C37" i="1"/>
  <c r="C24" i="1"/>
  <c r="C13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89" i="1"/>
  <c r="D503" i="1"/>
  <c r="D516" i="1"/>
  <c r="D531" i="1"/>
  <c r="D548" i="1"/>
  <c r="D560" i="1"/>
  <c r="D561" i="1"/>
  <c r="D562" i="1"/>
  <c r="D563" i="1"/>
  <c r="D575" i="1"/>
  <c r="D576" i="1"/>
  <c r="D588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54" i="1"/>
  <c r="D769" i="1"/>
  <c r="D781" i="1"/>
  <c r="D795" i="1"/>
  <c r="D808" i="1"/>
  <c r="D821" i="1"/>
  <c r="D834" i="1"/>
  <c r="D851" i="1"/>
  <c r="D864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E290" i="1" l="1"/>
  <c r="E289" i="1"/>
  <c r="A254" i="1"/>
  <c r="A434" i="1"/>
  <c r="A435" i="1" s="1"/>
  <c r="A979" i="1"/>
  <c r="A213" i="1"/>
  <c r="A991" i="1"/>
  <c r="A88" i="1"/>
  <c r="A184" i="1"/>
  <c r="A279" i="1"/>
  <c r="A698" i="1"/>
  <c r="A207" i="1"/>
  <c r="C867" i="1"/>
  <c r="A332" i="1"/>
  <c r="A1018" i="1"/>
  <c r="A1048" i="1"/>
  <c r="C936" i="1"/>
  <c r="A103" i="1"/>
  <c r="A73" i="1"/>
  <c r="A172" i="1"/>
  <c r="A358" i="1"/>
  <c r="A1065" i="1"/>
  <c r="A1097" i="1"/>
  <c r="A345" i="1"/>
  <c r="C911" i="1"/>
  <c r="A126" i="1"/>
  <c r="A506" i="1"/>
  <c r="A507" i="1" s="1"/>
  <c r="A1006" i="1"/>
  <c r="C923" i="1"/>
  <c r="A138" i="1"/>
  <c r="A385" i="1"/>
  <c r="A963" i="1"/>
  <c r="A1078" i="1"/>
  <c r="A948" i="1"/>
  <c r="A24" i="1"/>
  <c r="C201" i="1"/>
  <c r="C886" i="1"/>
  <c r="A1035" i="1"/>
  <c r="C898" i="1"/>
  <c r="A37" i="1"/>
  <c r="I9" i="1"/>
  <c r="E9" i="1" s="1"/>
  <c r="J9" i="1"/>
  <c r="I23" i="1"/>
  <c r="E23" i="1" s="1"/>
  <c r="J23" i="1"/>
  <c r="I1061" i="1"/>
  <c r="J1061" i="1"/>
  <c r="I1029" i="1"/>
  <c r="J1029" i="1"/>
  <c r="I1021" i="1"/>
  <c r="J1021" i="1"/>
  <c r="I997" i="1"/>
  <c r="J997" i="1"/>
  <c r="I973" i="1"/>
  <c r="J973" i="1"/>
  <c r="I965" i="1"/>
  <c r="J965" i="1"/>
  <c r="I949" i="1"/>
  <c r="J949" i="1"/>
  <c r="I941" i="1"/>
  <c r="J941" i="1"/>
  <c r="I340" i="1"/>
  <c r="J340" i="1"/>
  <c r="I332" i="1"/>
  <c r="J332" i="1"/>
  <c r="I187" i="1"/>
  <c r="J187" i="1"/>
  <c r="I18" i="1"/>
  <c r="J18" i="1"/>
  <c r="I1104" i="1"/>
  <c r="J1104" i="1"/>
  <c r="I1077" i="1"/>
  <c r="E1077" i="1" s="1"/>
  <c r="J1077" i="1"/>
  <c r="I1069" i="1"/>
  <c r="J1069" i="1"/>
  <c r="I1064" i="1"/>
  <c r="E1064" i="1" s="1"/>
  <c r="J1064" i="1"/>
  <c r="I1056" i="1"/>
  <c r="J1056" i="1"/>
  <c r="I1048" i="1"/>
  <c r="J1048" i="1"/>
  <c r="I1040" i="1"/>
  <c r="J1040" i="1"/>
  <c r="I1032" i="1"/>
  <c r="J1032" i="1"/>
  <c r="I1024" i="1"/>
  <c r="J1024" i="1"/>
  <c r="I1016" i="1"/>
  <c r="E1016" i="1" s="1"/>
  <c r="J1016" i="1"/>
  <c r="I1008" i="1"/>
  <c r="J1008" i="1"/>
  <c r="I1000" i="1"/>
  <c r="J1000" i="1"/>
  <c r="I992" i="1"/>
  <c r="J992" i="1"/>
  <c r="I984" i="1"/>
  <c r="J984" i="1"/>
  <c r="I976" i="1"/>
  <c r="J976" i="1"/>
  <c r="I968" i="1"/>
  <c r="J968" i="1"/>
  <c r="I960" i="1"/>
  <c r="J960" i="1"/>
  <c r="I952" i="1"/>
  <c r="J952" i="1"/>
  <c r="I944" i="1"/>
  <c r="J944" i="1"/>
  <c r="I936" i="1"/>
  <c r="J936" i="1"/>
  <c r="I928" i="1"/>
  <c r="J928" i="1"/>
  <c r="I920" i="1"/>
  <c r="J920" i="1"/>
  <c r="I912" i="1"/>
  <c r="J912" i="1"/>
  <c r="I904" i="1"/>
  <c r="J904" i="1"/>
  <c r="I896" i="1"/>
  <c r="E896" i="1" s="1"/>
  <c r="J896" i="1"/>
  <c r="I888" i="1"/>
  <c r="J888" i="1"/>
  <c r="I880" i="1"/>
  <c r="J880" i="1"/>
  <c r="I872" i="1"/>
  <c r="J872" i="1"/>
  <c r="I864" i="1"/>
  <c r="J864" i="1"/>
  <c r="I856" i="1"/>
  <c r="J856" i="1"/>
  <c r="I851" i="1"/>
  <c r="J851" i="1"/>
  <c r="I390" i="1"/>
  <c r="J390" i="1"/>
  <c r="I221" i="1"/>
  <c r="J221" i="1"/>
  <c r="I135" i="1"/>
  <c r="J135" i="1"/>
  <c r="I1045" i="1"/>
  <c r="J1045" i="1"/>
  <c r="I989" i="1"/>
  <c r="E989" i="1" s="1"/>
  <c r="J989" i="1"/>
  <c r="I24" i="1"/>
  <c r="J24" i="1"/>
  <c r="I1043" i="1"/>
  <c r="J1043" i="1"/>
  <c r="I1035" i="1"/>
  <c r="J1035" i="1"/>
  <c r="I1027" i="1"/>
  <c r="J1027" i="1"/>
  <c r="I1019" i="1"/>
  <c r="J1019" i="1"/>
  <c r="I1011" i="1"/>
  <c r="J1011" i="1"/>
  <c r="I1003" i="1"/>
  <c r="E1003" i="1" s="1"/>
  <c r="J1003" i="1"/>
  <c r="I995" i="1"/>
  <c r="J995" i="1"/>
  <c r="I987" i="1"/>
  <c r="J987" i="1"/>
  <c r="I979" i="1"/>
  <c r="J979" i="1"/>
  <c r="I971" i="1"/>
  <c r="J971" i="1"/>
  <c r="I963" i="1"/>
  <c r="J963" i="1"/>
  <c r="I955" i="1"/>
  <c r="J955" i="1"/>
  <c r="I947" i="1"/>
  <c r="E947" i="1" s="1"/>
  <c r="J947" i="1"/>
  <c r="I939" i="1"/>
  <c r="J939" i="1"/>
  <c r="I931" i="1"/>
  <c r="J931" i="1"/>
  <c r="I238" i="1"/>
  <c r="J238" i="1"/>
  <c r="I232" i="1"/>
  <c r="J232" i="1"/>
  <c r="I210" i="1"/>
  <c r="J210" i="1"/>
  <c r="I202" i="1"/>
  <c r="J202" i="1"/>
  <c r="I159" i="1"/>
  <c r="J159" i="1"/>
  <c r="I157" i="1"/>
  <c r="J157" i="1"/>
  <c r="I149" i="1"/>
  <c r="J149" i="1"/>
  <c r="I141" i="1"/>
  <c r="J141" i="1"/>
  <c r="I108" i="1"/>
  <c r="J108" i="1"/>
  <c r="I100" i="1"/>
  <c r="E100" i="1" s="1"/>
  <c r="J100" i="1"/>
  <c r="I1096" i="1"/>
  <c r="E1096" i="1" s="1"/>
  <c r="J1096" i="1"/>
  <c r="I981" i="1"/>
  <c r="J981" i="1"/>
  <c r="I957" i="1"/>
  <c r="J957" i="1"/>
  <c r="I925" i="1"/>
  <c r="J925" i="1"/>
  <c r="I917" i="1"/>
  <c r="J917" i="1"/>
  <c r="I909" i="1"/>
  <c r="E909" i="1" s="1"/>
  <c r="J909" i="1"/>
  <c r="I901" i="1"/>
  <c r="J901" i="1"/>
  <c r="I893" i="1"/>
  <c r="J893" i="1"/>
  <c r="I21" i="1"/>
  <c r="J21" i="1"/>
  <c r="I13" i="1"/>
  <c r="J13" i="1"/>
  <c r="I1099" i="1"/>
  <c r="J1099" i="1"/>
  <c r="I1072" i="1"/>
  <c r="J1072" i="1"/>
  <c r="I1059" i="1"/>
  <c r="J1059" i="1"/>
  <c r="I1051" i="1"/>
  <c r="J1051" i="1"/>
  <c r="I16" i="1"/>
  <c r="J16" i="1"/>
  <c r="I1102" i="1"/>
  <c r="J1102" i="1"/>
  <c r="I1097" i="1"/>
  <c r="J1097" i="1"/>
  <c r="I1092" i="1"/>
  <c r="J1092" i="1"/>
  <c r="I1090" i="1"/>
  <c r="J1090" i="1"/>
  <c r="I1088" i="1"/>
  <c r="J1088" i="1"/>
  <c r="I1086" i="1"/>
  <c r="J1086" i="1"/>
  <c r="I1084" i="1"/>
  <c r="J1084" i="1"/>
  <c r="I1082" i="1"/>
  <c r="J1082" i="1"/>
  <c r="I1080" i="1"/>
  <c r="J1080" i="1"/>
  <c r="I1075" i="1"/>
  <c r="J1075" i="1"/>
  <c r="I1067" i="1"/>
  <c r="J1067" i="1"/>
  <c r="I1062" i="1"/>
  <c r="J1062" i="1"/>
  <c r="I1054" i="1"/>
  <c r="J1054" i="1"/>
  <c r="I1046" i="1"/>
  <c r="E1046" i="1" s="1"/>
  <c r="J1046" i="1"/>
  <c r="I1038" i="1"/>
  <c r="J1038" i="1"/>
  <c r="I1030" i="1"/>
  <c r="J1030" i="1"/>
  <c r="I1022" i="1"/>
  <c r="J1022" i="1"/>
  <c r="I1014" i="1"/>
  <c r="J1014" i="1"/>
  <c r="I1006" i="1"/>
  <c r="J1006" i="1"/>
  <c r="I998" i="1"/>
  <c r="J998" i="1"/>
  <c r="I990" i="1"/>
  <c r="E990" i="1" s="1"/>
  <c r="J990" i="1"/>
  <c r="I982" i="1"/>
  <c r="J982" i="1"/>
  <c r="I974" i="1"/>
  <c r="J974" i="1"/>
  <c r="I966" i="1"/>
  <c r="J966" i="1"/>
  <c r="I958" i="1"/>
  <c r="J958" i="1"/>
  <c r="I950" i="1"/>
  <c r="J950" i="1"/>
  <c r="I942" i="1"/>
  <c r="J942" i="1"/>
  <c r="I934" i="1"/>
  <c r="E934" i="1" s="1"/>
  <c r="J934" i="1"/>
  <c r="I926" i="1"/>
  <c r="J926" i="1"/>
  <c r="I918" i="1"/>
  <c r="J918" i="1"/>
  <c r="I910" i="1"/>
  <c r="E910" i="1" s="1"/>
  <c r="J910" i="1"/>
  <c r="I902" i="1"/>
  <c r="J902" i="1"/>
  <c r="I894" i="1"/>
  <c r="J894" i="1"/>
  <c r="I886" i="1"/>
  <c r="J886" i="1"/>
  <c r="I878" i="1"/>
  <c r="J878" i="1"/>
  <c r="I870" i="1"/>
  <c r="J870" i="1"/>
  <c r="I862" i="1"/>
  <c r="J862" i="1"/>
  <c r="I854" i="1"/>
  <c r="J854" i="1"/>
  <c r="I849" i="1"/>
  <c r="J849" i="1"/>
  <c r="I844" i="1"/>
  <c r="J844" i="1"/>
  <c r="I842" i="1"/>
  <c r="J842" i="1"/>
  <c r="I840" i="1"/>
  <c r="J840" i="1"/>
  <c r="I838" i="1"/>
  <c r="J838" i="1"/>
  <c r="I382" i="1"/>
  <c r="J382" i="1"/>
  <c r="I374" i="1"/>
  <c r="J374" i="1"/>
  <c r="I249" i="1"/>
  <c r="J249" i="1"/>
  <c r="I241" i="1"/>
  <c r="E241" i="1" s="1"/>
  <c r="J241" i="1"/>
  <c r="I119" i="1"/>
  <c r="J119" i="1"/>
  <c r="I85" i="1"/>
  <c r="J85" i="1"/>
  <c r="I77" i="1"/>
  <c r="J77" i="1"/>
  <c r="I1074" i="1"/>
  <c r="J1074" i="1"/>
  <c r="I1013" i="1"/>
  <c r="J1013" i="1"/>
  <c r="I1005" i="1"/>
  <c r="E1005" i="1" s="1"/>
  <c r="J1005" i="1"/>
  <c r="I10" i="1"/>
  <c r="E10" i="1" s="1"/>
  <c r="J10" i="1"/>
  <c r="I1094" i="1"/>
  <c r="J1094" i="1"/>
  <c r="I19" i="1"/>
  <c r="J19" i="1"/>
  <c r="I11" i="1"/>
  <c r="E11" i="1" s="1"/>
  <c r="J11" i="1"/>
  <c r="I1105" i="1"/>
  <c r="J1105" i="1"/>
  <c r="I1078" i="1"/>
  <c r="J1078" i="1"/>
  <c r="I1070" i="1"/>
  <c r="J1070" i="1"/>
  <c r="I1065" i="1"/>
  <c r="J1065" i="1"/>
  <c r="I1057" i="1"/>
  <c r="J1057" i="1"/>
  <c r="I1049" i="1"/>
  <c r="J1049" i="1"/>
  <c r="I1041" i="1"/>
  <c r="J1041" i="1"/>
  <c r="I1033" i="1"/>
  <c r="E1033" i="1" s="1"/>
  <c r="J1033" i="1"/>
  <c r="I1025" i="1"/>
  <c r="J1025" i="1"/>
  <c r="I1017" i="1"/>
  <c r="E1017" i="1" s="1"/>
  <c r="J1017" i="1"/>
  <c r="I1009" i="1"/>
  <c r="J1009" i="1"/>
  <c r="I1001" i="1"/>
  <c r="J1001" i="1"/>
  <c r="I993" i="1"/>
  <c r="J993" i="1"/>
  <c r="I985" i="1"/>
  <c r="J985" i="1"/>
  <c r="I977" i="1"/>
  <c r="E977" i="1" s="1"/>
  <c r="J977" i="1"/>
  <c r="I969" i="1"/>
  <c r="J969" i="1"/>
  <c r="I961" i="1"/>
  <c r="E961" i="1" s="1"/>
  <c r="J961" i="1"/>
  <c r="I953" i="1"/>
  <c r="J953" i="1"/>
  <c r="I945" i="1"/>
  <c r="J945" i="1"/>
  <c r="I937" i="1"/>
  <c r="J937" i="1"/>
  <c r="I929" i="1"/>
  <c r="J929" i="1"/>
  <c r="I921" i="1"/>
  <c r="E921" i="1" s="1"/>
  <c r="J921" i="1"/>
  <c r="I355" i="1"/>
  <c r="J355" i="1"/>
  <c r="I304" i="1"/>
  <c r="E304" i="1" s="1"/>
  <c r="J304" i="1"/>
  <c r="I296" i="1"/>
  <c r="J296" i="1"/>
  <c r="I290" i="1"/>
  <c r="J290" i="1"/>
  <c r="I272" i="1"/>
  <c r="J272" i="1"/>
  <c r="I255" i="1"/>
  <c r="J255" i="1"/>
  <c r="I181" i="1"/>
  <c r="J181" i="1"/>
  <c r="I173" i="1"/>
  <c r="J173" i="1"/>
  <c r="I34" i="1"/>
  <c r="J34" i="1"/>
  <c r="I15" i="1"/>
  <c r="J15" i="1"/>
  <c r="I25" i="1"/>
  <c r="J25" i="1"/>
  <c r="I14" i="1"/>
  <c r="J14" i="1"/>
  <c r="I1100" i="1"/>
  <c r="J1100" i="1"/>
  <c r="I1052" i="1"/>
  <c r="J1052" i="1"/>
  <c r="I1036" i="1"/>
  <c r="J1036" i="1"/>
  <c r="I1004" i="1"/>
  <c r="E1004" i="1" s="1"/>
  <c r="J1004" i="1"/>
  <c r="I988" i="1"/>
  <c r="J988" i="1"/>
  <c r="I964" i="1"/>
  <c r="J964" i="1"/>
  <c r="I924" i="1"/>
  <c r="J924" i="1"/>
  <c r="I908" i="1"/>
  <c r="J908" i="1"/>
  <c r="I884" i="1"/>
  <c r="E884" i="1" s="1"/>
  <c r="J884" i="1"/>
  <c r="I868" i="1"/>
  <c r="J868" i="1"/>
  <c r="I847" i="1"/>
  <c r="J847" i="1"/>
  <c r="I831" i="1"/>
  <c r="J831" i="1"/>
  <c r="I818" i="1"/>
  <c r="J818" i="1"/>
  <c r="I805" i="1"/>
  <c r="J805" i="1"/>
  <c r="I792" i="1"/>
  <c r="J792" i="1"/>
  <c r="I776" i="1"/>
  <c r="J776" i="1"/>
  <c r="I744" i="1"/>
  <c r="J744" i="1"/>
  <c r="I736" i="1"/>
  <c r="J736" i="1"/>
  <c r="I728" i="1"/>
  <c r="J728" i="1"/>
  <c r="I720" i="1"/>
  <c r="J720" i="1"/>
  <c r="I712" i="1"/>
  <c r="J712" i="1"/>
  <c r="I704" i="1"/>
  <c r="J704" i="1"/>
  <c r="I696" i="1"/>
  <c r="E696" i="1" s="1"/>
  <c r="J696" i="1"/>
  <c r="I688" i="1"/>
  <c r="J688" i="1"/>
  <c r="I680" i="1"/>
  <c r="J680" i="1"/>
  <c r="I678" i="1"/>
  <c r="J678" i="1"/>
  <c r="I676" i="1"/>
  <c r="J676" i="1"/>
  <c r="I674" i="1"/>
  <c r="J674" i="1"/>
  <c r="I672" i="1"/>
  <c r="J672" i="1"/>
  <c r="I670" i="1"/>
  <c r="E670" i="1" s="1"/>
  <c r="J670" i="1"/>
  <c r="I662" i="1"/>
  <c r="J662" i="1"/>
  <c r="I657" i="1"/>
  <c r="E657" i="1" s="1"/>
  <c r="J657" i="1"/>
  <c r="I649" i="1"/>
  <c r="J649" i="1"/>
  <c r="I644" i="1"/>
  <c r="J644" i="1"/>
  <c r="I636" i="1"/>
  <c r="J636" i="1"/>
  <c r="I628" i="1"/>
  <c r="J628" i="1"/>
  <c r="I620" i="1"/>
  <c r="J620" i="1"/>
  <c r="I608" i="1"/>
  <c r="E608" i="1" s="1"/>
  <c r="J608" i="1"/>
  <c r="I594" i="1"/>
  <c r="J594" i="1"/>
  <c r="I590" i="1"/>
  <c r="E590" i="1" s="1"/>
  <c r="J590" i="1"/>
  <c r="I582" i="1"/>
  <c r="J582" i="1"/>
  <c r="I574" i="1"/>
  <c r="J574" i="1"/>
  <c r="I566" i="1"/>
  <c r="J566" i="1"/>
  <c r="I558" i="1"/>
  <c r="J558" i="1"/>
  <c r="I545" i="1"/>
  <c r="J545" i="1"/>
  <c r="I537" i="1"/>
  <c r="J537" i="1"/>
  <c r="I523" i="1"/>
  <c r="J523" i="1"/>
  <c r="I517" i="1"/>
  <c r="E517" i="1" s="1"/>
  <c r="J517" i="1"/>
  <c r="I501" i="1"/>
  <c r="J501" i="1"/>
  <c r="I493" i="1"/>
  <c r="J493" i="1"/>
  <c r="I485" i="1"/>
  <c r="J485" i="1"/>
  <c r="I470" i="1"/>
  <c r="J470" i="1"/>
  <c r="I461" i="1"/>
  <c r="E461" i="1" s="1"/>
  <c r="J461" i="1"/>
  <c r="I453" i="1"/>
  <c r="J453" i="1"/>
  <c r="I445" i="1"/>
  <c r="E445" i="1" s="1"/>
  <c r="J445" i="1"/>
  <c r="I437" i="1"/>
  <c r="J437" i="1"/>
  <c r="I398" i="1"/>
  <c r="E398" i="1" s="1"/>
  <c r="J398" i="1"/>
  <c r="I315" i="1"/>
  <c r="J315" i="1"/>
  <c r="I307" i="1"/>
  <c r="J307" i="1"/>
  <c r="I37" i="1"/>
  <c r="J37" i="1"/>
  <c r="I1101" i="1"/>
  <c r="J1101" i="1"/>
  <c r="I1066" i="1"/>
  <c r="J1066" i="1"/>
  <c r="I1037" i="1"/>
  <c r="J1037" i="1"/>
  <c r="I1095" i="1"/>
  <c r="E1095" i="1" s="1"/>
  <c r="J1095" i="1"/>
  <c r="I1073" i="1"/>
  <c r="J1073" i="1"/>
  <c r="I1060" i="1"/>
  <c r="J1060" i="1"/>
  <c r="I1044" i="1"/>
  <c r="J1044" i="1"/>
  <c r="I1028" i="1"/>
  <c r="J1028" i="1"/>
  <c r="I1012" i="1"/>
  <c r="J1012" i="1"/>
  <c r="I972" i="1"/>
  <c r="J972" i="1"/>
  <c r="I956" i="1"/>
  <c r="J956" i="1"/>
  <c r="I940" i="1"/>
  <c r="J940" i="1"/>
  <c r="I932" i="1"/>
  <c r="J932" i="1"/>
  <c r="I916" i="1"/>
  <c r="J916" i="1"/>
  <c r="I900" i="1"/>
  <c r="J900" i="1"/>
  <c r="I892" i="1"/>
  <c r="J892" i="1"/>
  <c r="I876" i="1"/>
  <c r="J876" i="1"/>
  <c r="I784" i="1"/>
  <c r="J784" i="1"/>
  <c r="I768" i="1"/>
  <c r="J768" i="1"/>
  <c r="I760" i="1"/>
  <c r="J760" i="1"/>
  <c r="I752" i="1"/>
  <c r="J752" i="1"/>
  <c r="I17" i="1"/>
  <c r="J17" i="1"/>
  <c r="I1103" i="1"/>
  <c r="J1103" i="1"/>
  <c r="I1076" i="1"/>
  <c r="E1076" i="1" s="1"/>
  <c r="J1076" i="1"/>
  <c r="I1068" i="1"/>
  <c r="J1068" i="1"/>
  <c r="I1063" i="1"/>
  <c r="E1063" i="1" s="1"/>
  <c r="J1063" i="1"/>
  <c r="I1055" i="1"/>
  <c r="J1055" i="1"/>
  <c r="I1047" i="1"/>
  <c r="E1047" i="1" s="1"/>
  <c r="J1047" i="1"/>
  <c r="I1039" i="1"/>
  <c r="J1039" i="1"/>
  <c r="I1031" i="1"/>
  <c r="J1031" i="1"/>
  <c r="I1023" i="1"/>
  <c r="J1023" i="1"/>
  <c r="I1015" i="1"/>
  <c r="J1015" i="1"/>
  <c r="I1007" i="1"/>
  <c r="J1007" i="1"/>
  <c r="I999" i="1"/>
  <c r="J999" i="1"/>
  <c r="I991" i="1"/>
  <c r="J991" i="1"/>
  <c r="I983" i="1"/>
  <c r="J983" i="1"/>
  <c r="I975" i="1"/>
  <c r="J975" i="1"/>
  <c r="I967" i="1"/>
  <c r="J967" i="1"/>
  <c r="I959" i="1"/>
  <c r="J959" i="1"/>
  <c r="I951" i="1"/>
  <c r="J951" i="1"/>
  <c r="I943" i="1"/>
  <c r="J943" i="1"/>
  <c r="I935" i="1"/>
  <c r="E935" i="1" s="1"/>
  <c r="J935" i="1"/>
  <c r="I927" i="1"/>
  <c r="J927" i="1"/>
  <c r="J326" i="1"/>
  <c r="I326" i="1"/>
  <c r="I318" i="1"/>
  <c r="E318" i="1" s="1"/>
  <c r="J318" i="1"/>
  <c r="I195" i="1"/>
  <c r="J195" i="1"/>
  <c r="I104" i="1"/>
  <c r="J104" i="1"/>
  <c r="I59" i="1"/>
  <c r="E59" i="1" s="1"/>
  <c r="J59" i="1"/>
  <c r="I51" i="1"/>
  <c r="J51" i="1"/>
  <c r="I26" i="1"/>
  <c r="J26" i="1"/>
  <c r="I1053" i="1"/>
  <c r="J1053" i="1"/>
  <c r="I933" i="1"/>
  <c r="J933" i="1"/>
  <c r="I22" i="1"/>
  <c r="E22" i="1" s="1"/>
  <c r="J22" i="1"/>
  <c r="I1020" i="1"/>
  <c r="J1020" i="1"/>
  <c r="I996" i="1"/>
  <c r="J996" i="1"/>
  <c r="I980" i="1"/>
  <c r="J980" i="1"/>
  <c r="I948" i="1"/>
  <c r="J948" i="1"/>
  <c r="I860" i="1"/>
  <c r="J860" i="1"/>
  <c r="I20" i="1"/>
  <c r="J20" i="1"/>
  <c r="I12" i="1"/>
  <c r="J12" i="1"/>
  <c r="I1106" i="1"/>
  <c r="J1106" i="1"/>
  <c r="I1098" i="1"/>
  <c r="J1098" i="1"/>
  <c r="I1093" i="1"/>
  <c r="J1093" i="1"/>
  <c r="I1091" i="1"/>
  <c r="J1091" i="1"/>
  <c r="I1089" i="1"/>
  <c r="J1089" i="1"/>
  <c r="I1087" i="1"/>
  <c r="J1087" i="1"/>
  <c r="I1085" i="1"/>
  <c r="J1085" i="1"/>
  <c r="I1083" i="1"/>
  <c r="J1083" i="1"/>
  <c r="I1081" i="1"/>
  <c r="J1081" i="1"/>
  <c r="I1079" i="1"/>
  <c r="J1079" i="1"/>
  <c r="I1071" i="1"/>
  <c r="J1071" i="1"/>
  <c r="I1058" i="1"/>
  <c r="J1058" i="1"/>
  <c r="I1050" i="1"/>
  <c r="J1050" i="1"/>
  <c r="I1042" i="1"/>
  <c r="J1042" i="1"/>
  <c r="I1034" i="1"/>
  <c r="E1034" i="1" s="1"/>
  <c r="J1034" i="1"/>
  <c r="I1026" i="1"/>
  <c r="J1026" i="1"/>
  <c r="I1018" i="1"/>
  <c r="J1018" i="1"/>
  <c r="I1010" i="1"/>
  <c r="J1010" i="1"/>
  <c r="I1002" i="1"/>
  <c r="J1002" i="1"/>
  <c r="I994" i="1"/>
  <c r="J994" i="1"/>
  <c r="I986" i="1"/>
  <c r="J986" i="1"/>
  <c r="I978" i="1"/>
  <c r="E978" i="1" s="1"/>
  <c r="J978" i="1"/>
  <c r="I970" i="1"/>
  <c r="J970" i="1"/>
  <c r="I962" i="1"/>
  <c r="E962" i="1" s="1"/>
  <c r="J962" i="1"/>
  <c r="I954" i="1"/>
  <c r="J954" i="1"/>
  <c r="I946" i="1"/>
  <c r="E946" i="1" s="1"/>
  <c r="J946" i="1"/>
  <c r="I938" i="1"/>
  <c r="J938" i="1"/>
  <c r="I930" i="1"/>
  <c r="J930" i="1"/>
  <c r="I922" i="1"/>
  <c r="E922" i="1" s="1"/>
  <c r="J922" i="1"/>
  <c r="I914" i="1"/>
  <c r="J914" i="1"/>
  <c r="I906" i="1"/>
  <c r="J906" i="1"/>
  <c r="I898" i="1"/>
  <c r="J898" i="1"/>
  <c r="I890" i="1"/>
  <c r="J890" i="1"/>
  <c r="I882" i="1"/>
  <c r="J882" i="1"/>
  <c r="I874" i="1"/>
  <c r="J874" i="1"/>
  <c r="I866" i="1"/>
  <c r="E866" i="1" s="1"/>
  <c r="J866" i="1"/>
  <c r="J858" i="1"/>
  <c r="I858" i="1"/>
  <c r="I853" i="1"/>
  <c r="E853" i="1" s="1"/>
  <c r="J853" i="1"/>
  <c r="I845" i="1"/>
  <c r="J845" i="1"/>
  <c r="I843" i="1"/>
  <c r="J843" i="1"/>
  <c r="I841" i="1"/>
  <c r="J841" i="1"/>
  <c r="I839" i="1"/>
  <c r="J839" i="1"/>
  <c r="I837" i="1"/>
  <c r="J837" i="1"/>
  <c r="I70" i="1"/>
  <c r="J70" i="1"/>
  <c r="I62" i="1"/>
  <c r="J62" i="1"/>
  <c r="I835" i="1"/>
  <c r="E835" i="1" s="1"/>
  <c r="J835" i="1"/>
  <c r="I827" i="1"/>
  <c r="J827" i="1"/>
  <c r="I822" i="1"/>
  <c r="E822" i="1" s="1"/>
  <c r="J822" i="1"/>
  <c r="I814" i="1"/>
  <c r="J814" i="1"/>
  <c r="I809" i="1"/>
  <c r="E809" i="1" s="1"/>
  <c r="J809" i="1"/>
  <c r="I801" i="1"/>
  <c r="J801" i="1"/>
  <c r="I796" i="1"/>
  <c r="E796" i="1" s="1"/>
  <c r="J796" i="1"/>
  <c r="I788" i="1"/>
  <c r="J788" i="1"/>
  <c r="I780" i="1"/>
  <c r="J780" i="1"/>
  <c r="I772" i="1"/>
  <c r="J772" i="1"/>
  <c r="I764" i="1"/>
  <c r="J764" i="1"/>
  <c r="I756" i="1"/>
  <c r="E756" i="1" s="1"/>
  <c r="J756" i="1"/>
  <c r="I748" i="1"/>
  <c r="J748" i="1"/>
  <c r="I740" i="1"/>
  <c r="E740" i="1" s="1"/>
  <c r="J740" i="1"/>
  <c r="I732" i="1"/>
  <c r="J732" i="1"/>
  <c r="I724" i="1"/>
  <c r="J724" i="1"/>
  <c r="I716" i="1"/>
  <c r="J716" i="1"/>
  <c r="I708" i="1"/>
  <c r="J708" i="1"/>
  <c r="I700" i="1"/>
  <c r="J700" i="1"/>
  <c r="I692" i="1"/>
  <c r="J692" i="1"/>
  <c r="I684" i="1"/>
  <c r="J684" i="1"/>
  <c r="I679" i="1"/>
  <c r="J679" i="1"/>
  <c r="I677" i="1"/>
  <c r="J677" i="1"/>
  <c r="I675" i="1"/>
  <c r="J675" i="1"/>
  <c r="I673" i="1"/>
  <c r="J673" i="1"/>
  <c r="I666" i="1"/>
  <c r="J666" i="1"/>
  <c r="I653" i="1"/>
  <c r="J653" i="1"/>
  <c r="I645" i="1"/>
  <c r="J645" i="1"/>
  <c r="I640" i="1"/>
  <c r="J640" i="1"/>
  <c r="I632" i="1"/>
  <c r="J632" i="1"/>
  <c r="I624" i="1"/>
  <c r="J624" i="1"/>
  <c r="I616" i="1"/>
  <c r="J616" i="1"/>
  <c r="I604" i="1"/>
  <c r="J604" i="1"/>
  <c r="I598" i="1"/>
  <c r="J598" i="1"/>
  <c r="I586" i="1"/>
  <c r="J586" i="1"/>
  <c r="I578" i="1"/>
  <c r="E578" i="1" s="1"/>
  <c r="J578" i="1"/>
  <c r="I570" i="1"/>
  <c r="J570" i="1"/>
  <c r="I562" i="1"/>
  <c r="J562" i="1"/>
  <c r="I554" i="1"/>
  <c r="J554" i="1"/>
  <c r="I549" i="1"/>
  <c r="E549" i="1" s="1"/>
  <c r="J549" i="1"/>
  <c r="I541" i="1"/>
  <c r="J541" i="1"/>
  <c r="I533" i="1"/>
  <c r="E533" i="1" s="1"/>
  <c r="J533" i="1"/>
  <c r="I527" i="1"/>
  <c r="J527" i="1"/>
  <c r="I505" i="1"/>
  <c r="E505" i="1" s="1"/>
  <c r="J505" i="1"/>
  <c r="I497" i="1"/>
  <c r="J497" i="1"/>
  <c r="I489" i="1"/>
  <c r="J489" i="1"/>
  <c r="I481" i="1"/>
  <c r="J481" i="1"/>
  <c r="I476" i="1"/>
  <c r="E476" i="1" s="1"/>
  <c r="J476" i="1"/>
  <c r="I474" i="1"/>
  <c r="J474" i="1"/>
  <c r="I466" i="1"/>
  <c r="J466" i="1"/>
  <c r="I457" i="1"/>
  <c r="J457" i="1"/>
  <c r="I449" i="1"/>
  <c r="J449" i="1"/>
  <c r="I441" i="1"/>
  <c r="J441" i="1"/>
  <c r="I433" i="1"/>
  <c r="E433" i="1" s="1"/>
  <c r="J433" i="1"/>
  <c r="I386" i="1"/>
  <c r="J386" i="1"/>
  <c r="I378" i="1"/>
  <c r="J378" i="1"/>
  <c r="I370" i="1"/>
  <c r="E370" i="1" s="1"/>
  <c r="J370" i="1"/>
  <c r="I367" i="1"/>
  <c r="J367" i="1"/>
  <c r="I351" i="1"/>
  <c r="J351" i="1"/>
  <c r="I336" i="1"/>
  <c r="J336" i="1"/>
  <c r="I330" i="1"/>
  <c r="E330" i="1" s="1"/>
  <c r="J330" i="1"/>
  <c r="I322" i="1"/>
  <c r="J322" i="1"/>
  <c r="I311" i="1"/>
  <c r="J311" i="1"/>
  <c r="I300" i="1"/>
  <c r="J300" i="1"/>
  <c r="I292" i="1"/>
  <c r="E292" i="1" s="1"/>
  <c r="J292" i="1"/>
  <c r="I288" i="1"/>
  <c r="J288" i="1"/>
  <c r="I268" i="1"/>
  <c r="J268" i="1"/>
  <c r="I259" i="1"/>
  <c r="J259" i="1"/>
  <c r="I245" i="1"/>
  <c r="J245" i="1"/>
  <c r="I236" i="1"/>
  <c r="J236" i="1"/>
  <c r="I228" i="1"/>
  <c r="J228" i="1"/>
  <c r="I206" i="1"/>
  <c r="J206" i="1"/>
  <c r="I200" i="1"/>
  <c r="E200" i="1" s="1"/>
  <c r="J200" i="1"/>
  <c r="I191" i="1"/>
  <c r="J191" i="1"/>
  <c r="I177" i="1"/>
  <c r="J177" i="1"/>
  <c r="I163" i="1"/>
  <c r="J163" i="1"/>
  <c r="I153" i="1"/>
  <c r="J153" i="1"/>
  <c r="I145" i="1"/>
  <c r="J145" i="1"/>
  <c r="I123" i="1"/>
  <c r="J123" i="1"/>
  <c r="I115" i="1"/>
  <c r="J115" i="1"/>
  <c r="I112" i="1"/>
  <c r="E112" i="1" s="1"/>
  <c r="J112" i="1"/>
  <c r="I106" i="1"/>
  <c r="J106" i="1"/>
  <c r="I102" i="1"/>
  <c r="E102" i="1" s="1"/>
  <c r="J102" i="1"/>
  <c r="I81" i="1"/>
  <c r="J81" i="1"/>
  <c r="I66" i="1"/>
  <c r="J66" i="1"/>
  <c r="I55" i="1"/>
  <c r="J55" i="1"/>
  <c r="I44" i="1"/>
  <c r="J44" i="1"/>
  <c r="I41" i="1"/>
  <c r="J41" i="1"/>
  <c r="I30" i="1"/>
  <c r="J30" i="1"/>
  <c r="A798" i="1"/>
  <c r="A591" i="1"/>
  <c r="A812" i="1"/>
  <c r="I923" i="1"/>
  <c r="J923" i="1"/>
  <c r="I915" i="1"/>
  <c r="J915" i="1"/>
  <c r="I907" i="1"/>
  <c r="J907" i="1"/>
  <c r="I899" i="1"/>
  <c r="J899" i="1"/>
  <c r="I891" i="1"/>
  <c r="J891" i="1"/>
  <c r="I883" i="1"/>
  <c r="J883" i="1"/>
  <c r="I875" i="1"/>
  <c r="J875" i="1"/>
  <c r="I867" i="1"/>
  <c r="J867" i="1"/>
  <c r="I859" i="1"/>
  <c r="J859" i="1"/>
  <c r="I846" i="1"/>
  <c r="J846" i="1"/>
  <c r="I830" i="1"/>
  <c r="J830" i="1"/>
  <c r="I817" i="1"/>
  <c r="J817" i="1"/>
  <c r="I804" i="1"/>
  <c r="J804" i="1"/>
  <c r="I791" i="1"/>
  <c r="J791" i="1"/>
  <c r="I783" i="1"/>
  <c r="E783" i="1" s="1"/>
  <c r="J783" i="1"/>
  <c r="I775" i="1"/>
  <c r="J775" i="1"/>
  <c r="I767" i="1"/>
  <c r="J767" i="1"/>
  <c r="I759" i="1"/>
  <c r="J759" i="1"/>
  <c r="I751" i="1"/>
  <c r="J751" i="1"/>
  <c r="I743" i="1"/>
  <c r="J743" i="1"/>
  <c r="I735" i="1"/>
  <c r="J735" i="1"/>
  <c r="I727" i="1"/>
  <c r="J727" i="1"/>
  <c r="I719" i="1"/>
  <c r="J719" i="1"/>
  <c r="I711" i="1"/>
  <c r="E711" i="1" s="1"/>
  <c r="J711" i="1"/>
  <c r="I703" i="1"/>
  <c r="J703" i="1"/>
  <c r="I695" i="1"/>
  <c r="J695" i="1"/>
  <c r="I687" i="1"/>
  <c r="J687" i="1"/>
  <c r="I669" i="1"/>
  <c r="E669" i="1" s="1"/>
  <c r="J669" i="1"/>
  <c r="I661" i="1"/>
  <c r="J661" i="1"/>
  <c r="I656" i="1"/>
  <c r="J656" i="1"/>
  <c r="I648" i="1"/>
  <c r="J648" i="1"/>
  <c r="I643" i="1"/>
  <c r="E643" i="1" s="1"/>
  <c r="J643" i="1"/>
  <c r="I635" i="1"/>
  <c r="J635" i="1"/>
  <c r="I627" i="1"/>
  <c r="J627" i="1"/>
  <c r="I619" i="1"/>
  <c r="E619" i="1" s="1"/>
  <c r="J619" i="1"/>
  <c r="I607" i="1"/>
  <c r="E607" i="1" s="1"/>
  <c r="J607" i="1"/>
  <c r="I602" i="1"/>
  <c r="J602" i="1"/>
  <c r="I600" i="1"/>
  <c r="J600" i="1"/>
  <c r="I595" i="1"/>
  <c r="J595" i="1"/>
  <c r="I589" i="1"/>
  <c r="E589" i="1" s="1"/>
  <c r="J589" i="1"/>
  <c r="I581" i="1"/>
  <c r="J581" i="1"/>
  <c r="I573" i="1"/>
  <c r="J573" i="1"/>
  <c r="I565" i="1"/>
  <c r="E565" i="1" s="1"/>
  <c r="J565" i="1"/>
  <c r="I557" i="1"/>
  <c r="J557" i="1"/>
  <c r="I552" i="1"/>
  <c r="J552" i="1"/>
  <c r="I544" i="1"/>
  <c r="J544" i="1"/>
  <c r="I536" i="1"/>
  <c r="J536" i="1"/>
  <c r="I524" i="1"/>
  <c r="J524" i="1"/>
  <c r="I516" i="1"/>
  <c r="J516" i="1"/>
  <c r="I500" i="1"/>
  <c r="J500" i="1"/>
  <c r="I492" i="1"/>
  <c r="J492" i="1"/>
  <c r="I484" i="1"/>
  <c r="J484" i="1"/>
  <c r="I479" i="1"/>
  <c r="J479" i="1"/>
  <c r="I471" i="1"/>
  <c r="J471" i="1"/>
  <c r="I460" i="1"/>
  <c r="J460" i="1"/>
  <c r="I452" i="1"/>
  <c r="J452" i="1"/>
  <c r="I444" i="1"/>
  <c r="J444" i="1"/>
  <c r="I436" i="1"/>
  <c r="J436" i="1"/>
  <c r="I391" i="1"/>
  <c r="J391" i="1"/>
  <c r="I384" i="1"/>
  <c r="E384" i="1" s="1"/>
  <c r="J384" i="1"/>
  <c r="I381" i="1"/>
  <c r="J381" i="1"/>
  <c r="I373" i="1"/>
  <c r="J373" i="1"/>
  <c r="I361" i="1"/>
  <c r="J361" i="1"/>
  <c r="I357" i="1"/>
  <c r="E357" i="1" s="1"/>
  <c r="J357" i="1"/>
  <c r="I354" i="1"/>
  <c r="J354" i="1"/>
  <c r="I345" i="1"/>
  <c r="J345" i="1"/>
  <c r="I339" i="1"/>
  <c r="J339" i="1"/>
  <c r="I325" i="1"/>
  <c r="J325" i="1"/>
  <c r="I314" i="1"/>
  <c r="J314" i="1"/>
  <c r="I306" i="1"/>
  <c r="E306" i="1" s="1"/>
  <c r="J306" i="1"/>
  <c r="I303" i="1"/>
  <c r="J303" i="1"/>
  <c r="I295" i="1"/>
  <c r="J295" i="1"/>
  <c r="I285" i="1"/>
  <c r="J285" i="1"/>
  <c r="I281" i="1"/>
  <c r="J281" i="1"/>
  <c r="I277" i="1"/>
  <c r="E277" i="1" s="1"/>
  <c r="J277" i="1"/>
  <c r="I271" i="1"/>
  <c r="J271" i="1"/>
  <c r="I262" i="1"/>
  <c r="J262" i="1"/>
  <c r="I254" i="1"/>
  <c r="J254" i="1"/>
  <c r="I251" i="1"/>
  <c r="E251" i="1" s="1"/>
  <c r="J251" i="1"/>
  <c r="I248" i="1"/>
  <c r="J248" i="1"/>
  <c r="I240" i="1"/>
  <c r="E240" i="1" s="1"/>
  <c r="J240" i="1"/>
  <c r="I231" i="1"/>
  <c r="J231" i="1"/>
  <c r="I220" i="1"/>
  <c r="J220" i="1"/>
  <c r="I216" i="1"/>
  <c r="J216" i="1"/>
  <c r="I212" i="1"/>
  <c r="E212" i="1" s="1"/>
  <c r="J212" i="1"/>
  <c r="I209" i="1"/>
  <c r="J209" i="1"/>
  <c r="I197" i="1"/>
  <c r="E197" i="1" s="1"/>
  <c r="J197" i="1"/>
  <c r="I194" i="1"/>
  <c r="J194" i="1"/>
  <c r="I186" i="1"/>
  <c r="J186" i="1"/>
  <c r="I183" i="1"/>
  <c r="E183" i="1" s="1"/>
  <c r="J183" i="1"/>
  <c r="I180" i="1"/>
  <c r="J180" i="1"/>
  <c r="I172" i="1"/>
  <c r="J172" i="1"/>
  <c r="I160" i="1"/>
  <c r="J160" i="1"/>
  <c r="I156" i="1"/>
  <c r="E156" i="1" s="1"/>
  <c r="J156" i="1"/>
  <c r="I148" i="1"/>
  <c r="J148" i="1"/>
  <c r="I140" i="1"/>
  <c r="J140" i="1"/>
  <c r="I137" i="1"/>
  <c r="E137" i="1" s="1"/>
  <c r="J137" i="1"/>
  <c r="I134" i="1"/>
  <c r="J134" i="1"/>
  <c r="I131" i="1"/>
  <c r="J131" i="1"/>
  <c r="I127" i="1"/>
  <c r="J127" i="1"/>
  <c r="I118" i="1"/>
  <c r="J118" i="1"/>
  <c r="I99" i="1"/>
  <c r="J99" i="1"/>
  <c r="I95" i="1"/>
  <c r="J95" i="1"/>
  <c r="I91" i="1"/>
  <c r="J91" i="1"/>
  <c r="I87" i="1"/>
  <c r="E87" i="1" s="1"/>
  <c r="J87" i="1"/>
  <c r="I84" i="1"/>
  <c r="J84" i="1"/>
  <c r="I76" i="1"/>
  <c r="J76" i="1"/>
  <c r="I72" i="1"/>
  <c r="E72" i="1" s="1"/>
  <c r="J72" i="1"/>
  <c r="I69" i="1"/>
  <c r="J69" i="1"/>
  <c r="I61" i="1"/>
  <c r="E61" i="1" s="1"/>
  <c r="J61" i="1"/>
  <c r="I58" i="1"/>
  <c r="J58" i="1"/>
  <c r="I50" i="1"/>
  <c r="J50" i="1"/>
  <c r="I47" i="1"/>
  <c r="E47" i="1" s="1"/>
  <c r="J47" i="1"/>
  <c r="I33" i="1"/>
  <c r="J33" i="1"/>
  <c r="A551" i="1"/>
  <c r="A660" i="1"/>
  <c r="A837" i="1"/>
  <c r="A566" i="1"/>
  <c r="A757" i="1"/>
  <c r="A417" i="1"/>
  <c r="E417" i="1" s="1"/>
  <c r="I833" i="1"/>
  <c r="J833" i="1"/>
  <c r="I825" i="1"/>
  <c r="J825" i="1"/>
  <c r="I820" i="1"/>
  <c r="J820" i="1"/>
  <c r="I812" i="1"/>
  <c r="J812" i="1"/>
  <c r="I807" i="1"/>
  <c r="J807" i="1"/>
  <c r="I799" i="1"/>
  <c r="J799" i="1"/>
  <c r="I794" i="1"/>
  <c r="J794" i="1"/>
  <c r="I786" i="1"/>
  <c r="J786" i="1"/>
  <c r="I778" i="1"/>
  <c r="J778" i="1"/>
  <c r="I770" i="1"/>
  <c r="E770" i="1" s="1"/>
  <c r="J770" i="1"/>
  <c r="I762" i="1"/>
  <c r="J762" i="1"/>
  <c r="I754" i="1"/>
  <c r="J754" i="1"/>
  <c r="I746" i="1"/>
  <c r="J746" i="1"/>
  <c r="I738" i="1"/>
  <c r="J738" i="1"/>
  <c r="J730" i="1"/>
  <c r="I730" i="1"/>
  <c r="I722" i="1"/>
  <c r="E722" i="1" s="1"/>
  <c r="J722" i="1"/>
  <c r="I714" i="1"/>
  <c r="J714" i="1"/>
  <c r="I706" i="1"/>
  <c r="J706" i="1"/>
  <c r="I698" i="1"/>
  <c r="J698" i="1"/>
  <c r="I690" i="1"/>
  <c r="J690" i="1"/>
  <c r="I682" i="1"/>
  <c r="E682" i="1" s="1"/>
  <c r="J682" i="1"/>
  <c r="I664" i="1"/>
  <c r="J664" i="1"/>
  <c r="I659" i="1"/>
  <c r="E659" i="1" s="1"/>
  <c r="J659" i="1"/>
  <c r="I651" i="1"/>
  <c r="J651" i="1"/>
  <c r="I638" i="1"/>
  <c r="J638" i="1"/>
  <c r="I630" i="1"/>
  <c r="E630" i="1" s="1"/>
  <c r="J630" i="1"/>
  <c r="I622" i="1"/>
  <c r="J622" i="1"/>
  <c r="I614" i="1"/>
  <c r="J614" i="1"/>
  <c r="I592" i="1"/>
  <c r="J592" i="1"/>
  <c r="I584" i="1"/>
  <c r="J584" i="1"/>
  <c r="I576" i="1"/>
  <c r="J576" i="1"/>
  <c r="I568" i="1"/>
  <c r="J568" i="1"/>
  <c r="I560" i="1"/>
  <c r="J560" i="1"/>
  <c r="I547" i="1"/>
  <c r="J547" i="1"/>
  <c r="I539" i="1"/>
  <c r="J539" i="1"/>
  <c r="I531" i="1"/>
  <c r="J531" i="1"/>
  <c r="I529" i="1"/>
  <c r="J529" i="1"/>
  <c r="I521" i="1"/>
  <c r="J521" i="1"/>
  <c r="I519" i="1"/>
  <c r="J519" i="1"/>
  <c r="I503" i="1"/>
  <c r="J503" i="1"/>
  <c r="I495" i="1"/>
  <c r="J495" i="1"/>
  <c r="I487" i="1"/>
  <c r="J487" i="1"/>
  <c r="I468" i="1"/>
  <c r="J468" i="1"/>
  <c r="I463" i="1"/>
  <c r="J463" i="1"/>
  <c r="I455" i="1"/>
  <c r="J455" i="1"/>
  <c r="I447" i="1"/>
  <c r="J447" i="1"/>
  <c r="I439" i="1"/>
  <c r="J439" i="1"/>
  <c r="I414" i="1"/>
  <c r="J414" i="1"/>
  <c r="I397" i="1"/>
  <c r="E397" i="1" s="1"/>
  <c r="J397" i="1"/>
  <c r="I388" i="1"/>
  <c r="J388" i="1"/>
  <c r="I376" i="1"/>
  <c r="J376" i="1"/>
  <c r="I365" i="1"/>
  <c r="J365" i="1"/>
  <c r="I349" i="1"/>
  <c r="J349" i="1"/>
  <c r="I342" i="1"/>
  <c r="J342" i="1"/>
  <c r="I334" i="1"/>
  <c r="J334" i="1"/>
  <c r="I331" i="1"/>
  <c r="E331" i="1" s="1"/>
  <c r="J331" i="1"/>
  <c r="I328" i="1"/>
  <c r="J328" i="1"/>
  <c r="I320" i="1"/>
  <c r="J320" i="1"/>
  <c r="I317" i="1"/>
  <c r="E317" i="1" s="1"/>
  <c r="J317" i="1"/>
  <c r="I309" i="1"/>
  <c r="J309" i="1"/>
  <c r="I298" i="1"/>
  <c r="J298" i="1"/>
  <c r="I289" i="1"/>
  <c r="J289" i="1"/>
  <c r="I274" i="1"/>
  <c r="J274" i="1"/>
  <c r="I266" i="1"/>
  <c r="E266" i="1" s="1"/>
  <c r="J266" i="1"/>
  <c r="I257" i="1"/>
  <c r="J257" i="1"/>
  <c r="I243" i="1"/>
  <c r="J243" i="1"/>
  <c r="I237" i="1"/>
  <c r="J237" i="1"/>
  <c r="I234" i="1"/>
  <c r="J234" i="1"/>
  <c r="I226" i="1"/>
  <c r="E226" i="1" s="1"/>
  <c r="J226" i="1"/>
  <c r="I223" i="1"/>
  <c r="J223" i="1"/>
  <c r="I204" i="1"/>
  <c r="J204" i="1"/>
  <c r="I201" i="1"/>
  <c r="J201" i="1"/>
  <c r="I189" i="1"/>
  <c r="J189" i="1"/>
  <c r="I175" i="1"/>
  <c r="J175" i="1"/>
  <c r="I169" i="1"/>
  <c r="J169" i="1"/>
  <c r="I167" i="1"/>
  <c r="J167" i="1"/>
  <c r="I165" i="1"/>
  <c r="J165" i="1"/>
  <c r="I151" i="1"/>
  <c r="J151" i="1"/>
  <c r="I143" i="1"/>
  <c r="J143" i="1"/>
  <c r="I121" i="1"/>
  <c r="J121" i="1"/>
  <c r="I113" i="1"/>
  <c r="E113" i="1" s="1"/>
  <c r="J113" i="1"/>
  <c r="I110" i="1"/>
  <c r="J110" i="1"/>
  <c r="I107" i="1"/>
  <c r="J107" i="1"/>
  <c r="I103" i="1"/>
  <c r="J103" i="1"/>
  <c r="I79" i="1"/>
  <c r="J79" i="1"/>
  <c r="I64" i="1"/>
  <c r="J64" i="1"/>
  <c r="I53" i="1"/>
  <c r="J53" i="1"/>
  <c r="I39" i="1"/>
  <c r="J39" i="1"/>
  <c r="I36" i="1"/>
  <c r="E36" i="1" s="1"/>
  <c r="J36" i="1"/>
  <c r="I28" i="1"/>
  <c r="J28" i="1"/>
  <c r="A699" i="1"/>
  <c r="A684" i="1"/>
  <c r="I913" i="1"/>
  <c r="J913" i="1"/>
  <c r="I905" i="1"/>
  <c r="J905" i="1"/>
  <c r="I897" i="1"/>
  <c r="E897" i="1" s="1"/>
  <c r="J897" i="1"/>
  <c r="I889" i="1"/>
  <c r="J889" i="1"/>
  <c r="I881" i="1"/>
  <c r="J881" i="1"/>
  <c r="I873" i="1"/>
  <c r="J873" i="1"/>
  <c r="I865" i="1"/>
  <c r="E865" i="1" s="1"/>
  <c r="J865" i="1"/>
  <c r="I857" i="1"/>
  <c r="J857" i="1"/>
  <c r="I852" i="1"/>
  <c r="E852" i="1" s="1"/>
  <c r="J852" i="1"/>
  <c r="I836" i="1"/>
  <c r="E836" i="1" s="1"/>
  <c r="J836" i="1"/>
  <c r="I828" i="1"/>
  <c r="J828" i="1"/>
  <c r="I823" i="1"/>
  <c r="E823" i="1" s="1"/>
  <c r="J823" i="1"/>
  <c r="I815" i="1"/>
  <c r="J815" i="1"/>
  <c r="I810" i="1"/>
  <c r="E810" i="1" s="1"/>
  <c r="J810" i="1"/>
  <c r="I802" i="1"/>
  <c r="J802" i="1"/>
  <c r="I797" i="1"/>
  <c r="E797" i="1" s="1"/>
  <c r="J797" i="1"/>
  <c r="I789" i="1"/>
  <c r="J789" i="1"/>
  <c r="I781" i="1"/>
  <c r="J781" i="1"/>
  <c r="I773" i="1"/>
  <c r="J773" i="1"/>
  <c r="I765" i="1"/>
  <c r="J765" i="1"/>
  <c r="I757" i="1"/>
  <c r="J757" i="1"/>
  <c r="I749" i="1"/>
  <c r="J749" i="1"/>
  <c r="I741" i="1"/>
  <c r="J741" i="1"/>
  <c r="I733" i="1"/>
  <c r="J733" i="1"/>
  <c r="I725" i="1"/>
  <c r="J725" i="1"/>
  <c r="I717" i="1"/>
  <c r="J717" i="1"/>
  <c r="I709" i="1"/>
  <c r="E709" i="1" s="1"/>
  <c r="J709" i="1"/>
  <c r="I701" i="1"/>
  <c r="J701" i="1"/>
  <c r="I693" i="1"/>
  <c r="J693" i="1"/>
  <c r="I685" i="1"/>
  <c r="J685" i="1"/>
  <c r="I667" i="1"/>
  <c r="J667" i="1"/>
  <c r="I654" i="1"/>
  <c r="J654" i="1"/>
  <c r="I646" i="1"/>
  <c r="J646" i="1"/>
  <c r="I641" i="1"/>
  <c r="J641" i="1"/>
  <c r="I633" i="1"/>
  <c r="J633" i="1"/>
  <c r="I625" i="1"/>
  <c r="J625" i="1"/>
  <c r="I617" i="1"/>
  <c r="E617" i="1" s="1"/>
  <c r="J617" i="1"/>
  <c r="I612" i="1"/>
  <c r="J612" i="1"/>
  <c r="I610" i="1"/>
  <c r="J610" i="1"/>
  <c r="I605" i="1"/>
  <c r="J605" i="1"/>
  <c r="I597" i="1"/>
  <c r="J597" i="1"/>
  <c r="I587" i="1"/>
  <c r="J587" i="1"/>
  <c r="I579" i="1"/>
  <c r="E579" i="1" s="1"/>
  <c r="J579" i="1"/>
  <c r="I571" i="1"/>
  <c r="J571" i="1"/>
  <c r="I563" i="1"/>
  <c r="J563" i="1"/>
  <c r="I555" i="1"/>
  <c r="J555" i="1"/>
  <c r="I550" i="1"/>
  <c r="E550" i="1" s="1"/>
  <c r="J550" i="1"/>
  <c r="I542" i="1"/>
  <c r="J542" i="1"/>
  <c r="I534" i="1"/>
  <c r="J534" i="1"/>
  <c r="I526" i="1"/>
  <c r="J526" i="1"/>
  <c r="I514" i="1"/>
  <c r="J514" i="1"/>
  <c r="I512" i="1"/>
  <c r="J512" i="1"/>
  <c r="I510" i="1"/>
  <c r="J510" i="1"/>
  <c r="I508" i="1"/>
  <c r="J508" i="1"/>
  <c r="I506" i="1"/>
  <c r="J506" i="1"/>
  <c r="I498" i="1"/>
  <c r="J498" i="1"/>
  <c r="I490" i="1"/>
  <c r="E490" i="1" s="1"/>
  <c r="J490" i="1"/>
  <c r="I482" i="1"/>
  <c r="J482" i="1"/>
  <c r="I477" i="1"/>
  <c r="E477" i="1" s="1"/>
  <c r="J477" i="1"/>
  <c r="I473" i="1"/>
  <c r="J473" i="1"/>
  <c r="I465" i="1"/>
  <c r="J465" i="1"/>
  <c r="I458" i="1"/>
  <c r="J458" i="1"/>
  <c r="I450" i="1"/>
  <c r="J450" i="1"/>
  <c r="I442" i="1"/>
  <c r="J442" i="1"/>
  <c r="I434" i="1"/>
  <c r="J434" i="1"/>
  <c r="I412" i="1"/>
  <c r="J412" i="1"/>
  <c r="I410" i="1"/>
  <c r="J410" i="1"/>
  <c r="I408" i="1"/>
  <c r="J408" i="1"/>
  <c r="I406" i="1"/>
  <c r="J406" i="1"/>
  <c r="I404" i="1"/>
  <c r="J404" i="1"/>
  <c r="I402" i="1"/>
  <c r="J402" i="1"/>
  <c r="I400" i="1"/>
  <c r="J400" i="1"/>
  <c r="I395" i="1"/>
  <c r="J395" i="1"/>
  <c r="I393" i="1"/>
  <c r="J393" i="1"/>
  <c r="I385" i="1"/>
  <c r="J385" i="1"/>
  <c r="I379" i="1"/>
  <c r="J379" i="1"/>
  <c r="I371" i="1"/>
  <c r="E371" i="1" s="1"/>
  <c r="J371" i="1"/>
  <c r="I368" i="1"/>
  <c r="J368" i="1"/>
  <c r="I362" i="1"/>
  <c r="J362" i="1"/>
  <c r="I358" i="1"/>
  <c r="J358" i="1"/>
  <c r="I352" i="1"/>
  <c r="J352" i="1"/>
  <c r="I346" i="1"/>
  <c r="J346" i="1"/>
  <c r="I337" i="1"/>
  <c r="J337" i="1"/>
  <c r="I323" i="1"/>
  <c r="J323" i="1"/>
  <c r="I312" i="1"/>
  <c r="J312" i="1"/>
  <c r="I301" i="1"/>
  <c r="J301" i="1"/>
  <c r="I293" i="1"/>
  <c r="E293" i="1" s="1"/>
  <c r="J293" i="1"/>
  <c r="I286" i="1"/>
  <c r="J286" i="1"/>
  <c r="I282" i="1"/>
  <c r="J282" i="1"/>
  <c r="I278" i="1"/>
  <c r="E278" i="1" s="1"/>
  <c r="J278" i="1"/>
  <c r="I269" i="1"/>
  <c r="J269" i="1"/>
  <c r="I263" i="1"/>
  <c r="E263" i="1" s="1"/>
  <c r="J263" i="1"/>
  <c r="I260" i="1"/>
  <c r="J260" i="1"/>
  <c r="I252" i="1"/>
  <c r="E252" i="1" s="1"/>
  <c r="J252" i="1"/>
  <c r="I246" i="1"/>
  <c r="J246" i="1"/>
  <c r="I229" i="1"/>
  <c r="J229" i="1"/>
  <c r="I217" i="1"/>
  <c r="J217" i="1"/>
  <c r="I213" i="1"/>
  <c r="J213" i="1"/>
  <c r="I207" i="1"/>
  <c r="J207" i="1"/>
  <c r="I198" i="1"/>
  <c r="E198" i="1" s="1"/>
  <c r="J198" i="1"/>
  <c r="I192" i="1"/>
  <c r="J192" i="1"/>
  <c r="I184" i="1"/>
  <c r="J184" i="1"/>
  <c r="I178" i="1"/>
  <c r="J178" i="1"/>
  <c r="I162" i="1"/>
  <c r="J162" i="1"/>
  <c r="I154" i="1"/>
  <c r="J154" i="1"/>
  <c r="I146" i="1"/>
  <c r="J146" i="1"/>
  <c r="I138" i="1"/>
  <c r="J138" i="1"/>
  <c r="I132" i="1"/>
  <c r="J132" i="1"/>
  <c r="I128" i="1"/>
  <c r="J128" i="1"/>
  <c r="I124" i="1"/>
  <c r="E124" i="1" s="1"/>
  <c r="J124" i="1"/>
  <c r="I116" i="1"/>
  <c r="J116" i="1"/>
  <c r="I96" i="1"/>
  <c r="J96" i="1"/>
  <c r="I92" i="1"/>
  <c r="J92" i="1"/>
  <c r="I88" i="1"/>
  <c r="J88" i="1"/>
  <c r="I82" i="1"/>
  <c r="J82" i="1"/>
  <c r="I73" i="1"/>
  <c r="J73" i="1"/>
  <c r="I67" i="1"/>
  <c r="J67" i="1"/>
  <c r="I56" i="1"/>
  <c r="J56" i="1"/>
  <c r="I48" i="1"/>
  <c r="E48" i="1" s="1"/>
  <c r="J48" i="1"/>
  <c r="I45" i="1"/>
  <c r="J45" i="1"/>
  <c r="I42" i="1"/>
  <c r="J42" i="1"/>
  <c r="I31" i="1"/>
  <c r="J31" i="1"/>
  <c r="A631" i="1"/>
  <c r="A854" i="1"/>
  <c r="A741" i="1"/>
  <c r="A609" i="1"/>
  <c r="A784" i="1"/>
  <c r="E784" i="1" s="1"/>
  <c r="A772" i="1"/>
  <c r="I919" i="1"/>
  <c r="J919" i="1"/>
  <c r="I911" i="1"/>
  <c r="J911" i="1"/>
  <c r="I903" i="1"/>
  <c r="J903" i="1"/>
  <c r="I895" i="1"/>
  <c r="J895" i="1"/>
  <c r="I887" i="1"/>
  <c r="J887" i="1"/>
  <c r="I879" i="1"/>
  <c r="J879" i="1"/>
  <c r="I871" i="1"/>
  <c r="J871" i="1"/>
  <c r="I863" i="1"/>
  <c r="J863" i="1"/>
  <c r="I855" i="1"/>
  <c r="J855" i="1"/>
  <c r="I850" i="1"/>
  <c r="J850" i="1"/>
  <c r="I834" i="1"/>
  <c r="J834" i="1"/>
  <c r="I826" i="1"/>
  <c r="J826" i="1"/>
  <c r="I821" i="1"/>
  <c r="J821" i="1"/>
  <c r="I813" i="1"/>
  <c r="J813" i="1"/>
  <c r="I808" i="1"/>
  <c r="J808" i="1"/>
  <c r="I800" i="1"/>
  <c r="J800" i="1"/>
  <c r="I795" i="1"/>
  <c r="J795" i="1"/>
  <c r="I787" i="1"/>
  <c r="J787" i="1"/>
  <c r="I779" i="1"/>
  <c r="J779" i="1"/>
  <c r="I771" i="1"/>
  <c r="E771" i="1" s="1"/>
  <c r="J771" i="1"/>
  <c r="I763" i="1"/>
  <c r="J763" i="1"/>
  <c r="I755" i="1"/>
  <c r="E755" i="1" s="1"/>
  <c r="J755" i="1"/>
  <c r="I747" i="1"/>
  <c r="J747" i="1"/>
  <c r="I739" i="1"/>
  <c r="E739" i="1" s="1"/>
  <c r="J739" i="1"/>
  <c r="I731" i="1"/>
  <c r="J731" i="1"/>
  <c r="I723" i="1"/>
  <c r="E723" i="1" s="1"/>
  <c r="J723" i="1"/>
  <c r="I715" i="1"/>
  <c r="J715" i="1"/>
  <c r="I707" i="1"/>
  <c r="J707" i="1"/>
  <c r="I699" i="1"/>
  <c r="J699" i="1"/>
  <c r="I691" i="1"/>
  <c r="J691" i="1"/>
  <c r="I683" i="1"/>
  <c r="E683" i="1" s="1"/>
  <c r="J683" i="1"/>
  <c r="I665" i="1"/>
  <c r="J665" i="1"/>
  <c r="I652" i="1"/>
  <c r="J652" i="1"/>
  <c r="I639" i="1"/>
  <c r="J639" i="1"/>
  <c r="I631" i="1"/>
  <c r="J631" i="1"/>
  <c r="I623" i="1"/>
  <c r="J623" i="1"/>
  <c r="I615" i="1"/>
  <c r="J615" i="1"/>
  <c r="I603" i="1"/>
  <c r="J603" i="1"/>
  <c r="I601" i="1"/>
  <c r="J601" i="1"/>
  <c r="I599" i="1"/>
  <c r="J599" i="1"/>
  <c r="I585" i="1"/>
  <c r="J585" i="1"/>
  <c r="I577" i="1"/>
  <c r="E577" i="1" s="1"/>
  <c r="J577" i="1"/>
  <c r="I569" i="1"/>
  <c r="J569" i="1"/>
  <c r="I561" i="1"/>
  <c r="J561" i="1"/>
  <c r="I553" i="1"/>
  <c r="J553" i="1"/>
  <c r="I548" i="1"/>
  <c r="J548" i="1"/>
  <c r="I540" i="1"/>
  <c r="J540" i="1"/>
  <c r="I532" i="1"/>
  <c r="E532" i="1" s="1"/>
  <c r="J532" i="1"/>
  <c r="I528" i="1"/>
  <c r="J528" i="1"/>
  <c r="I504" i="1"/>
  <c r="E504" i="1" s="1"/>
  <c r="J504" i="1"/>
  <c r="I496" i="1"/>
  <c r="J496" i="1"/>
  <c r="I488" i="1"/>
  <c r="J488" i="1"/>
  <c r="I480" i="1"/>
  <c r="J480" i="1"/>
  <c r="I475" i="1"/>
  <c r="J475" i="1"/>
  <c r="I467" i="1"/>
  <c r="J467" i="1"/>
  <c r="I456" i="1"/>
  <c r="J456" i="1"/>
  <c r="I448" i="1"/>
  <c r="J448" i="1"/>
  <c r="I440" i="1"/>
  <c r="J440" i="1"/>
  <c r="I432" i="1"/>
  <c r="E432" i="1" s="1"/>
  <c r="J432" i="1"/>
  <c r="I387" i="1"/>
  <c r="J387" i="1"/>
  <c r="I377" i="1"/>
  <c r="J377" i="1"/>
  <c r="I366" i="1"/>
  <c r="J366" i="1"/>
  <c r="I363" i="1"/>
  <c r="J363" i="1"/>
  <c r="I359" i="1"/>
  <c r="J359" i="1"/>
  <c r="I350" i="1"/>
  <c r="J350" i="1"/>
  <c r="I347" i="1"/>
  <c r="J347" i="1"/>
  <c r="I343" i="1"/>
  <c r="E343" i="1" s="1"/>
  <c r="J343" i="1"/>
  <c r="I335" i="1"/>
  <c r="J335" i="1"/>
  <c r="I329" i="1"/>
  <c r="J329" i="1"/>
  <c r="I321" i="1"/>
  <c r="J321" i="1"/>
  <c r="I310" i="1"/>
  <c r="J310" i="1"/>
  <c r="I299" i="1"/>
  <c r="J299" i="1"/>
  <c r="I287" i="1"/>
  <c r="J287" i="1"/>
  <c r="I283" i="1"/>
  <c r="J283" i="1"/>
  <c r="I279" i="1"/>
  <c r="J279" i="1"/>
  <c r="I275" i="1"/>
  <c r="J275" i="1"/>
  <c r="I267" i="1"/>
  <c r="J267" i="1"/>
  <c r="I264" i="1"/>
  <c r="E264" i="1" s="1"/>
  <c r="J264" i="1"/>
  <c r="I258" i="1"/>
  <c r="J258" i="1"/>
  <c r="I244" i="1"/>
  <c r="J244" i="1"/>
  <c r="I235" i="1"/>
  <c r="J235" i="1"/>
  <c r="I227" i="1"/>
  <c r="J227" i="1"/>
  <c r="I224" i="1"/>
  <c r="E224" i="1" s="1"/>
  <c r="J224" i="1"/>
  <c r="I218" i="1"/>
  <c r="J218" i="1"/>
  <c r="I214" i="1"/>
  <c r="J214" i="1"/>
  <c r="I205" i="1"/>
  <c r="J205" i="1"/>
  <c r="I190" i="1"/>
  <c r="J190" i="1"/>
  <c r="I176" i="1"/>
  <c r="J176" i="1"/>
  <c r="I170" i="1"/>
  <c r="E170" i="1" s="1"/>
  <c r="J170" i="1"/>
  <c r="I164" i="1"/>
  <c r="J164" i="1"/>
  <c r="J152" i="1"/>
  <c r="I152" i="1"/>
  <c r="I144" i="1"/>
  <c r="J144" i="1"/>
  <c r="I129" i="1"/>
  <c r="J129" i="1"/>
  <c r="I125" i="1"/>
  <c r="E125" i="1" s="1"/>
  <c r="J125" i="1"/>
  <c r="I122" i="1"/>
  <c r="J122" i="1"/>
  <c r="I114" i="1"/>
  <c r="E114" i="1" s="1"/>
  <c r="J114" i="1"/>
  <c r="I111" i="1"/>
  <c r="J111" i="1"/>
  <c r="I97" i="1"/>
  <c r="J97" i="1"/>
  <c r="I93" i="1"/>
  <c r="J93" i="1"/>
  <c r="I89" i="1"/>
  <c r="J89" i="1"/>
  <c r="I80" i="1"/>
  <c r="J80" i="1"/>
  <c r="I74" i="1"/>
  <c r="J74" i="1"/>
  <c r="I65" i="1"/>
  <c r="J65" i="1"/>
  <c r="I54" i="1"/>
  <c r="J54" i="1"/>
  <c r="I43" i="1"/>
  <c r="J43" i="1"/>
  <c r="I40" i="1"/>
  <c r="J40" i="1"/>
  <c r="I29" i="1"/>
  <c r="J29" i="1"/>
  <c r="A724" i="1"/>
  <c r="A644" i="1"/>
  <c r="E644" i="1" s="1"/>
  <c r="A580" i="1"/>
  <c r="I829" i="1"/>
  <c r="J829" i="1"/>
  <c r="I816" i="1"/>
  <c r="J816" i="1"/>
  <c r="I803" i="1"/>
  <c r="J803" i="1"/>
  <c r="I790" i="1"/>
  <c r="J790" i="1"/>
  <c r="I782" i="1"/>
  <c r="E782" i="1" s="1"/>
  <c r="J782" i="1"/>
  <c r="I774" i="1"/>
  <c r="J774" i="1"/>
  <c r="I766" i="1"/>
  <c r="J766" i="1"/>
  <c r="I758" i="1"/>
  <c r="J758" i="1"/>
  <c r="I750" i="1"/>
  <c r="J750" i="1"/>
  <c r="I742" i="1"/>
  <c r="J742" i="1"/>
  <c r="I734" i="1"/>
  <c r="J734" i="1"/>
  <c r="I726" i="1"/>
  <c r="J726" i="1"/>
  <c r="I718" i="1"/>
  <c r="J718" i="1"/>
  <c r="I710" i="1"/>
  <c r="E710" i="1" s="1"/>
  <c r="J710" i="1"/>
  <c r="I702" i="1"/>
  <c r="J702" i="1"/>
  <c r="I694" i="1"/>
  <c r="J694" i="1"/>
  <c r="I686" i="1"/>
  <c r="J686" i="1"/>
  <c r="I668" i="1"/>
  <c r="J668" i="1"/>
  <c r="I660" i="1"/>
  <c r="J660" i="1"/>
  <c r="I655" i="1"/>
  <c r="J655" i="1"/>
  <c r="I647" i="1"/>
  <c r="J647" i="1"/>
  <c r="I642" i="1"/>
  <c r="E642" i="1" s="1"/>
  <c r="J642" i="1"/>
  <c r="I634" i="1"/>
  <c r="J634" i="1"/>
  <c r="I626" i="1"/>
  <c r="J626" i="1"/>
  <c r="I618" i="1"/>
  <c r="E618" i="1" s="1"/>
  <c r="J618" i="1"/>
  <c r="I606" i="1"/>
  <c r="J606" i="1"/>
  <c r="I596" i="1"/>
  <c r="J596" i="1"/>
  <c r="I588" i="1"/>
  <c r="J588" i="1"/>
  <c r="I580" i="1"/>
  <c r="J580" i="1"/>
  <c r="I572" i="1"/>
  <c r="J572" i="1"/>
  <c r="I564" i="1"/>
  <c r="E564" i="1" s="1"/>
  <c r="J564" i="1"/>
  <c r="I556" i="1"/>
  <c r="J556" i="1"/>
  <c r="I551" i="1"/>
  <c r="J551" i="1"/>
  <c r="I543" i="1"/>
  <c r="J543" i="1"/>
  <c r="I535" i="1"/>
  <c r="J535" i="1"/>
  <c r="I530" i="1"/>
  <c r="J530" i="1"/>
  <c r="I525" i="1"/>
  <c r="J525" i="1"/>
  <c r="I520" i="1"/>
  <c r="J520" i="1"/>
  <c r="I515" i="1"/>
  <c r="J515" i="1"/>
  <c r="I499" i="1"/>
  <c r="J499" i="1"/>
  <c r="I491" i="1"/>
  <c r="E491" i="1" s="1"/>
  <c r="J491" i="1"/>
  <c r="I483" i="1"/>
  <c r="J483" i="1"/>
  <c r="I478" i="1"/>
  <c r="J478" i="1"/>
  <c r="I472" i="1"/>
  <c r="J472" i="1"/>
  <c r="I464" i="1"/>
  <c r="J464" i="1"/>
  <c r="I459" i="1"/>
  <c r="J459" i="1"/>
  <c r="I451" i="1"/>
  <c r="J451" i="1"/>
  <c r="I443" i="1"/>
  <c r="J443" i="1"/>
  <c r="I435" i="1"/>
  <c r="J435" i="1"/>
  <c r="I392" i="1"/>
  <c r="J392" i="1"/>
  <c r="I380" i="1"/>
  <c r="J380" i="1"/>
  <c r="I372" i="1"/>
  <c r="J372" i="1"/>
  <c r="I369" i="1"/>
  <c r="E369" i="1" s="1"/>
  <c r="J369" i="1"/>
  <c r="I353" i="1"/>
  <c r="J353" i="1"/>
  <c r="I338" i="1"/>
  <c r="J338" i="1"/>
  <c r="I324" i="1"/>
  <c r="J324" i="1"/>
  <c r="I313" i="1"/>
  <c r="J313" i="1"/>
  <c r="I305" i="1"/>
  <c r="E305" i="1" s="1"/>
  <c r="J305" i="1"/>
  <c r="I302" i="1"/>
  <c r="J302" i="1"/>
  <c r="I294" i="1"/>
  <c r="J294" i="1"/>
  <c r="I291" i="1"/>
  <c r="E291" i="1" s="1"/>
  <c r="J291" i="1"/>
  <c r="I270" i="1"/>
  <c r="J270" i="1"/>
  <c r="I261" i="1"/>
  <c r="J261" i="1"/>
  <c r="I253" i="1"/>
  <c r="E253" i="1" s="1"/>
  <c r="J253" i="1"/>
  <c r="I247" i="1"/>
  <c r="J247" i="1"/>
  <c r="I230" i="1"/>
  <c r="J230" i="1"/>
  <c r="I208" i="1"/>
  <c r="J208" i="1"/>
  <c r="I199" i="1"/>
  <c r="E199" i="1" s="1"/>
  <c r="J199" i="1"/>
  <c r="I193" i="1"/>
  <c r="J193" i="1"/>
  <c r="I185" i="1"/>
  <c r="J185" i="1"/>
  <c r="I179" i="1"/>
  <c r="J179" i="1"/>
  <c r="I168" i="1"/>
  <c r="J168" i="1"/>
  <c r="I166" i="1"/>
  <c r="J166" i="1"/>
  <c r="I161" i="1"/>
  <c r="J161" i="1"/>
  <c r="I155" i="1"/>
  <c r="E155" i="1" s="1"/>
  <c r="J155" i="1"/>
  <c r="I147" i="1"/>
  <c r="J147" i="1"/>
  <c r="I139" i="1"/>
  <c r="J139" i="1"/>
  <c r="I133" i="1"/>
  <c r="J133" i="1"/>
  <c r="I117" i="1"/>
  <c r="J117" i="1"/>
  <c r="I105" i="1"/>
  <c r="J105" i="1"/>
  <c r="I101" i="1"/>
  <c r="E101" i="1" s="1"/>
  <c r="J101" i="1"/>
  <c r="I83" i="1"/>
  <c r="J83" i="1"/>
  <c r="I68" i="1"/>
  <c r="J68" i="1"/>
  <c r="I60" i="1"/>
  <c r="E60" i="1" s="1"/>
  <c r="J60" i="1"/>
  <c r="I57" i="1"/>
  <c r="J57" i="1"/>
  <c r="I49" i="1"/>
  <c r="E49" i="1" s="1"/>
  <c r="J49" i="1"/>
  <c r="I46" i="1"/>
  <c r="J46" i="1"/>
  <c r="I32" i="1"/>
  <c r="J32" i="1"/>
  <c r="A534" i="1"/>
  <c r="A519" i="1"/>
  <c r="A492" i="1"/>
  <c r="A712" i="1"/>
  <c r="I885" i="1"/>
  <c r="E885" i="1" s="1"/>
  <c r="J885" i="1"/>
  <c r="I877" i="1"/>
  <c r="J877" i="1"/>
  <c r="I869" i="1"/>
  <c r="J869" i="1"/>
  <c r="I861" i="1"/>
  <c r="J861" i="1"/>
  <c r="I848" i="1"/>
  <c r="J848" i="1"/>
  <c r="I832" i="1"/>
  <c r="J832" i="1"/>
  <c r="I824" i="1"/>
  <c r="J824" i="1"/>
  <c r="I819" i="1"/>
  <c r="J819" i="1"/>
  <c r="I811" i="1"/>
  <c r="E811" i="1" s="1"/>
  <c r="J811" i="1"/>
  <c r="I806" i="1"/>
  <c r="J806" i="1"/>
  <c r="I798" i="1"/>
  <c r="J798" i="1"/>
  <c r="I793" i="1"/>
  <c r="J793" i="1"/>
  <c r="I785" i="1"/>
  <c r="J785" i="1"/>
  <c r="I777" i="1"/>
  <c r="J777" i="1"/>
  <c r="I769" i="1"/>
  <c r="J769" i="1"/>
  <c r="I761" i="1"/>
  <c r="J761" i="1"/>
  <c r="I753" i="1"/>
  <c r="J753" i="1"/>
  <c r="I745" i="1"/>
  <c r="J745" i="1"/>
  <c r="I737" i="1"/>
  <c r="J737" i="1"/>
  <c r="I729" i="1"/>
  <c r="J729" i="1"/>
  <c r="I721" i="1"/>
  <c r="E721" i="1" s="1"/>
  <c r="J721" i="1"/>
  <c r="I713" i="1"/>
  <c r="J713" i="1"/>
  <c r="I705" i="1"/>
  <c r="J705" i="1"/>
  <c r="I697" i="1"/>
  <c r="E697" i="1" s="1"/>
  <c r="J697" i="1"/>
  <c r="I689" i="1"/>
  <c r="J689" i="1"/>
  <c r="I681" i="1"/>
  <c r="J681" i="1"/>
  <c r="I671" i="1"/>
  <c r="J671" i="1"/>
  <c r="I663" i="1"/>
  <c r="J663" i="1"/>
  <c r="I658" i="1"/>
  <c r="E658" i="1" s="1"/>
  <c r="J658" i="1"/>
  <c r="I650" i="1"/>
  <c r="J650" i="1"/>
  <c r="I637" i="1"/>
  <c r="J637" i="1"/>
  <c r="I629" i="1"/>
  <c r="E629" i="1" s="1"/>
  <c r="J629" i="1"/>
  <c r="I621" i="1"/>
  <c r="J621" i="1"/>
  <c r="I613" i="1"/>
  <c r="J613" i="1"/>
  <c r="I611" i="1"/>
  <c r="J611" i="1"/>
  <c r="I609" i="1"/>
  <c r="J609" i="1"/>
  <c r="I593" i="1"/>
  <c r="J593" i="1"/>
  <c r="I591" i="1"/>
  <c r="J591" i="1"/>
  <c r="I583" i="1"/>
  <c r="J583" i="1"/>
  <c r="I575" i="1"/>
  <c r="J575" i="1"/>
  <c r="I567" i="1"/>
  <c r="J567" i="1"/>
  <c r="I559" i="1"/>
  <c r="J559" i="1"/>
  <c r="I546" i="1"/>
  <c r="J546" i="1"/>
  <c r="I538" i="1"/>
  <c r="J538" i="1"/>
  <c r="I522" i="1"/>
  <c r="J522" i="1"/>
  <c r="I518" i="1"/>
  <c r="E518" i="1" s="1"/>
  <c r="J518" i="1"/>
  <c r="I513" i="1"/>
  <c r="J513" i="1"/>
  <c r="I511" i="1"/>
  <c r="J511" i="1"/>
  <c r="I509" i="1"/>
  <c r="J509" i="1"/>
  <c r="I507" i="1"/>
  <c r="J507" i="1"/>
  <c r="I502" i="1"/>
  <c r="J502" i="1"/>
  <c r="I494" i="1"/>
  <c r="J494" i="1"/>
  <c r="I486" i="1"/>
  <c r="J486" i="1"/>
  <c r="I469" i="1"/>
  <c r="J469" i="1"/>
  <c r="I462" i="1"/>
  <c r="E462" i="1" s="1"/>
  <c r="J462" i="1"/>
  <c r="I454" i="1"/>
  <c r="J454" i="1"/>
  <c r="I446" i="1"/>
  <c r="E446" i="1" s="1"/>
  <c r="J446" i="1"/>
  <c r="I438" i="1"/>
  <c r="J438" i="1"/>
  <c r="I413" i="1"/>
  <c r="J413" i="1"/>
  <c r="I411" i="1"/>
  <c r="J411" i="1"/>
  <c r="I409" i="1"/>
  <c r="J409" i="1"/>
  <c r="I407" i="1"/>
  <c r="J407" i="1"/>
  <c r="I405" i="1"/>
  <c r="J405" i="1"/>
  <c r="I403" i="1"/>
  <c r="J403" i="1"/>
  <c r="I401" i="1"/>
  <c r="J401" i="1"/>
  <c r="I399" i="1"/>
  <c r="E399" i="1" s="1"/>
  <c r="J399" i="1"/>
  <c r="I396" i="1"/>
  <c r="J396" i="1"/>
  <c r="I394" i="1"/>
  <c r="J394" i="1"/>
  <c r="I389" i="1"/>
  <c r="J389" i="1"/>
  <c r="I383" i="1"/>
  <c r="E383" i="1" s="1"/>
  <c r="J383" i="1"/>
  <c r="I375" i="1"/>
  <c r="J375" i="1"/>
  <c r="I364" i="1"/>
  <c r="J364" i="1"/>
  <c r="I360" i="1"/>
  <c r="J360" i="1"/>
  <c r="I356" i="1"/>
  <c r="E356" i="1" s="1"/>
  <c r="J356" i="1"/>
  <c r="I348" i="1"/>
  <c r="J348" i="1"/>
  <c r="I344" i="1"/>
  <c r="E344" i="1" s="1"/>
  <c r="J344" i="1"/>
  <c r="I341" i="1"/>
  <c r="J341" i="1"/>
  <c r="I333" i="1"/>
  <c r="J333" i="1"/>
  <c r="I327" i="1"/>
  <c r="J327" i="1"/>
  <c r="I319" i="1"/>
  <c r="E319" i="1" s="1"/>
  <c r="J319" i="1"/>
  <c r="I316" i="1"/>
  <c r="J316" i="1"/>
  <c r="I308" i="1"/>
  <c r="J308" i="1"/>
  <c r="I297" i="1"/>
  <c r="J297" i="1"/>
  <c r="I284" i="1"/>
  <c r="J284" i="1"/>
  <c r="I280" i="1"/>
  <c r="J280" i="1"/>
  <c r="I276" i="1"/>
  <c r="E276" i="1" s="1"/>
  <c r="J276" i="1"/>
  <c r="I273" i="1"/>
  <c r="J273" i="1"/>
  <c r="I265" i="1"/>
  <c r="E265" i="1" s="1"/>
  <c r="J265" i="1"/>
  <c r="I256" i="1"/>
  <c r="J256" i="1"/>
  <c r="I250" i="1"/>
  <c r="E250" i="1" s="1"/>
  <c r="J250" i="1"/>
  <c r="I242" i="1"/>
  <c r="J242" i="1"/>
  <c r="I239" i="1"/>
  <c r="E239" i="1" s="1"/>
  <c r="J239" i="1"/>
  <c r="I233" i="1"/>
  <c r="J233" i="1"/>
  <c r="I225" i="1"/>
  <c r="E225" i="1" s="1"/>
  <c r="J225" i="1"/>
  <c r="I222" i="1"/>
  <c r="J222" i="1"/>
  <c r="I219" i="1"/>
  <c r="J219" i="1"/>
  <c r="I215" i="1"/>
  <c r="J215" i="1"/>
  <c r="I211" i="1"/>
  <c r="E211" i="1" s="1"/>
  <c r="J211" i="1"/>
  <c r="I203" i="1"/>
  <c r="J203" i="1"/>
  <c r="I196" i="1"/>
  <c r="E196" i="1" s="1"/>
  <c r="J196" i="1"/>
  <c r="I188" i="1"/>
  <c r="J188" i="1"/>
  <c r="I182" i="1"/>
  <c r="E182" i="1" s="1"/>
  <c r="J182" i="1"/>
  <c r="I174" i="1"/>
  <c r="J174" i="1"/>
  <c r="I171" i="1"/>
  <c r="E171" i="1" s="1"/>
  <c r="J171" i="1"/>
  <c r="I158" i="1"/>
  <c r="J158" i="1"/>
  <c r="I150" i="1"/>
  <c r="J150" i="1"/>
  <c r="I142" i="1"/>
  <c r="J142" i="1"/>
  <c r="I136" i="1"/>
  <c r="E136" i="1" s="1"/>
  <c r="J136" i="1"/>
  <c r="I130" i="1"/>
  <c r="J130" i="1"/>
  <c r="I126" i="1"/>
  <c r="J126" i="1"/>
  <c r="I120" i="1"/>
  <c r="J120" i="1"/>
  <c r="I109" i="1"/>
  <c r="J109" i="1"/>
  <c r="I98" i="1"/>
  <c r="J98" i="1"/>
  <c r="I94" i="1"/>
  <c r="J94" i="1"/>
  <c r="I90" i="1"/>
  <c r="J90" i="1"/>
  <c r="I86" i="1"/>
  <c r="E86" i="1" s="1"/>
  <c r="J86" i="1"/>
  <c r="I78" i="1"/>
  <c r="J78" i="1"/>
  <c r="I75" i="1"/>
  <c r="J75" i="1"/>
  <c r="I71" i="1"/>
  <c r="E71" i="1" s="1"/>
  <c r="J71" i="1"/>
  <c r="I63" i="1"/>
  <c r="J63" i="1"/>
  <c r="I52" i="1"/>
  <c r="J52" i="1"/>
  <c r="I38" i="1"/>
  <c r="J38" i="1"/>
  <c r="I35" i="1"/>
  <c r="E35" i="1" s="1"/>
  <c r="J35" i="1"/>
  <c r="I27" i="1"/>
  <c r="J27" i="1"/>
  <c r="A447" i="1"/>
  <c r="A824" i="1"/>
  <c r="A463" i="1"/>
  <c r="A671" i="1"/>
  <c r="A478" i="1"/>
  <c r="E478" i="1" s="1"/>
  <c r="A620" i="1"/>
  <c r="C525" i="1"/>
  <c r="C1011" i="1"/>
  <c r="C851" i="1"/>
  <c r="C485" i="1"/>
  <c r="C419" i="1"/>
  <c r="C795" i="1"/>
  <c r="C1027" i="1"/>
  <c r="C573" i="1"/>
  <c r="C541" i="1"/>
  <c r="C557" i="1"/>
  <c r="C453" i="1"/>
  <c r="C597" i="1"/>
  <c r="C1067" i="1"/>
  <c r="C766" i="1"/>
  <c r="C1091" i="1"/>
  <c r="C1051" i="1"/>
  <c r="C501" i="1"/>
  <c r="C613" i="1"/>
  <c r="C587" i="1"/>
  <c r="C827" i="1"/>
  <c r="C987" i="1"/>
  <c r="C859" i="1"/>
  <c r="A227" i="1"/>
  <c r="A400" i="1"/>
  <c r="A372" i="1"/>
  <c r="E372" i="1" s="1"/>
  <c r="A115" i="1"/>
  <c r="A242" i="1"/>
  <c r="A320" i="1"/>
  <c r="A12" i="1"/>
  <c r="A267" i="1"/>
  <c r="E267" i="1" s="1"/>
  <c r="A307" i="1"/>
  <c r="E307" i="1" s="1"/>
  <c r="A157" i="1"/>
  <c r="E157" i="1" s="1"/>
  <c r="A294" i="1"/>
  <c r="A62" i="1"/>
  <c r="A50" i="1"/>
  <c r="E50" i="1" s="1"/>
  <c r="C14" i="1"/>
  <c r="C25" i="1"/>
  <c r="C38" i="1"/>
  <c r="AS23" i="1"/>
  <c r="AR23" i="1"/>
  <c r="AQ23" i="1"/>
  <c r="AX550" i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AZ552" i="1"/>
  <c r="N552" i="1" s="1"/>
  <c r="AV850" i="1"/>
  <c r="AV849" i="1"/>
  <c r="AV848" i="1"/>
  <c r="AV847" i="1"/>
  <c r="AZ837" i="1"/>
  <c r="N837" i="1" s="1"/>
  <c r="E4" i="8"/>
  <c r="AS836" i="1"/>
  <c r="AR836" i="1"/>
  <c r="AQ836" i="1"/>
  <c r="BA592" i="1"/>
  <c r="AZ592" i="1"/>
  <c r="N592" i="1" s="1"/>
  <c r="AZ671" i="1"/>
  <c r="N671" i="1" s="1"/>
  <c r="AZ609" i="1"/>
  <c r="N609" i="1" s="1"/>
  <c r="AY671" i="1"/>
  <c r="M671" i="1" s="1"/>
  <c r="AZ417" i="1"/>
  <c r="AZ399" i="1"/>
  <c r="N399" i="1" s="1"/>
  <c r="BA385" i="1"/>
  <c r="AZ385" i="1"/>
  <c r="N385" i="1" s="1"/>
  <c r="AY385" i="1"/>
  <c r="M385" i="1" s="1"/>
  <c r="AZ463" i="1"/>
  <c r="N463" i="1" s="1"/>
  <c r="AY464" i="1"/>
  <c r="M464" i="1" s="1"/>
  <c r="AZ158" i="1"/>
  <c r="N158" i="1" s="1"/>
  <c r="BA158" i="1"/>
  <c r="AZ521" i="1"/>
  <c r="N521" i="1" s="1"/>
  <c r="AY184" i="1"/>
  <c r="M184" i="1" s="1"/>
  <c r="AZ1079" i="1"/>
  <c r="N1079" i="1" s="1"/>
  <c r="AY1097" i="1"/>
  <c r="M1097" i="1" s="1"/>
  <c r="AY1065" i="1"/>
  <c r="M1065" i="1" s="1"/>
  <c r="AY659" i="1"/>
  <c r="M659" i="1" s="1"/>
  <c r="AY644" i="1"/>
  <c r="M644" i="1" s="1"/>
  <c r="AY519" i="1"/>
  <c r="M519" i="1" s="1"/>
  <c r="AY506" i="1"/>
  <c r="M506" i="1" s="1"/>
  <c r="AZ479" i="1"/>
  <c r="N479" i="1" s="1"/>
  <c r="BA853" i="1"/>
  <c r="BA823" i="1"/>
  <c r="BA797" i="1"/>
  <c r="BA810" i="1"/>
  <c r="B16" i="2"/>
  <c r="AK905" i="1"/>
  <c r="AK930" i="1"/>
  <c r="E12" i="1" l="1"/>
  <c r="E242" i="1"/>
  <c r="E447" i="1"/>
  <c r="E534" i="1"/>
  <c r="E492" i="1"/>
  <c r="E631" i="1"/>
  <c r="E712" i="1"/>
  <c r="E566" i="1"/>
  <c r="E463" i="1"/>
  <c r="E741" i="1"/>
  <c r="E699" i="1"/>
  <c r="E320" i="1"/>
  <c r="E620" i="1"/>
  <c r="E724" i="1"/>
  <c r="E772" i="1"/>
  <c r="E854" i="1"/>
  <c r="E837" i="1"/>
  <c r="E227" i="1"/>
  <c r="E62" i="1"/>
  <c r="E115" i="1"/>
  <c r="E812" i="1"/>
  <c r="E671" i="1"/>
  <c r="E400" i="1"/>
  <c r="E824" i="1"/>
  <c r="E519" i="1"/>
  <c r="E507" i="1"/>
  <c r="E591" i="1"/>
  <c r="C899" i="1"/>
  <c r="E898" i="1"/>
  <c r="E138" i="1"/>
  <c r="A139" i="1"/>
  <c r="A1007" i="1"/>
  <c r="E1006" i="1"/>
  <c r="C912" i="1"/>
  <c r="E911" i="1"/>
  <c r="A346" i="1"/>
  <c r="E345" i="1"/>
  <c r="A1066" i="1"/>
  <c r="E1065" i="1"/>
  <c r="A74" i="1"/>
  <c r="E73" i="1"/>
  <c r="A1049" i="1"/>
  <c r="E1048" i="1"/>
  <c r="E698" i="1"/>
  <c r="A185" i="1"/>
  <c r="E184" i="1"/>
  <c r="A992" i="1"/>
  <c r="E991" i="1"/>
  <c r="A980" i="1"/>
  <c r="E979" i="1"/>
  <c r="A255" i="1"/>
  <c r="E254" i="1"/>
  <c r="E660" i="1"/>
  <c r="E798" i="1"/>
  <c r="C887" i="1"/>
  <c r="E886" i="1"/>
  <c r="A25" i="1"/>
  <c r="E24" i="1"/>
  <c r="A1079" i="1"/>
  <c r="E1078" i="1"/>
  <c r="C937" i="1"/>
  <c r="E936" i="1"/>
  <c r="E332" i="1"/>
  <c r="A333" i="1"/>
  <c r="A208" i="1"/>
  <c r="A214" i="1"/>
  <c r="E213" i="1"/>
  <c r="E294" i="1"/>
  <c r="E580" i="1"/>
  <c r="A610" i="1"/>
  <c r="E610" i="1" s="1"/>
  <c r="E609" i="1"/>
  <c r="E684" i="1"/>
  <c r="E757" i="1"/>
  <c r="E551" i="1"/>
  <c r="A1036" i="1"/>
  <c r="E1035" i="1"/>
  <c r="A386" i="1"/>
  <c r="E385" i="1"/>
  <c r="C924" i="1"/>
  <c r="E923" i="1"/>
  <c r="A127" i="1"/>
  <c r="E126" i="1"/>
  <c r="E172" i="1"/>
  <c r="A173" i="1"/>
  <c r="A280" i="1"/>
  <c r="E279" i="1"/>
  <c r="A89" i="1"/>
  <c r="E88" i="1"/>
  <c r="E435" i="1"/>
  <c r="A38" i="1"/>
  <c r="E37" i="1"/>
  <c r="C202" i="1"/>
  <c r="E201" i="1"/>
  <c r="A949" i="1"/>
  <c r="E948" i="1"/>
  <c r="A964" i="1"/>
  <c r="E963" i="1"/>
  <c r="E506" i="1"/>
  <c r="A1098" i="1"/>
  <c r="E1097" i="1"/>
  <c r="A359" i="1"/>
  <c r="E358" i="1"/>
  <c r="A104" i="1"/>
  <c r="E103" i="1"/>
  <c r="A1019" i="1"/>
  <c r="E1018" i="1"/>
  <c r="C868" i="1"/>
  <c r="E867" i="1"/>
  <c r="E434" i="1"/>
  <c r="AZ418" i="1"/>
  <c r="N417" i="1"/>
  <c r="A436" i="1"/>
  <c r="E436" i="1" s="1"/>
  <c r="A758" i="1"/>
  <c r="E758" i="1" s="1"/>
  <c r="A661" i="1"/>
  <c r="E661" i="1" s="1"/>
  <c r="A825" i="1"/>
  <c r="E825" i="1" s="1"/>
  <c r="A493" i="1"/>
  <c r="E493" i="1" s="1"/>
  <c r="A813" i="1"/>
  <c r="E813" i="1" s="1"/>
  <c r="A621" i="1"/>
  <c r="E621" i="1" s="1"/>
  <c r="A742" i="1"/>
  <c r="E742" i="1" s="1"/>
  <c r="A773" i="1"/>
  <c r="E773" i="1" s="1"/>
  <c r="A567" i="1"/>
  <c r="E567" i="1" s="1"/>
  <c r="A552" i="1"/>
  <c r="E552" i="1" s="1"/>
  <c r="A713" i="1"/>
  <c r="A448" i="1"/>
  <c r="E448" i="1" s="1"/>
  <c r="A520" i="1"/>
  <c r="E520" i="1" s="1"/>
  <c r="A581" i="1"/>
  <c r="E581" i="1" s="1"/>
  <c r="A855" i="1"/>
  <c r="E855" i="1" s="1"/>
  <c r="A685" i="1"/>
  <c r="E685" i="1" s="1"/>
  <c r="A592" i="1"/>
  <c r="E592" i="1" s="1"/>
  <c r="A464" i="1"/>
  <c r="E464" i="1" s="1"/>
  <c r="A535" i="1"/>
  <c r="E535" i="1" s="1"/>
  <c r="A785" i="1"/>
  <c r="A508" i="1"/>
  <c r="E508" i="1" s="1"/>
  <c r="A725" i="1"/>
  <c r="E725" i="1" s="1"/>
  <c r="A645" i="1"/>
  <c r="E645" i="1" s="1"/>
  <c r="A632" i="1"/>
  <c r="E632" i="1" s="1"/>
  <c r="A700" i="1"/>
  <c r="E700" i="1" s="1"/>
  <c r="A799" i="1"/>
  <c r="E799" i="1" s="1"/>
  <c r="A479" i="1"/>
  <c r="E479" i="1" s="1"/>
  <c r="A672" i="1"/>
  <c r="E672" i="1" s="1"/>
  <c r="A418" i="1"/>
  <c r="E418" i="1" s="1"/>
  <c r="A838" i="1"/>
  <c r="E838" i="1" s="1"/>
  <c r="C828" i="1"/>
  <c r="C1052" i="1"/>
  <c r="C1068" i="1"/>
  <c r="C542" i="1"/>
  <c r="C598" i="1"/>
  <c r="C860" i="1"/>
  <c r="C588" i="1"/>
  <c r="C420" i="1"/>
  <c r="C1012" i="1"/>
  <c r="C988" i="1"/>
  <c r="C614" i="1"/>
  <c r="C1092" i="1"/>
  <c r="C454" i="1"/>
  <c r="C574" i="1"/>
  <c r="C486" i="1"/>
  <c r="C502" i="1"/>
  <c r="C767" i="1"/>
  <c r="C558" i="1"/>
  <c r="C1028" i="1"/>
  <c r="C526" i="1"/>
  <c r="AZ464" i="1"/>
  <c r="AZ400" i="1"/>
  <c r="N400" i="1" s="1"/>
  <c r="A295" i="1"/>
  <c r="E295" i="1" s="1"/>
  <c r="A268" i="1"/>
  <c r="E268" i="1" s="1"/>
  <c r="AY465" i="1"/>
  <c r="M465" i="1" s="1"/>
  <c r="A243" i="1"/>
  <c r="E243" i="1" s="1"/>
  <c r="A373" i="1"/>
  <c r="E373" i="1" s="1"/>
  <c r="AZ386" i="1"/>
  <c r="N386" i="1" s="1"/>
  <c r="AZ1080" i="1"/>
  <c r="N1080" i="1" s="1"/>
  <c r="AY507" i="1"/>
  <c r="M507" i="1" s="1"/>
  <c r="AY185" i="1"/>
  <c r="M185" i="1" s="1"/>
  <c r="A13" i="1"/>
  <c r="E13" i="1" s="1"/>
  <c r="A401" i="1"/>
  <c r="E401" i="1" s="1"/>
  <c r="A158" i="1"/>
  <c r="E158" i="1" s="1"/>
  <c r="AY520" i="1"/>
  <c r="M520" i="1" s="1"/>
  <c r="AZ522" i="1"/>
  <c r="N522" i="1" s="1"/>
  <c r="AZ610" i="1"/>
  <c r="N610" i="1" s="1"/>
  <c r="A63" i="1"/>
  <c r="E63" i="1" s="1"/>
  <c r="A308" i="1"/>
  <c r="E308" i="1" s="1"/>
  <c r="A116" i="1"/>
  <c r="E116" i="1" s="1"/>
  <c r="A321" i="1"/>
  <c r="E321" i="1" s="1"/>
  <c r="BA593" i="1"/>
  <c r="BA159" i="1"/>
  <c r="AY386" i="1"/>
  <c r="M386" i="1" s="1"/>
  <c r="AZ672" i="1"/>
  <c r="N672" i="1" s="1"/>
  <c r="AZ838" i="1"/>
  <c r="N838" i="1" s="1"/>
  <c r="A228" i="1"/>
  <c r="E228" i="1" s="1"/>
  <c r="AZ159" i="1"/>
  <c r="N159" i="1" s="1"/>
  <c r="BA386" i="1"/>
  <c r="AZ593" i="1"/>
  <c r="N593" i="1" s="1"/>
  <c r="A51" i="1"/>
  <c r="E51" i="1" s="1"/>
  <c r="C26" i="1"/>
  <c r="C15" i="1"/>
  <c r="C39" i="1"/>
  <c r="A611" i="1" l="1"/>
  <c r="E611" i="1" s="1"/>
  <c r="A786" i="1"/>
  <c r="E786" i="1" s="1"/>
  <c r="E785" i="1"/>
  <c r="A965" i="1"/>
  <c r="E964" i="1"/>
  <c r="C203" i="1"/>
  <c r="E202" i="1"/>
  <c r="E173" i="1"/>
  <c r="A174" i="1"/>
  <c r="A209" i="1"/>
  <c r="E937" i="1"/>
  <c r="C938" i="1"/>
  <c r="A26" i="1"/>
  <c r="E25" i="1"/>
  <c r="A981" i="1"/>
  <c r="E980" i="1"/>
  <c r="A186" i="1"/>
  <c r="E185" i="1"/>
  <c r="A714" i="1"/>
  <c r="E714" i="1" s="1"/>
  <c r="E713" i="1"/>
  <c r="C869" i="1"/>
  <c r="E868" i="1"/>
  <c r="A105" i="1"/>
  <c r="E104" i="1"/>
  <c r="A1099" i="1"/>
  <c r="E1098" i="1"/>
  <c r="A90" i="1"/>
  <c r="E89" i="1"/>
  <c r="C925" i="1"/>
  <c r="E924" i="1"/>
  <c r="E1036" i="1"/>
  <c r="A1037" i="1"/>
  <c r="E333" i="1"/>
  <c r="A334" i="1"/>
  <c r="A75" i="1"/>
  <c r="E74" i="1"/>
  <c r="A347" i="1"/>
  <c r="E346" i="1"/>
  <c r="A1008" i="1"/>
  <c r="E1007" i="1"/>
  <c r="C900" i="1"/>
  <c r="E899" i="1"/>
  <c r="A950" i="1"/>
  <c r="E949" i="1"/>
  <c r="A39" i="1"/>
  <c r="E38" i="1"/>
  <c r="A215" i="1"/>
  <c r="E214" i="1"/>
  <c r="A1080" i="1"/>
  <c r="E1079" i="1"/>
  <c r="C888" i="1"/>
  <c r="E887" i="1"/>
  <c r="A256" i="1"/>
  <c r="E255" i="1"/>
  <c r="A993" i="1"/>
  <c r="E992" i="1"/>
  <c r="E139" i="1"/>
  <c r="A140" i="1"/>
  <c r="A1020" i="1"/>
  <c r="E1019" i="1"/>
  <c r="A360" i="1"/>
  <c r="E359" i="1"/>
  <c r="A281" i="1"/>
  <c r="E280" i="1"/>
  <c r="A128" i="1"/>
  <c r="E127" i="1"/>
  <c r="A387" i="1"/>
  <c r="E386" i="1"/>
  <c r="A1050" i="1"/>
  <c r="E1049" i="1"/>
  <c r="A1067" i="1"/>
  <c r="E1066" i="1"/>
  <c r="C913" i="1"/>
  <c r="E912" i="1"/>
  <c r="AZ401" i="1"/>
  <c r="N401" i="1" s="1"/>
  <c r="AZ465" i="1"/>
  <c r="N465" i="1" s="1"/>
  <c r="N464" i="1"/>
  <c r="AZ419" i="1"/>
  <c r="N418" i="1"/>
  <c r="A839" i="1"/>
  <c r="E839" i="1" s="1"/>
  <c r="A633" i="1"/>
  <c r="E633" i="1" s="1"/>
  <c r="A494" i="1"/>
  <c r="E494" i="1" s="1"/>
  <c r="A622" i="1"/>
  <c r="E622" i="1" s="1"/>
  <c r="A419" i="1"/>
  <c r="E419" i="1" s="1"/>
  <c r="A646" i="1"/>
  <c r="E646" i="1" s="1"/>
  <c r="A726" i="1"/>
  <c r="E726" i="1" s="1"/>
  <c r="A593" i="1"/>
  <c r="E593" i="1" s="1"/>
  <c r="A800" i="1"/>
  <c r="E800" i="1" s="1"/>
  <c r="A774" i="1"/>
  <c r="E774" i="1" s="1"/>
  <c r="A826" i="1"/>
  <c r="E826" i="1" s="1"/>
  <c r="A759" i="1"/>
  <c r="E759" i="1" s="1"/>
  <c r="A662" i="1"/>
  <c r="E662" i="1" s="1"/>
  <c r="A612" i="1"/>
  <c r="E612" i="1" s="1"/>
  <c r="A536" i="1"/>
  <c r="E536" i="1" s="1"/>
  <c r="A686" i="1"/>
  <c r="E686" i="1" s="1"/>
  <c r="A521" i="1"/>
  <c r="E521" i="1" s="1"/>
  <c r="A701" i="1"/>
  <c r="E701" i="1" s="1"/>
  <c r="A814" i="1"/>
  <c r="E814" i="1" s="1"/>
  <c r="A449" i="1"/>
  <c r="E449" i="1" s="1"/>
  <c r="A787" i="1"/>
  <c r="E787" i="1" s="1"/>
  <c r="A437" i="1"/>
  <c r="E437" i="1" s="1"/>
  <c r="A509" i="1"/>
  <c r="E509" i="1" s="1"/>
  <c r="A856" i="1"/>
  <c r="E856" i="1" s="1"/>
  <c r="A480" i="1"/>
  <c r="E480" i="1" s="1"/>
  <c r="A568" i="1"/>
  <c r="E568" i="1" s="1"/>
  <c r="A582" i="1"/>
  <c r="E582" i="1" s="1"/>
  <c r="A673" i="1"/>
  <c r="E673" i="1" s="1"/>
  <c r="A465" i="1"/>
  <c r="E465" i="1" s="1"/>
  <c r="A553" i="1"/>
  <c r="E553" i="1" s="1"/>
  <c r="A743" i="1"/>
  <c r="E743" i="1" s="1"/>
  <c r="C527" i="1"/>
  <c r="C768" i="1"/>
  <c r="C487" i="1"/>
  <c r="C615" i="1"/>
  <c r="C543" i="1"/>
  <c r="C1069" i="1"/>
  <c r="C503" i="1"/>
  <c r="C575" i="1"/>
  <c r="C1029" i="1"/>
  <c r="C455" i="1"/>
  <c r="C1013" i="1"/>
  <c r="C861" i="1"/>
  <c r="C1053" i="1"/>
  <c r="C559" i="1"/>
  <c r="C1093" i="1"/>
  <c r="C421" i="1"/>
  <c r="C599" i="1"/>
  <c r="C829" i="1"/>
  <c r="BA387" i="1"/>
  <c r="AY387" i="1"/>
  <c r="M387" i="1" s="1"/>
  <c r="A117" i="1"/>
  <c r="E117" i="1" s="1"/>
  <c r="AZ523" i="1"/>
  <c r="N523" i="1" s="1"/>
  <c r="A159" i="1"/>
  <c r="E159" i="1" s="1"/>
  <c r="AY186" i="1"/>
  <c r="M186" i="1" s="1"/>
  <c r="AZ160" i="1"/>
  <c r="N160" i="1" s="1"/>
  <c r="AY521" i="1"/>
  <c r="M521" i="1" s="1"/>
  <c r="A402" i="1"/>
  <c r="E402" i="1" s="1"/>
  <c r="AY508" i="1"/>
  <c r="M508" i="1" s="1"/>
  <c r="A244" i="1"/>
  <c r="E244" i="1" s="1"/>
  <c r="BA160" i="1"/>
  <c r="A309" i="1"/>
  <c r="E309" i="1" s="1"/>
  <c r="AY466" i="1"/>
  <c r="M466" i="1" s="1"/>
  <c r="A229" i="1"/>
  <c r="E229" i="1" s="1"/>
  <c r="AZ1081" i="1"/>
  <c r="N1081" i="1" s="1"/>
  <c r="AZ387" i="1"/>
  <c r="N387" i="1" s="1"/>
  <c r="BA594" i="1"/>
  <c r="A64" i="1"/>
  <c r="E64" i="1" s="1"/>
  <c r="A269" i="1"/>
  <c r="E269" i="1" s="1"/>
  <c r="AZ839" i="1"/>
  <c r="N839" i="1" s="1"/>
  <c r="A14" i="1"/>
  <c r="E14" i="1" s="1"/>
  <c r="AZ594" i="1"/>
  <c r="N594" i="1" s="1"/>
  <c r="AZ673" i="1"/>
  <c r="N673" i="1" s="1"/>
  <c r="A322" i="1"/>
  <c r="E322" i="1" s="1"/>
  <c r="AZ611" i="1"/>
  <c r="N611" i="1" s="1"/>
  <c r="A374" i="1"/>
  <c r="E374" i="1" s="1"/>
  <c r="A296" i="1"/>
  <c r="E296" i="1" s="1"/>
  <c r="A52" i="1"/>
  <c r="E52" i="1" s="1"/>
  <c r="C40" i="1"/>
  <c r="C16" i="1"/>
  <c r="C27" i="1"/>
  <c r="AZ402" i="1" l="1"/>
  <c r="N402" i="1" s="1"/>
  <c r="AZ466" i="1"/>
  <c r="N466" i="1" s="1"/>
  <c r="A715" i="1"/>
  <c r="E715" i="1" s="1"/>
  <c r="A1038" i="1"/>
  <c r="E1037" i="1"/>
  <c r="E938" i="1"/>
  <c r="C939" i="1"/>
  <c r="E174" i="1"/>
  <c r="A175" i="1"/>
  <c r="A1068" i="1"/>
  <c r="E1067" i="1"/>
  <c r="A388" i="1"/>
  <c r="E387" i="1"/>
  <c r="A282" i="1"/>
  <c r="E281" i="1"/>
  <c r="A1021" i="1"/>
  <c r="E1020" i="1"/>
  <c r="A994" i="1"/>
  <c r="E993" i="1"/>
  <c r="C889" i="1"/>
  <c r="E888" i="1"/>
  <c r="A216" i="1"/>
  <c r="E215" i="1"/>
  <c r="E950" i="1"/>
  <c r="A951" i="1"/>
  <c r="A1009" i="1"/>
  <c r="E1008" i="1"/>
  <c r="A76" i="1"/>
  <c r="E75" i="1"/>
  <c r="A91" i="1"/>
  <c r="E90" i="1"/>
  <c r="A106" i="1"/>
  <c r="E105" i="1"/>
  <c r="A982" i="1"/>
  <c r="E981" i="1"/>
  <c r="A966" i="1"/>
  <c r="E965" i="1"/>
  <c r="E140" i="1"/>
  <c r="A141" i="1"/>
  <c r="E334" i="1"/>
  <c r="A335" i="1"/>
  <c r="E913" i="1"/>
  <c r="C914" i="1"/>
  <c r="A1051" i="1"/>
  <c r="E1050" i="1"/>
  <c r="A129" i="1"/>
  <c r="E128" i="1"/>
  <c r="A361" i="1"/>
  <c r="E360" i="1"/>
  <c r="E256" i="1"/>
  <c r="A257" i="1"/>
  <c r="E1080" i="1"/>
  <c r="A1081" i="1"/>
  <c r="A40" i="1"/>
  <c r="E39" i="1"/>
  <c r="C901" i="1"/>
  <c r="E900" i="1"/>
  <c r="A348" i="1"/>
  <c r="E347" i="1"/>
  <c r="C926" i="1"/>
  <c r="E925" i="1"/>
  <c r="A1100" i="1"/>
  <c r="E1099" i="1"/>
  <c r="C870" i="1"/>
  <c r="E869" i="1"/>
  <c r="A187" i="1"/>
  <c r="E186" i="1"/>
  <c r="A27" i="1"/>
  <c r="E26" i="1"/>
  <c r="A210" i="1"/>
  <c r="C204" i="1"/>
  <c r="E203" i="1"/>
  <c r="AZ420" i="1"/>
  <c r="N419" i="1"/>
  <c r="A702" i="1"/>
  <c r="E702" i="1" s="1"/>
  <c r="A613" i="1"/>
  <c r="E613" i="1" s="1"/>
  <c r="A450" i="1"/>
  <c r="E450" i="1" s="1"/>
  <c r="A775" i="1"/>
  <c r="E775" i="1" s="1"/>
  <c r="A674" i="1"/>
  <c r="E674" i="1" s="1"/>
  <c r="A857" i="1"/>
  <c r="E857" i="1" s="1"/>
  <c r="A594" i="1"/>
  <c r="E594" i="1" s="1"/>
  <c r="A623" i="1"/>
  <c r="E623" i="1" s="1"/>
  <c r="A744" i="1"/>
  <c r="E744" i="1" s="1"/>
  <c r="A583" i="1"/>
  <c r="E583" i="1" s="1"/>
  <c r="A510" i="1"/>
  <c r="E510" i="1" s="1"/>
  <c r="A522" i="1"/>
  <c r="E522" i="1" s="1"/>
  <c r="A663" i="1"/>
  <c r="E663" i="1" s="1"/>
  <c r="A727" i="1"/>
  <c r="E727" i="1" s="1"/>
  <c r="A495" i="1"/>
  <c r="E495" i="1" s="1"/>
  <c r="A815" i="1"/>
  <c r="E815" i="1" s="1"/>
  <c r="A716" i="1"/>
  <c r="E716" i="1" s="1"/>
  <c r="A788" i="1"/>
  <c r="E788" i="1" s="1"/>
  <c r="A827" i="1"/>
  <c r="E827" i="1" s="1"/>
  <c r="A554" i="1"/>
  <c r="E554" i="1" s="1"/>
  <c r="A569" i="1"/>
  <c r="E569" i="1" s="1"/>
  <c r="A687" i="1"/>
  <c r="E687" i="1" s="1"/>
  <c r="A647" i="1"/>
  <c r="E647" i="1" s="1"/>
  <c r="A634" i="1"/>
  <c r="E634" i="1" s="1"/>
  <c r="A438" i="1"/>
  <c r="E438" i="1" s="1"/>
  <c r="A760" i="1"/>
  <c r="E760" i="1" s="1"/>
  <c r="A801" i="1"/>
  <c r="E801" i="1" s="1"/>
  <c r="A466" i="1"/>
  <c r="E466" i="1" s="1"/>
  <c r="A481" i="1"/>
  <c r="E481" i="1" s="1"/>
  <c r="A537" i="1"/>
  <c r="E537" i="1" s="1"/>
  <c r="A420" i="1"/>
  <c r="E420" i="1" s="1"/>
  <c r="A840" i="1"/>
  <c r="E840" i="1" s="1"/>
  <c r="C600" i="1"/>
  <c r="C560" i="1"/>
  <c r="C456" i="1"/>
  <c r="C616" i="1"/>
  <c r="C422" i="1"/>
  <c r="C1054" i="1"/>
  <c r="C1030" i="1"/>
  <c r="C1070" i="1"/>
  <c r="C488" i="1"/>
  <c r="C830" i="1"/>
  <c r="C1014" i="1"/>
  <c r="C528" i="1"/>
  <c r="C1094" i="1"/>
  <c r="C862" i="1"/>
  <c r="C576" i="1"/>
  <c r="C544" i="1"/>
  <c r="C769" i="1"/>
  <c r="AZ612" i="1"/>
  <c r="N612" i="1" s="1"/>
  <c r="A15" i="1"/>
  <c r="E15" i="1" s="1"/>
  <c r="AZ388" i="1"/>
  <c r="N388" i="1" s="1"/>
  <c r="A230" i="1"/>
  <c r="E230" i="1" s="1"/>
  <c r="A245" i="1"/>
  <c r="E245" i="1" s="1"/>
  <c r="AY522" i="1"/>
  <c r="M522" i="1" s="1"/>
  <c r="AZ524" i="1"/>
  <c r="N524" i="1" s="1"/>
  <c r="AZ403" i="1"/>
  <c r="N403" i="1" s="1"/>
  <c r="AZ161" i="1"/>
  <c r="N161" i="1" s="1"/>
  <c r="A323" i="1"/>
  <c r="E323" i="1" s="1"/>
  <c r="A65" i="1"/>
  <c r="E65" i="1" s="1"/>
  <c r="AZ1082" i="1"/>
  <c r="N1082" i="1" s="1"/>
  <c r="AY467" i="1"/>
  <c r="M467" i="1" s="1"/>
  <c r="A118" i="1"/>
  <c r="E118" i="1" s="1"/>
  <c r="A297" i="1"/>
  <c r="E297" i="1" s="1"/>
  <c r="AZ674" i="1"/>
  <c r="N674" i="1" s="1"/>
  <c r="AZ840" i="1"/>
  <c r="N840" i="1" s="1"/>
  <c r="BA595" i="1"/>
  <c r="A310" i="1"/>
  <c r="E310" i="1" s="1"/>
  <c r="AY509" i="1"/>
  <c r="M509" i="1" s="1"/>
  <c r="AY187" i="1"/>
  <c r="M187" i="1" s="1"/>
  <c r="AY388" i="1"/>
  <c r="M388" i="1" s="1"/>
  <c r="A375" i="1"/>
  <c r="E375" i="1" s="1"/>
  <c r="A53" i="1"/>
  <c r="E53" i="1" s="1"/>
  <c r="AZ595" i="1"/>
  <c r="N595" i="1" s="1"/>
  <c r="A270" i="1"/>
  <c r="E270" i="1" s="1"/>
  <c r="AZ467" i="1"/>
  <c r="N467" i="1" s="1"/>
  <c r="BA161" i="1"/>
  <c r="A403" i="1"/>
  <c r="E403" i="1" s="1"/>
  <c r="A160" i="1"/>
  <c r="E160" i="1" s="1"/>
  <c r="BA388" i="1"/>
  <c r="C28" i="1"/>
  <c r="C41" i="1"/>
  <c r="C17" i="1"/>
  <c r="E257" i="1" l="1"/>
  <c r="A258" i="1"/>
  <c r="E914" i="1"/>
  <c r="C915" i="1"/>
  <c r="E141" i="1"/>
  <c r="A142" i="1"/>
  <c r="E939" i="1"/>
  <c r="C940" i="1"/>
  <c r="A188" i="1"/>
  <c r="E187" i="1"/>
  <c r="A1101" i="1"/>
  <c r="E1100" i="1"/>
  <c r="E348" i="1"/>
  <c r="A349" i="1"/>
  <c r="A41" i="1"/>
  <c r="E40" i="1"/>
  <c r="A130" i="1"/>
  <c r="E129" i="1"/>
  <c r="A983" i="1"/>
  <c r="E982" i="1"/>
  <c r="A92" i="1"/>
  <c r="E91" i="1"/>
  <c r="A1010" i="1"/>
  <c r="E1009" i="1"/>
  <c r="A217" i="1"/>
  <c r="E216" i="1"/>
  <c r="E994" i="1"/>
  <c r="A995" i="1"/>
  <c r="A283" i="1"/>
  <c r="E282" i="1"/>
  <c r="A1069" i="1"/>
  <c r="E1068" i="1"/>
  <c r="A1082" i="1"/>
  <c r="E1081" i="1"/>
  <c r="E335" i="1"/>
  <c r="A336" i="1"/>
  <c r="A952" i="1"/>
  <c r="E951" i="1"/>
  <c r="E175" i="1"/>
  <c r="A176" i="1"/>
  <c r="C205" i="1"/>
  <c r="E204" i="1"/>
  <c r="A28" i="1"/>
  <c r="E27" i="1"/>
  <c r="C871" i="1"/>
  <c r="E870" i="1"/>
  <c r="C927" i="1"/>
  <c r="E926" i="1"/>
  <c r="C902" i="1"/>
  <c r="E901" i="1"/>
  <c r="A362" i="1"/>
  <c r="E361" i="1"/>
  <c r="A1052" i="1"/>
  <c r="E1051" i="1"/>
  <c r="E966" i="1"/>
  <c r="A967" i="1"/>
  <c r="A107" i="1"/>
  <c r="E106" i="1"/>
  <c r="E76" i="1"/>
  <c r="A77" i="1"/>
  <c r="C890" i="1"/>
  <c r="E889" i="1"/>
  <c r="A1022" i="1"/>
  <c r="E1021" i="1"/>
  <c r="A389" i="1"/>
  <c r="E388" i="1"/>
  <c r="A1039" i="1"/>
  <c r="E1038" i="1"/>
  <c r="AZ421" i="1"/>
  <c r="N420" i="1"/>
  <c r="A717" i="1"/>
  <c r="E717" i="1" s="1"/>
  <c r="A421" i="1"/>
  <c r="E421" i="1" s="1"/>
  <c r="A802" i="1"/>
  <c r="E802" i="1" s="1"/>
  <c r="A635" i="1"/>
  <c r="E635" i="1" s="1"/>
  <c r="A555" i="1"/>
  <c r="E555" i="1" s="1"/>
  <c r="A816" i="1"/>
  <c r="E816" i="1" s="1"/>
  <c r="A523" i="1"/>
  <c r="E523" i="1" s="1"/>
  <c r="A624" i="1"/>
  <c r="E624" i="1" s="1"/>
  <c r="A776" i="1"/>
  <c r="E776" i="1" s="1"/>
  <c r="A538" i="1"/>
  <c r="E538" i="1" s="1"/>
  <c r="A761" i="1"/>
  <c r="E761" i="1" s="1"/>
  <c r="A648" i="1"/>
  <c r="E648" i="1" s="1"/>
  <c r="A828" i="1"/>
  <c r="E828" i="1" s="1"/>
  <c r="A496" i="1"/>
  <c r="E496" i="1" s="1"/>
  <c r="A511" i="1"/>
  <c r="E511" i="1" s="1"/>
  <c r="A595" i="1"/>
  <c r="E595" i="1" s="1"/>
  <c r="A467" i="1"/>
  <c r="E467" i="1" s="1"/>
  <c r="A439" i="1"/>
  <c r="E439" i="1" s="1"/>
  <c r="A745" i="1"/>
  <c r="E745" i="1" s="1"/>
  <c r="A451" i="1"/>
  <c r="E451" i="1" s="1"/>
  <c r="A664" i="1"/>
  <c r="E664" i="1" s="1"/>
  <c r="A482" i="1"/>
  <c r="E482" i="1" s="1"/>
  <c r="A688" i="1"/>
  <c r="E688" i="1" s="1"/>
  <c r="A789" i="1"/>
  <c r="E789" i="1" s="1"/>
  <c r="A728" i="1"/>
  <c r="E728" i="1" s="1"/>
  <c r="A584" i="1"/>
  <c r="E584" i="1" s="1"/>
  <c r="A858" i="1"/>
  <c r="E858" i="1" s="1"/>
  <c r="A614" i="1"/>
  <c r="E614" i="1" s="1"/>
  <c r="A841" i="1"/>
  <c r="E841" i="1" s="1"/>
  <c r="A570" i="1"/>
  <c r="E570" i="1" s="1"/>
  <c r="A675" i="1"/>
  <c r="E675" i="1" s="1"/>
  <c r="A703" i="1"/>
  <c r="E703" i="1" s="1"/>
  <c r="C863" i="1"/>
  <c r="C1031" i="1"/>
  <c r="C831" i="1"/>
  <c r="C1055" i="1"/>
  <c r="C457" i="1"/>
  <c r="C545" i="1"/>
  <c r="C529" i="1"/>
  <c r="C489" i="1"/>
  <c r="C423" i="1"/>
  <c r="C561" i="1"/>
  <c r="C1015" i="1"/>
  <c r="C1071" i="1"/>
  <c r="C601" i="1"/>
  <c r="A311" i="1"/>
  <c r="E311" i="1" s="1"/>
  <c r="A404" i="1"/>
  <c r="E404" i="1" s="1"/>
  <c r="A271" i="1"/>
  <c r="E271" i="1" s="1"/>
  <c r="A298" i="1"/>
  <c r="E298" i="1" s="1"/>
  <c r="A66" i="1"/>
  <c r="E66" i="1" s="1"/>
  <c r="AZ404" i="1"/>
  <c r="N404" i="1" s="1"/>
  <c r="A231" i="1"/>
  <c r="E231" i="1" s="1"/>
  <c r="BA162" i="1"/>
  <c r="AZ596" i="1"/>
  <c r="N596" i="1" s="1"/>
  <c r="AY389" i="1"/>
  <c r="M389" i="1" s="1"/>
  <c r="BA596" i="1"/>
  <c r="A119" i="1"/>
  <c r="E119" i="1" s="1"/>
  <c r="AZ525" i="1"/>
  <c r="N525" i="1" s="1"/>
  <c r="AZ389" i="1"/>
  <c r="N389" i="1" s="1"/>
  <c r="A54" i="1"/>
  <c r="E54" i="1" s="1"/>
  <c r="BA389" i="1"/>
  <c r="AZ468" i="1"/>
  <c r="N468" i="1" s="1"/>
  <c r="AY188" i="1"/>
  <c r="M188" i="1" s="1"/>
  <c r="AZ841" i="1"/>
  <c r="N841" i="1" s="1"/>
  <c r="AY468" i="1"/>
  <c r="M468" i="1" s="1"/>
  <c r="A324" i="1"/>
  <c r="E324" i="1" s="1"/>
  <c r="AY523" i="1"/>
  <c r="M523" i="1" s="1"/>
  <c r="A16" i="1"/>
  <c r="E16" i="1" s="1"/>
  <c r="A161" i="1"/>
  <c r="E161" i="1" s="1"/>
  <c r="A376" i="1"/>
  <c r="E376" i="1" s="1"/>
  <c r="AY510" i="1"/>
  <c r="M510" i="1" s="1"/>
  <c r="AZ675" i="1"/>
  <c r="N675" i="1" s="1"/>
  <c r="AZ1083" i="1"/>
  <c r="N1083" i="1" s="1"/>
  <c r="AZ162" i="1"/>
  <c r="N162" i="1" s="1"/>
  <c r="A246" i="1"/>
  <c r="E246" i="1" s="1"/>
  <c r="C29" i="1"/>
  <c r="C18" i="1"/>
  <c r="C42" i="1"/>
  <c r="A1040" i="1" l="1"/>
  <c r="E1039" i="1"/>
  <c r="A1023" i="1"/>
  <c r="E1022" i="1"/>
  <c r="A363" i="1"/>
  <c r="E362" i="1"/>
  <c r="C928" i="1"/>
  <c r="E927" i="1"/>
  <c r="A29" i="1"/>
  <c r="E28" i="1"/>
  <c r="A1070" i="1"/>
  <c r="E1069" i="1"/>
  <c r="A1011" i="1"/>
  <c r="E1010" i="1"/>
  <c r="A984" i="1"/>
  <c r="E983" i="1"/>
  <c r="A42" i="1"/>
  <c r="E41" i="1"/>
  <c r="A1102" i="1"/>
  <c r="E1101" i="1"/>
  <c r="E940" i="1"/>
  <c r="C941" i="1"/>
  <c r="E915" i="1"/>
  <c r="C916" i="1"/>
  <c r="E349" i="1"/>
  <c r="A350" i="1"/>
  <c r="A390" i="1"/>
  <c r="E389" i="1"/>
  <c r="C891" i="1"/>
  <c r="E890" i="1"/>
  <c r="A108" i="1"/>
  <c r="E107" i="1"/>
  <c r="A1053" i="1"/>
  <c r="E1052" i="1"/>
  <c r="C903" i="1"/>
  <c r="E902" i="1"/>
  <c r="C872" i="1"/>
  <c r="E871" i="1"/>
  <c r="C206" i="1"/>
  <c r="E205" i="1"/>
  <c r="A953" i="1"/>
  <c r="E952" i="1"/>
  <c r="A1083" i="1"/>
  <c r="E1082" i="1"/>
  <c r="A284" i="1"/>
  <c r="E283" i="1"/>
  <c r="A218" i="1"/>
  <c r="E217" i="1"/>
  <c r="A93" i="1"/>
  <c r="E92" i="1"/>
  <c r="A131" i="1"/>
  <c r="E130" i="1"/>
  <c r="A189" i="1"/>
  <c r="E188" i="1"/>
  <c r="E142" i="1"/>
  <c r="A143" i="1"/>
  <c r="E258" i="1"/>
  <c r="A259" i="1"/>
  <c r="E77" i="1"/>
  <c r="A78" i="1"/>
  <c r="A968" i="1"/>
  <c r="E967" i="1"/>
  <c r="E176" i="1"/>
  <c r="A177" i="1"/>
  <c r="E336" i="1"/>
  <c r="A337" i="1"/>
  <c r="A996" i="1"/>
  <c r="E995" i="1"/>
  <c r="AZ422" i="1"/>
  <c r="N421" i="1"/>
  <c r="A676" i="1"/>
  <c r="E676" i="1" s="1"/>
  <c r="A859" i="1"/>
  <c r="E859" i="1" s="1"/>
  <c r="A689" i="1"/>
  <c r="E689" i="1" s="1"/>
  <c r="A452" i="1"/>
  <c r="E452" i="1" s="1"/>
  <c r="A596" i="1"/>
  <c r="E596" i="1" s="1"/>
  <c r="A649" i="1"/>
  <c r="E649" i="1" s="1"/>
  <c r="A625" i="1"/>
  <c r="E625" i="1" s="1"/>
  <c r="A636" i="1"/>
  <c r="E636" i="1" s="1"/>
  <c r="C43" i="1"/>
  <c r="A746" i="1"/>
  <c r="E746" i="1" s="1"/>
  <c r="A571" i="1"/>
  <c r="E571" i="1" s="1"/>
  <c r="A585" i="1"/>
  <c r="E585" i="1" s="1"/>
  <c r="A483" i="1"/>
  <c r="E483" i="1" s="1"/>
  <c r="A803" i="1"/>
  <c r="E803" i="1" s="1"/>
  <c r="A842" i="1"/>
  <c r="E842" i="1" s="1"/>
  <c r="A729" i="1"/>
  <c r="E729" i="1" s="1"/>
  <c r="A440" i="1"/>
  <c r="E440" i="1" s="1"/>
  <c r="A497" i="1"/>
  <c r="E497" i="1" s="1"/>
  <c r="A539" i="1"/>
  <c r="E539" i="1" s="1"/>
  <c r="A817" i="1"/>
  <c r="E817" i="1" s="1"/>
  <c r="A422" i="1"/>
  <c r="E422" i="1" s="1"/>
  <c r="A762" i="1"/>
  <c r="E762" i="1" s="1"/>
  <c r="A512" i="1"/>
  <c r="E512" i="1" s="1"/>
  <c r="A704" i="1"/>
  <c r="E704" i="1" s="1"/>
  <c r="A615" i="1"/>
  <c r="E615" i="1" s="1"/>
  <c r="A790" i="1"/>
  <c r="E790" i="1" s="1"/>
  <c r="A665" i="1"/>
  <c r="E665" i="1" s="1"/>
  <c r="A468" i="1"/>
  <c r="E468" i="1" s="1"/>
  <c r="A829" i="1"/>
  <c r="E829" i="1" s="1"/>
  <c r="A777" i="1"/>
  <c r="E777" i="1" s="1"/>
  <c r="A556" i="1"/>
  <c r="E556" i="1" s="1"/>
  <c r="A524" i="1"/>
  <c r="E524" i="1" s="1"/>
  <c r="A718" i="1"/>
  <c r="E718" i="1" s="1"/>
  <c r="C562" i="1"/>
  <c r="E562" i="1" s="1"/>
  <c r="C546" i="1"/>
  <c r="C602" i="1"/>
  <c r="C424" i="1"/>
  <c r="C458" i="1"/>
  <c r="C1032" i="1"/>
  <c r="C1072" i="1"/>
  <c r="C1056" i="1"/>
  <c r="C530" i="1"/>
  <c r="C832" i="1"/>
  <c r="C864" i="1"/>
  <c r="AZ1084" i="1"/>
  <c r="N1084" i="1" s="1"/>
  <c r="A325" i="1"/>
  <c r="E325" i="1" s="1"/>
  <c r="AZ469" i="1"/>
  <c r="N469" i="1" s="1"/>
  <c r="AZ526" i="1"/>
  <c r="N526" i="1" s="1"/>
  <c r="AY390" i="1"/>
  <c r="M390" i="1" s="1"/>
  <c r="A232" i="1"/>
  <c r="E232" i="1" s="1"/>
  <c r="AZ676" i="1"/>
  <c r="N676" i="1" s="1"/>
  <c r="A162" i="1"/>
  <c r="E162" i="1" s="1"/>
  <c r="AY469" i="1"/>
  <c r="M469" i="1" s="1"/>
  <c r="BA390" i="1"/>
  <c r="AZ597" i="1"/>
  <c r="N597" i="1" s="1"/>
  <c r="AZ405" i="1"/>
  <c r="N405" i="1" s="1"/>
  <c r="A272" i="1"/>
  <c r="E272" i="1" s="1"/>
  <c r="A247" i="1"/>
  <c r="E247" i="1" s="1"/>
  <c r="AY511" i="1"/>
  <c r="M511" i="1" s="1"/>
  <c r="A17" i="1"/>
  <c r="E17" i="1" s="1"/>
  <c r="AZ842" i="1"/>
  <c r="N842" i="1" s="1"/>
  <c r="A55" i="1"/>
  <c r="E55" i="1" s="1"/>
  <c r="A120" i="1"/>
  <c r="E120" i="1" s="1"/>
  <c r="BA163" i="1"/>
  <c r="A67" i="1"/>
  <c r="E67" i="1" s="1"/>
  <c r="A405" i="1"/>
  <c r="E405" i="1" s="1"/>
  <c r="AZ163" i="1"/>
  <c r="N163" i="1" s="1"/>
  <c r="A377" i="1"/>
  <c r="E377" i="1" s="1"/>
  <c r="AY524" i="1"/>
  <c r="M524" i="1" s="1"/>
  <c r="AY189" i="1"/>
  <c r="M189" i="1" s="1"/>
  <c r="AZ390" i="1"/>
  <c r="N390" i="1" s="1"/>
  <c r="BA597" i="1"/>
  <c r="A299" i="1"/>
  <c r="E299" i="1" s="1"/>
  <c r="A312" i="1"/>
  <c r="E312" i="1" s="1"/>
  <c r="C19" i="1"/>
  <c r="C30" i="1"/>
  <c r="E177" i="1" l="1"/>
  <c r="A178" i="1"/>
  <c r="E78" i="1"/>
  <c r="A79" i="1"/>
  <c r="E143" i="1"/>
  <c r="A144" i="1"/>
  <c r="E916" i="1"/>
  <c r="C917" i="1"/>
  <c r="A997" i="1"/>
  <c r="E996" i="1"/>
  <c r="A132" i="1"/>
  <c r="E131" i="1"/>
  <c r="A219" i="1"/>
  <c r="E218" i="1"/>
  <c r="A1084" i="1"/>
  <c r="E1083" i="1"/>
  <c r="C207" i="1"/>
  <c r="E206" i="1"/>
  <c r="C904" i="1"/>
  <c r="E903" i="1"/>
  <c r="E108" i="1"/>
  <c r="A109" i="1"/>
  <c r="A391" i="1"/>
  <c r="E390" i="1"/>
  <c r="A1103" i="1"/>
  <c r="E1102" i="1"/>
  <c r="A985" i="1"/>
  <c r="E984" i="1"/>
  <c r="A1071" i="1"/>
  <c r="E1070" i="1"/>
  <c r="C929" i="1"/>
  <c r="E928" i="1"/>
  <c r="A1024" i="1"/>
  <c r="E1023" i="1"/>
  <c r="E337" i="1"/>
  <c r="A338" i="1"/>
  <c r="E259" i="1"/>
  <c r="A260" i="1"/>
  <c r="E350" i="1"/>
  <c r="A351" i="1"/>
  <c r="E941" i="1"/>
  <c r="C942" i="1"/>
  <c r="A969" i="1"/>
  <c r="E968" i="1"/>
  <c r="A190" i="1"/>
  <c r="E189" i="1"/>
  <c r="A94" i="1"/>
  <c r="E93" i="1"/>
  <c r="E284" i="1"/>
  <c r="A285" i="1"/>
  <c r="A954" i="1"/>
  <c r="E953" i="1"/>
  <c r="C873" i="1"/>
  <c r="E872" i="1"/>
  <c r="A1054" i="1"/>
  <c r="E1053" i="1"/>
  <c r="C892" i="1"/>
  <c r="E891" i="1"/>
  <c r="A43" i="1"/>
  <c r="E42" i="1"/>
  <c r="A1012" i="1"/>
  <c r="E1011" i="1"/>
  <c r="A30" i="1"/>
  <c r="E29" i="1"/>
  <c r="A364" i="1"/>
  <c r="E363" i="1"/>
  <c r="A1041" i="1"/>
  <c r="E1040" i="1"/>
  <c r="AZ423" i="1"/>
  <c r="N422" i="1"/>
  <c r="A525" i="1"/>
  <c r="E525" i="1" s="1"/>
  <c r="A469" i="1"/>
  <c r="E469" i="1" s="1"/>
  <c r="A705" i="1"/>
  <c r="E705" i="1" s="1"/>
  <c r="A818" i="1"/>
  <c r="E818" i="1" s="1"/>
  <c r="A730" i="1"/>
  <c r="E730" i="1" s="1"/>
  <c r="A586" i="1"/>
  <c r="E586" i="1" s="1"/>
  <c r="A637" i="1"/>
  <c r="E637" i="1" s="1"/>
  <c r="A453" i="1"/>
  <c r="E453" i="1" s="1"/>
  <c r="A441" i="1"/>
  <c r="E441" i="1" s="1"/>
  <c r="A557" i="1"/>
  <c r="E557" i="1" s="1"/>
  <c r="A666" i="1"/>
  <c r="E666" i="1" s="1"/>
  <c r="A513" i="1"/>
  <c r="E513" i="1" s="1"/>
  <c r="A540" i="1"/>
  <c r="E540" i="1" s="1"/>
  <c r="A843" i="1"/>
  <c r="E843" i="1" s="1"/>
  <c r="A572" i="1"/>
  <c r="E572" i="1" s="1"/>
  <c r="A719" i="1"/>
  <c r="E719" i="1" s="1"/>
  <c r="A830" i="1"/>
  <c r="E830" i="1" s="1"/>
  <c r="A484" i="1"/>
  <c r="E484" i="1" s="1"/>
  <c r="A626" i="1"/>
  <c r="E626" i="1" s="1"/>
  <c r="A690" i="1"/>
  <c r="E690" i="1" s="1"/>
  <c r="A616" i="1"/>
  <c r="E616" i="1" s="1"/>
  <c r="C44" i="1"/>
  <c r="A778" i="1"/>
  <c r="E778" i="1" s="1"/>
  <c r="A791" i="1"/>
  <c r="E791" i="1" s="1"/>
  <c r="A763" i="1"/>
  <c r="E763" i="1" s="1"/>
  <c r="A498" i="1"/>
  <c r="E498" i="1" s="1"/>
  <c r="A804" i="1"/>
  <c r="E804" i="1" s="1"/>
  <c r="A423" i="1"/>
  <c r="E423" i="1" s="1"/>
  <c r="A747" i="1"/>
  <c r="E747" i="1" s="1"/>
  <c r="A650" i="1"/>
  <c r="E650" i="1" s="1"/>
  <c r="A860" i="1"/>
  <c r="E860" i="1" s="1"/>
  <c r="A597" i="1"/>
  <c r="E597" i="1" s="1"/>
  <c r="A677" i="1"/>
  <c r="E677" i="1" s="1"/>
  <c r="C833" i="1"/>
  <c r="C603" i="1"/>
  <c r="C1073" i="1"/>
  <c r="C531" i="1"/>
  <c r="C459" i="1"/>
  <c r="E459" i="1" s="1"/>
  <c r="C547" i="1"/>
  <c r="C1057" i="1"/>
  <c r="C425" i="1"/>
  <c r="C563" i="1"/>
  <c r="E563" i="1" s="1"/>
  <c r="BA598" i="1"/>
  <c r="A378" i="1"/>
  <c r="E378" i="1" s="1"/>
  <c r="A68" i="1"/>
  <c r="E68" i="1" s="1"/>
  <c r="AZ843" i="1"/>
  <c r="N843" i="1" s="1"/>
  <c r="A273" i="1"/>
  <c r="E273" i="1" s="1"/>
  <c r="BA391" i="1"/>
  <c r="AZ470" i="1"/>
  <c r="N470" i="1" s="1"/>
  <c r="A326" i="1"/>
  <c r="E326" i="1" s="1"/>
  <c r="AZ391" i="1"/>
  <c r="N391" i="1" s="1"/>
  <c r="AZ164" i="1"/>
  <c r="N164" i="1" s="1"/>
  <c r="BA164" i="1"/>
  <c r="A18" i="1"/>
  <c r="E18" i="1" s="1"/>
  <c r="AZ406" i="1"/>
  <c r="N406" i="1" s="1"/>
  <c r="AY470" i="1"/>
  <c r="M470" i="1" s="1"/>
  <c r="A233" i="1"/>
  <c r="E233" i="1" s="1"/>
  <c r="A313" i="1"/>
  <c r="E313" i="1" s="1"/>
  <c r="A121" i="1"/>
  <c r="E121" i="1" s="1"/>
  <c r="AY190" i="1"/>
  <c r="M190" i="1" s="1"/>
  <c r="AY512" i="1"/>
  <c r="M512" i="1" s="1"/>
  <c r="AZ598" i="1"/>
  <c r="N598" i="1" s="1"/>
  <c r="A163" i="1"/>
  <c r="E163" i="1" s="1"/>
  <c r="AY391" i="1"/>
  <c r="M391" i="1" s="1"/>
  <c r="A300" i="1"/>
  <c r="E300" i="1" s="1"/>
  <c r="AY525" i="1"/>
  <c r="M525" i="1" s="1"/>
  <c r="A406" i="1"/>
  <c r="E406" i="1" s="1"/>
  <c r="A56" i="1"/>
  <c r="E56" i="1" s="1"/>
  <c r="A248" i="1"/>
  <c r="E248" i="1" s="1"/>
  <c r="AZ677" i="1"/>
  <c r="N677" i="1" s="1"/>
  <c r="AZ527" i="1"/>
  <c r="N527" i="1" s="1"/>
  <c r="AZ1085" i="1"/>
  <c r="N1085" i="1" s="1"/>
  <c r="C31" i="1"/>
  <c r="C20" i="1"/>
  <c r="E351" i="1" l="1"/>
  <c r="A352" i="1"/>
  <c r="E338" i="1"/>
  <c r="A339" i="1"/>
  <c r="E917" i="1"/>
  <c r="C918" i="1"/>
  <c r="E79" i="1"/>
  <c r="A80" i="1"/>
  <c r="A1042" i="1"/>
  <c r="E1041" i="1"/>
  <c r="A31" i="1"/>
  <c r="E30" i="1"/>
  <c r="E43" i="1"/>
  <c r="A44" i="1"/>
  <c r="A1055" i="1"/>
  <c r="E1054" i="1"/>
  <c r="A955" i="1"/>
  <c r="E954" i="1"/>
  <c r="A95" i="1"/>
  <c r="E94" i="1"/>
  <c r="A970" i="1"/>
  <c r="E969" i="1"/>
  <c r="E929" i="1"/>
  <c r="C930" i="1"/>
  <c r="A986" i="1"/>
  <c r="E985" i="1"/>
  <c r="A392" i="1"/>
  <c r="E391" i="1"/>
  <c r="C905" i="1"/>
  <c r="E904" i="1"/>
  <c r="A1085" i="1"/>
  <c r="E1084" i="1"/>
  <c r="E132" i="1"/>
  <c r="A133" i="1"/>
  <c r="A286" i="1"/>
  <c r="E285" i="1"/>
  <c r="E942" i="1"/>
  <c r="C943" i="1"/>
  <c r="E260" i="1"/>
  <c r="A261" i="1"/>
  <c r="E109" i="1"/>
  <c r="A110" i="1"/>
  <c r="E144" i="1"/>
  <c r="A145" i="1"/>
  <c r="E178" i="1"/>
  <c r="A179" i="1"/>
  <c r="E364" i="1"/>
  <c r="A365" i="1"/>
  <c r="A1013" i="1"/>
  <c r="E1012" i="1"/>
  <c r="C893" i="1"/>
  <c r="E892" i="1"/>
  <c r="C874" i="1"/>
  <c r="E873" i="1"/>
  <c r="A191" i="1"/>
  <c r="E190" i="1"/>
  <c r="A1025" i="1"/>
  <c r="E1024" i="1"/>
  <c r="A1072" i="1"/>
  <c r="E1071" i="1"/>
  <c r="A1104" i="1"/>
  <c r="E1103" i="1"/>
  <c r="C208" i="1"/>
  <c r="E207" i="1"/>
  <c r="A220" i="1"/>
  <c r="E219" i="1"/>
  <c r="A998" i="1"/>
  <c r="E997" i="1"/>
  <c r="AZ424" i="1"/>
  <c r="N423" i="1"/>
  <c r="A678" i="1"/>
  <c r="E678" i="1" s="1"/>
  <c r="A598" i="1"/>
  <c r="E598" i="1" s="1"/>
  <c r="A424" i="1"/>
  <c r="E424" i="1" s="1"/>
  <c r="A792" i="1"/>
  <c r="E792" i="1" s="1"/>
  <c r="A691" i="1"/>
  <c r="E691" i="1" s="1"/>
  <c r="A720" i="1"/>
  <c r="E720" i="1" s="1"/>
  <c r="A514" i="1"/>
  <c r="E514" i="1" s="1"/>
  <c r="A454" i="1"/>
  <c r="E454" i="1" s="1"/>
  <c r="A819" i="1"/>
  <c r="E819" i="1" s="1"/>
  <c r="A748" i="1"/>
  <c r="E748" i="1" s="1"/>
  <c r="A764" i="1"/>
  <c r="E764" i="1" s="1"/>
  <c r="A861" i="1"/>
  <c r="E861" i="1" s="1"/>
  <c r="A805" i="1"/>
  <c r="E805" i="1" s="1"/>
  <c r="A779" i="1"/>
  <c r="E779" i="1" s="1"/>
  <c r="A627" i="1"/>
  <c r="E627" i="1" s="1"/>
  <c r="A573" i="1"/>
  <c r="E573" i="1" s="1"/>
  <c r="A667" i="1"/>
  <c r="E667" i="1" s="1"/>
  <c r="A638" i="1"/>
  <c r="E638" i="1" s="1"/>
  <c r="A706" i="1"/>
  <c r="E706" i="1" s="1"/>
  <c r="A651" i="1"/>
  <c r="E651" i="1" s="1"/>
  <c r="A499" i="1"/>
  <c r="E499" i="1" s="1"/>
  <c r="C45" i="1"/>
  <c r="A485" i="1"/>
  <c r="E485" i="1" s="1"/>
  <c r="A844" i="1"/>
  <c r="E844" i="1" s="1"/>
  <c r="A558" i="1"/>
  <c r="E558" i="1" s="1"/>
  <c r="A587" i="1"/>
  <c r="E587" i="1" s="1"/>
  <c r="A470" i="1"/>
  <c r="E470" i="1" s="1"/>
  <c r="A831" i="1"/>
  <c r="E831" i="1" s="1"/>
  <c r="A541" i="1"/>
  <c r="E541" i="1" s="1"/>
  <c r="A442" i="1"/>
  <c r="E442" i="1" s="1"/>
  <c r="A731" i="1"/>
  <c r="E731" i="1" s="1"/>
  <c r="A526" i="1"/>
  <c r="E526" i="1" s="1"/>
  <c r="C1058" i="1"/>
  <c r="C548" i="1"/>
  <c r="C1074" i="1"/>
  <c r="C426" i="1"/>
  <c r="C460" i="1"/>
  <c r="E460" i="1" s="1"/>
  <c r="C604" i="1"/>
  <c r="C834" i="1"/>
  <c r="AZ1086" i="1"/>
  <c r="N1086" i="1" s="1"/>
  <c r="A57" i="1"/>
  <c r="E57" i="1" s="1"/>
  <c r="AY392" i="1"/>
  <c r="M392" i="1" s="1"/>
  <c r="A234" i="1"/>
  <c r="E234" i="1" s="1"/>
  <c r="AZ471" i="1"/>
  <c r="N471" i="1" s="1"/>
  <c r="AZ844" i="1"/>
  <c r="N844" i="1" s="1"/>
  <c r="AZ528" i="1"/>
  <c r="N528" i="1" s="1"/>
  <c r="A407" i="1"/>
  <c r="E407" i="1" s="1"/>
  <c r="A164" i="1"/>
  <c r="E164" i="1" s="1"/>
  <c r="AY191" i="1"/>
  <c r="M191" i="1" s="1"/>
  <c r="AY471" i="1"/>
  <c r="M471" i="1" s="1"/>
  <c r="AZ165" i="1"/>
  <c r="N165" i="1" s="1"/>
  <c r="A69" i="1"/>
  <c r="E69" i="1" s="1"/>
  <c r="A379" i="1"/>
  <c r="E379" i="1" s="1"/>
  <c r="A122" i="1"/>
  <c r="E122" i="1" s="1"/>
  <c r="AZ407" i="1"/>
  <c r="N407" i="1" s="1"/>
  <c r="AZ392" i="1"/>
  <c r="N392" i="1" s="1"/>
  <c r="BA392" i="1"/>
  <c r="AZ678" i="1"/>
  <c r="N678" i="1" s="1"/>
  <c r="AY526" i="1"/>
  <c r="M526" i="1" s="1"/>
  <c r="AZ599" i="1"/>
  <c r="N599" i="1" s="1"/>
  <c r="A249" i="1"/>
  <c r="E249" i="1" s="1"/>
  <c r="A301" i="1"/>
  <c r="E301" i="1" s="1"/>
  <c r="AY513" i="1"/>
  <c r="M513" i="1" s="1"/>
  <c r="A314" i="1"/>
  <c r="E314" i="1" s="1"/>
  <c r="A19" i="1"/>
  <c r="E19" i="1" s="1"/>
  <c r="A327" i="1"/>
  <c r="E327" i="1" s="1"/>
  <c r="A274" i="1"/>
  <c r="E274" i="1" s="1"/>
  <c r="C32" i="1"/>
  <c r="C21" i="1"/>
  <c r="E365" i="1" l="1"/>
  <c r="A366" i="1"/>
  <c r="E145" i="1"/>
  <c r="A146" i="1"/>
  <c r="E261" i="1"/>
  <c r="A262" i="1"/>
  <c r="E262" i="1" s="1"/>
  <c r="E930" i="1"/>
  <c r="C931" i="1"/>
  <c r="E80" i="1"/>
  <c r="A81" i="1"/>
  <c r="E339" i="1"/>
  <c r="A340" i="1"/>
  <c r="A999" i="1"/>
  <c r="E998" i="1"/>
  <c r="C209" i="1"/>
  <c r="E208" i="1"/>
  <c r="A1073" i="1"/>
  <c r="E1072" i="1"/>
  <c r="A192" i="1"/>
  <c r="E191" i="1"/>
  <c r="C894" i="1"/>
  <c r="E893" i="1"/>
  <c r="A287" i="1"/>
  <c r="E286" i="1"/>
  <c r="A1086" i="1"/>
  <c r="E1085" i="1"/>
  <c r="A393" i="1"/>
  <c r="E392" i="1"/>
  <c r="A96" i="1"/>
  <c r="E95" i="1"/>
  <c r="A1056" i="1"/>
  <c r="E1055" i="1"/>
  <c r="A32" i="1"/>
  <c r="E31" i="1"/>
  <c r="E179" i="1"/>
  <c r="A180" i="1"/>
  <c r="E110" i="1"/>
  <c r="A111" i="1"/>
  <c r="E111" i="1" s="1"/>
  <c r="E943" i="1"/>
  <c r="C944" i="1"/>
  <c r="E133" i="1"/>
  <c r="A134" i="1"/>
  <c r="E44" i="1"/>
  <c r="A45" i="1"/>
  <c r="E918" i="1"/>
  <c r="C919" i="1"/>
  <c r="E352" i="1"/>
  <c r="A353" i="1"/>
  <c r="E220" i="1"/>
  <c r="A221" i="1"/>
  <c r="A1105" i="1"/>
  <c r="E1104" i="1"/>
  <c r="A1026" i="1"/>
  <c r="E1025" i="1"/>
  <c r="C875" i="1"/>
  <c r="E874" i="1"/>
  <c r="A1014" i="1"/>
  <c r="E1013" i="1"/>
  <c r="E905" i="1"/>
  <c r="C906" i="1"/>
  <c r="A987" i="1"/>
  <c r="E986" i="1"/>
  <c r="A971" i="1"/>
  <c r="E970" i="1"/>
  <c r="A956" i="1"/>
  <c r="E955" i="1"/>
  <c r="A1043" i="1"/>
  <c r="E1042" i="1"/>
  <c r="AZ425" i="1"/>
  <c r="N424" i="1"/>
  <c r="A845" i="1"/>
  <c r="E845" i="1" s="1"/>
  <c r="A652" i="1"/>
  <c r="E652" i="1" s="1"/>
  <c r="A574" i="1"/>
  <c r="E574" i="1" s="1"/>
  <c r="A862" i="1"/>
  <c r="E862" i="1" s="1"/>
  <c r="A455" i="1"/>
  <c r="E455" i="1" s="1"/>
  <c r="A793" i="1"/>
  <c r="E793" i="1" s="1"/>
  <c r="A732" i="1"/>
  <c r="E732" i="1" s="1"/>
  <c r="A471" i="1"/>
  <c r="E471" i="1" s="1"/>
  <c r="A486" i="1"/>
  <c r="E486" i="1" s="1"/>
  <c r="A707" i="1"/>
  <c r="E707" i="1" s="1"/>
  <c r="A628" i="1"/>
  <c r="E628" i="1" s="1"/>
  <c r="A765" i="1"/>
  <c r="E765" i="1" s="1"/>
  <c r="A515" i="1"/>
  <c r="E515" i="1" s="1"/>
  <c r="A425" i="1"/>
  <c r="E425" i="1" s="1"/>
  <c r="A527" i="1"/>
  <c r="E527" i="1" s="1"/>
  <c r="A832" i="1"/>
  <c r="E832" i="1" s="1"/>
  <c r="A443" i="1"/>
  <c r="E443" i="1" s="1"/>
  <c r="A588" i="1"/>
  <c r="E588" i="1" s="1"/>
  <c r="C46" i="1"/>
  <c r="A639" i="1"/>
  <c r="E639" i="1" s="1"/>
  <c r="A780" i="1"/>
  <c r="E780" i="1" s="1"/>
  <c r="A749" i="1"/>
  <c r="E749" i="1" s="1"/>
  <c r="A599" i="1"/>
  <c r="E599" i="1" s="1"/>
  <c r="A542" i="1"/>
  <c r="E542" i="1" s="1"/>
  <c r="A559" i="1"/>
  <c r="E559" i="1" s="1"/>
  <c r="A500" i="1"/>
  <c r="E500" i="1" s="1"/>
  <c r="A668" i="1"/>
  <c r="E668" i="1" s="1"/>
  <c r="A806" i="1"/>
  <c r="E806" i="1" s="1"/>
  <c r="A820" i="1"/>
  <c r="E820" i="1" s="1"/>
  <c r="A692" i="1"/>
  <c r="E692" i="1" s="1"/>
  <c r="A679" i="1"/>
  <c r="E679" i="1" s="1"/>
  <c r="C1075" i="1"/>
  <c r="C605" i="1"/>
  <c r="E605" i="1" s="1"/>
  <c r="C427" i="1"/>
  <c r="C1059" i="1"/>
  <c r="A328" i="1"/>
  <c r="E328" i="1" s="1"/>
  <c r="A302" i="1"/>
  <c r="E302" i="1" s="1"/>
  <c r="AZ679" i="1"/>
  <c r="N679" i="1" s="1"/>
  <c r="A123" i="1"/>
  <c r="E123" i="1" s="1"/>
  <c r="AY472" i="1"/>
  <c r="M472" i="1" s="1"/>
  <c r="AZ529" i="1"/>
  <c r="N529" i="1" s="1"/>
  <c r="A20" i="1"/>
  <c r="E20" i="1" s="1"/>
  <c r="A380" i="1"/>
  <c r="E380" i="1" s="1"/>
  <c r="AY192" i="1"/>
  <c r="M192" i="1" s="1"/>
  <c r="AY393" i="1"/>
  <c r="M393" i="1" s="1"/>
  <c r="A315" i="1"/>
  <c r="E315" i="1" s="1"/>
  <c r="AZ600" i="1"/>
  <c r="N600" i="1" s="1"/>
  <c r="AZ393" i="1"/>
  <c r="N393" i="1" s="1"/>
  <c r="A70" i="1"/>
  <c r="E70" i="1" s="1"/>
  <c r="A165" i="1"/>
  <c r="E165" i="1" s="1"/>
  <c r="AZ472" i="1"/>
  <c r="N472" i="1" s="1"/>
  <c r="A58" i="1"/>
  <c r="E58" i="1" s="1"/>
  <c r="A275" i="1"/>
  <c r="E275" i="1" s="1"/>
  <c r="AY527" i="1"/>
  <c r="M527" i="1" s="1"/>
  <c r="AZ408" i="1"/>
  <c r="N408" i="1" s="1"/>
  <c r="AZ166" i="1"/>
  <c r="N166" i="1" s="1"/>
  <c r="A408" i="1"/>
  <c r="E408" i="1" s="1"/>
  <c r="A235" i="1"/>
  <c r="E235" i="1" s="1"/>
  <c r="AZ1087" i="1"/>
  <c r="N1087" i="1" s="1"/>
  <c r="C33" i="1"/>
  <c r="E906" i="1" l="1"/>
  <c r="C907" i="1"/>
  <c r="E353" i="1"/>
  <c r="A354" i="1"/>
  <c r="E45" i="1"/>
  <c r="A46" i="1"/>
  <c r="E46" i="1" s="1"/>
  <c r="E944" i="1"/>
  <c r="C945" i="1"/>
  <c r="E945" i="1" s="1"/>
  <c r="E180" i="1"/>
  <c r="A181" i="1"/>
  <c r="E181" i="1" s="1"/>
  <c r="E340" i="1"/>
  <c r="A341" i="1"/>
  <c r="E931" i="1"/>
  <c r="C932" i="1"/>
  <c r="E146" i="1"/>
  <c r="A147" i="1"/>
  <c r="A1044" i="1"/>
  <c r="E1043" i="1"/>
  <c r="A972" i="1"/>
  <c r="E971" i="1"/>
  <c r="C876" i="1"/>
  <c r="E875" i="1"/>
  <c r="A1106" i="1"/>
  <c r="E1106" i="1" s="1"/>
  <c r="E1105" i="1"/>
  <c r="A1057" i="1"/>
  <c r="E1056" i="1"/>
  <c r="A394" i="1"/>
  <c r="E393" i="1"/>
  <c r="A288" i="1"/>
  <c r="E288" i="1" s="1"/>
  <c r="E287" i="1"/>
  <c r="A193" i="1"/>
  <c r="E192" i="1"/>
  <c r="C210" i="1"/>
  <c r="E210" i="1" s="1"/>
  <c r="E209" i="1"/>
  <c r="E221" i="1"/>
  <c r="A222" i="1"/>
  <c r="E919" i="1"/>
  <c r="C920" i="1"/>
  <c r="E920" i="1" s="1"/>
  <c r="E134" i="1"/>
  <c r="A135" i="1"/>
  <c r="E135" i="1" s="1"/>
  <c r="E81" i="1"/>
  <c r="A82" i="1"/>
  <c r="E366" i="1"/>
  <c r="A367" i="1"/>
  <c r="A957" i="1"/>
  <c r="E956" i="1"/>
  <c r="A988" i="1"/>
  <c r="E988" i="1" s="1"/>
  <c r="E987" i="1"/>
  <c r="A1015" i="1"/>
  <c r="E1015" i="1" s="1"/>
  <c r="E1014" i="1"/>
  <c r="A1027" i="1"/>
  <c r="E1026" i="1"/>
  <c r="A33" i="1"/>
  <c r="E32" i="1"/>
  <c r="A97" i="1"/>
  <c r="E97" i="1" s="1"/>
  <c r="E96" i="1"/>
  <c r="A1087" i="1"/>
  <c r="E1086" i="1"/>
  <c r="C895" i="1"/>
  <c r="E895" i="1" s="1"/>
  <c r="E894" i="1"/>
  <c r="A1074" i="1"/>
  <c r="E1073" i="1"/>
  <c r="A1000" i="1"/>
  <c r="E999" i="1"/>
  <c r="AZ426" i="1"/>
  <c r="N425" i="1"/>
  <c r="A560" i="1"/>
  <c r="E560" i="1" s="1"/>
  <c r="A833" i="1"/>
  <c r="E833" i="1" s="1"/>
  <c r="A766" i="1"/>
  <c r="E766" i="1" s="1"/>
  <c r="A472" i="1"/>
  <c r="E472" i="1" s="1"/>
  <c r="A680" i="1"/>
  <c r="E680" i="1" s="1"/>
  <c r="A600" i="1"/>
  <c r="E600" i="1" s="1"/>
  <c r="A863" i="1"/>
  <c r="E863" i="1" s="1"/>
  <c r="A528" i="1"/>
  <c r="E528" i="1" s="1"/>
  <c r="A733" i="1"/>
  <c r="E733" i="1" s="1"/>
  <c r="A693" i="1"/>
  <c r="E693" i="1" s="1"/>
  <c r="A501" i="1"/>
  <c r="E501" i="1" s="1"/>
  <c r="A750" i="1"/>
  <c r="E750" i="1" s="1"/>
  <c r="A575" i="1"/>
  <c r="E575" i="1" s="1"/>
  <c r="A426" i="1"/>
  <c r="E426" i="1" s="1"/>
  <c r="A708" i="1"/>
  <c r="E708" i="1" s="1"/>
  <c r="A821" i="1"/>
  <c r="E821" i="1" s="1"/>
  <c r="A794" i="1"/>
  <c r="E794" i="1" s="1"/>
  <c r="A653" i="1"/>
  <c r="E653" i="1" s="1"/>
  <c r="A444" i="1"/>
  <c r="E444" i="1" s="1"/>
  <c r="A516" i="1"/>
  <c r="E516" i="1" s="1"/>
  <c r="A487" i="1"/>
  <c r="E487" i="1" s="1"/>
  <c r="A781" i="1"/>
  <c r="E781" i="1" s="1"/>
  <c r="A807" i="1"/>
  <c r="E807" i="1" s="1"/>
  <c r="A543" i="1"/>
  <c r="E543" i="1" s="1"/>
  <c r="A640" i="1"/>
  <c r="E640" i="1" s="1"/>
  <c r="A456" i="1"/>
  <c r="E456" i="1" s="1"/>
  <c r="A846" i="1"/>
  <c r="E846" i="1" s="1"/>
  <c r="C1060" i="1"/>
  <c r="C428" i="1"/>
  <c r="C606" i="1"/>
  <c r="E606" i="1" s="1"/>
  <c r="A21" i="1"/>
  <c r="E21" i="1" s="1"/>
  <c r="A409" i="1"/>
  <c r="E409" i="1" s="1"/>
  <c r="AY394" i="1"/>
  <c r="M394" i="1" s="1"/>
  <c r="A316" i="1"/>
  <c r="E316" i="1" s="1"/>
  <c r="A236" i="1"/>
  <c r="E236" i="1" s="1"/>
  <c r="AZ167" i="1"/>
  <c r="N167" i="1" s="1"/>
  <c r="AZ394" i="1"/>
  <c r="N394" i="1" s="1"/>
  <c r="AY193" i="1"/>
  <c r="M193" i="1" s="1"/>
  <c r="AZ530" i="1"/>
  <c r="N530" i="1" s="1"/>
  <c r="A303" i="1"/>
  <c r="E303" i="1" s="1"/>
  <c r="A166" i="1"/>
  <c r="E166" i="1" s="1"/>
  <c r="A381" i="1"/>
  <c r="E381" i="1" s="1"/>
  <c r="AY528" i="1"/>
  <c r="M528" i="1" s="1"/>
  <c r="AZ1088" i="1"/>
  <c r="N1088" i="1" s="1"/>
  <c r="AZ409" i="1"/>
  <c r="N409" i="1" s="1"/>
  <c r="AZ473" i="1"/>
  <c r="N473" i="1" s="1"/>
  <c r="AZ601" i="1"/>
  <c r="N601" i="1" s="1"/>
  <c r="AY473" i="1"/>
  <c r="M473" i="1" s="1"/>
  <c r="A329" i="1"/>
  <c r="E329" i="1" s="1"/>
  <c r="C34" i="1"/>
  <c r="E367" i="1" l="1"/>
  <c r="A368" i="1"/>
  <c r="E368" i="1" s="1"/>
  <c r="E222" i="1"/>
  <c r="A223" i="1"/>
  <c r="E223" i="1" s="1"/>
  <c r="E147" i="1"/>
  <c r="A148" i="1"/>
  <c r="E341" i="1"/>
  <c r="A342" i="1"/>
  <c r="E342" i="1" s="1"/>
  <c r="E354" i="1"/>
  <c r="A355" i="1"/>
  <c r="E355" i="1" s="1"/>
  <c r="A1001" i="1"/>
  <c r="E1001" i="1" s="1"/>
  <c r="E1000" i="1"/>
  <c r="A1028" i="1"/>
  <c r="E1027" i="1"/>
  <c r="A194" i="1"/>
  <c r="E193" i="1"/>
  <c r="A395" i="1"/>
  <c r="E394" i="1"/>
  <c r="A973" i="1"/>
  <c r="E972" i="1"/>
  <c r="E82" i="1"/>
  <c r="A83" i="1"/>
  <c r="E932" i="1"/>
  <c r="C933" i="1"/>
  <c r="E933" i="1" s="1"/>
  <c r="E907" i="1"/>
  <c r="C908" i="1"/>
  <c r="E908" i="1" s="1"/>
  <c r="A1075" i="1"/>
  <c r="E1075" i="1" s="1"/>
  <c r="E1074" i="1"/>
  <c r="A1088" i="1"/>
  <c r="E1087" i="1"/>
  <c r="A34" i="1"/>
  <c r="E34" i="1" s="1"/>
  <c r="E33" i="1"/>
  <c r="A958" i="1"/>
  <c r="E958" i="1" s="1"/>
  <c r="E957" i="1"/>
  <c r="A1058" i="1"/>
  <c r="E1057" i="1"/>
  <c r="C877" i="1"/>
  <c r="E876" i="1"/>
  <c r="A1045" i="1"/>
  <c r="E1045" i="1" s="1"/>
  <c r="E1044" i="1"/>
  <c r="AZ427" i="1"/>
  <c r="N426" i="1"/>
  <c r="A544" i="1"/>
  <c r="E544" i="1" s="1"/>
  <c r="A751" i="1"/>
  <c r="E751" i="1" s="1"/>
  <c r="A529" i="1"/>
  <c r="E529" i="1" s="1"/>
  <c r="A473" i="1"/>
  <c r="E473" i="1" s="1"/>
  <c r="A847" i="1"/>
  <c r="E847" i="1" s="1"/>
  <c r="A808" i="1"/>
  <c r="E808" i="1" s="1"/>
  <c r="A502" i="1"/>
  <c r="E502" i="1" s="1"/>
  <c r="A864" i="1"/>
  <c r="E864" i="1" s="1"/>
  <c r="A767" i="1"/>
  <c r="E767" i="1" s="1"/>
  <c r="A457" i="1"/>
  <c r="E457" i="1" s="1"/>
  <c r="A654" i="1"/>
  <c r="E654" i="1" s="1"/>
  <c r="A427" i="1"/>
  <c r="E427" i="1" s="1"/>
  <c r="A694" i="1"/>
  <c r="E694" i="1" s="1"/>
  <c r="A601" i="1"/>
  <c r="E601" i="1" s="1"/>
  <c r="A834" i="1"/>
  <c r="E834" i="1" s="1"/>
  <c r="A641" i="1"/>
  <c r="E641" i="1" s="1"/>
  <c r="A488" i="1"/>
  <c r="E488" i="1" s="1"/>
  <c r="A795" i="1"/>
  <c r="E795" i="1" s="1"/>
  <c r="A576" i="1"/>
  <c r="E576" i="1" s="1"/>
  <c r="A734" i="1"/>
  <c r="E734" i="1" s="1"/>
  <c r="A681" i="1"/>
  <c r="E681" i="1" s="1"/>
  <c r="A561" i="1"/>
  <c r="E561" i="1" s="1"/>
  <c r="C429" i="1"/>
  <c r="C1061" i="1"/>
  <c r="AZ474" i="1"/>
  <c r="N474" i="1" s="1"/>
  <c r="A167" i="1"/>
  <c r="E167" i="1" s="1"/>
  <c r="AZ410" i="1"/>
  <c r="N410" i="1" s="1"/>
  <c r="AZ395" i="1"/>
  <c r="N395" i="1" s="1"/>
  <c r="AY474" i="1"/>
  <c r="M474" i="1" s="1"/>
  <c r="AZ1089" i="1"/>
  <c r="N1089" i="1" s="1"/>
  <c r="AZ168" i="1"/>
  <c r="N168" i="1" s="1"/>
  <c r="AY395" i="1"/>
  <c r="M395" i="1" s="1"/>
  <c r="AZ602" i="1"/>
  <c r="N602" i="1" s="1"/>
  <c r="A410" i="1"/>
  <c r="E410" i="1" s="1"/>
  <c r="A382" i="1"/>
  <c r="E382" i="1" s="1"/>
  <c r="AY194" i="1"/>
  <c r="M194" i="1" s="1"/>
  <c r="A1059" i="1" l="1"/>
  <c r="E1058" i="1"/>
  <c r="A974" i="1"/>
  <c r="E973" i="1"/>
  <c r="A195" i="1"/>
  <c r="E195" i="1" s="1"/>
  <c r="E194" i="1"/>
  <c r="A1002" i="1"/>
  <c r="E1002" i="1" s="1"/>
  <c r="E83" i="1"/>
  <c r="A84" i="1"/>
  <c r="E148" i="1"/>
  <c r="A149" i="1"/>
  <c r="C878" i="1"/>
  <c r="E877" i="1"/>
  <c r="A1089" i="1"/>
  <c r="E1088" i="1"/>
  <c r="A396" i="1"/>
  <c r="E396" i="1" s="1"/>
  <c r="E395" i="1"/>
  <c r="A1029" i="1"/>
  <c r="E1028" i="1"/>
  <c r="AZ428" i="1"/>
  <c r="N427" i="1"/>
  <c r="A735" i="1"/>
  <c r="E735" i="1" s="1"/>
  <c r="A428" i="1"/>
  <c r="E428" i="1" s="1"/>
  <c r="A474" i="1"/>
  <c r="E474" i="1" s="1"/>
  <c r="A655" i="1"/>
  <c r="E655" i="1" s="1"/>
  <c r="A503" i="1"/>
  <c r="E503" i="1" s="1"/>
  <c r="A530" i="1"/>
  <c r="E530" i="1" s="1"/>
  <c r="A602" i="1"/>
  <c r="E602" i="1" s="1"/>
  <c r="A458" i="1"/>
  <c r="E458" i="1" s="1"/>
  <c r="A752" i="1"/>
  <c r="E752" i="1" s="1"/>
  <c r="A489" i="1"/>
  <c r="E489" i="1" s="1"/>
  <c r="A695" i="1"/>
  <c r="E695" i="1" s="1"/>
  <c r="A768" i="1"/>
  <c r="E768" i="1" s="1"/>
  <c r="A848" i="1"/>
  <c r="E848" i="1" s="1"/>
  <c r="A545" i="1"/>
  <c r="E545" i="1" s="1"/>
  <c r="C430" i="1"/>
  <c r="C1062" i="1"/>
  <c r="A411" i="1"/>
  <c r="E411" i="1" s="1"/>
  <c r="AZ1090" i="1"/>
  <c r="N1090" i="1" s="1"/>
  <c r="AZ411" i="1"/>
  <c r="N411" i="1" s="1"/>
  <c r="A168" i="1"/>
  <c r="E168" i="1" s="1"/>
  <c r="E149" i="1" l="1"/>
  <c r="A150" i="1"/>
  <c r="A1030" i="1"/>
  <c r="E1029" i="1"/>
  <c r="A1090" i="1"/>
  <c r="E1089" i="1"/>
  <c r="E974" i="1"/>
  <c r="A975" i="1"/>
  <c r="E84" i="1"/>
  <c r="A85" i="1"/>
  <c r="E85" i="1" s="1"/>
  <c r="C879" i="1"/>
  <c r="E878" i="1"/>
  <c r="A1060" i="1"/>
  <c r="E1059" i="1"/>
  <c r="AZ429" i="1"/>
  <c r="N428" i="1"/>
  <c r="A769" i="1"/>
  <c r="E769" i="1" s="1"/>
  <c r="A656" i="1"/>
  <c r="E656" i="1" s="1"/>
  <c r="A603" i="1"/>
  <c r="E603" i="1" s="1"/>
  <c r="A475" i="1"/>
  <c r="E475" i="1" s="1"/>
  <c r="A546" i="1"/>
  <c r="E546" i="1" s="1"/>
  <c r="A531" i="1"/>
  <c r="E531" i="1" s="1"/>
  <c r="A429" i="1"/>
  <c r="E429" i="1" s="1"/>
  <c r="A849" i="1"/>
  <c r="E849" i="1" s="1"/>
  <c r="A753" i="1"/>
  <c r="E753" i="1" s="1"/>
  <c r="A736" i="1"/>
  <c r="E736" i="1" s="1"/>
  <c r="C431" i="1"/>
  <c r="A412" i="1"/>
  <c r="E412" i="1" s="1"/>
  <c r="AZ412" i="1"/>
  <c r="N412" i="1" s="1"/>
  <c r="A169" i="1"/>
  <c r="E169" i="1" s="1"/>
  <c r="AZ1091" i="1"/>
  <c r="N1091" i="1" s="1"/>
  <c r="E975" i="1" l="1"/>
  <c r="A976" i="1"/>
  <c r="E976" i="1" s="1"/>
  <c r="C880" i="1"/>
  <c r="E879" i="1"/>
  <c r="A1031" i="1"/>
  <c r="E1030" i="1"/>
  <c r="E150" i="1"/>
  <c r="A151" i="1"/>
  <c r="A1061" i="1"/>
  <c r="E1060" i="1"/>
  <c r="A1091" i="1"/>
  <c r="E1090" i="1"/>
  <c r="AZ430" i="1"/>
  <c r="N430" i="1" s="1"/>
  <c r="N429" i="1"/>
  <c r="A754" i="1"/>
  <c r="E754" i="1" s="1"/>
  <c r="A547" i="1"/>
  <c r="E547" i="1" s="1"/>
  <c r="A850" i="1"/>
  <c r="E850" i="1" s="1"/>
  <c r="A430" i="1"/>
  <c r="E430" i="1" s="1"/>
  <c r="A604" i="1"/>
  <c r="E604" i="1" s="1"/>
  <c r="AZ1092" i="1"/>
  <c r="N1092" i="1" s="1"/>
  <c r="A413" i="1"/>
  <c r="E413" i="1" s="1"/>
  <c r="E151" i="1" l="1"/>
  <c r="A152" i="1"/>
  <c r="A1092" i="1"/>
  <c r="E1091" i="1"/>
  <c r="C881" i="1"/>
  <c r="E880" i="1"/>
  <c r="A1062" i="1"/>
  <c r="E1062" i="1" s="1"/>
  <c r="E1061" i="1"/>
  <c r="A1032" i="1"/>
  <c r="E1032" i="1" s="1"/>
  <c r="E1031" i="1"/>
  <c r="A431" i="1"/>
  <c r="E431" i="1" s="1"/>
  <c r="A851" i="1"/>
  <c r="E851" i="1" s="1"/>
  <c r="A548" i="1"/>
  <c r="E548" i="1" s="1"/>
  <c r="A414" i="1"/>
  <c r="E414" i="1" s="1"/>
  <c r="A1093" i="1" l="1"/>
  <c r="E1092" i="1"/>
  <c r="E152" i="1"/>
  <c r="A153" i="1"/>
  <c r="E881" i="1"/>
  <c r="C882" i="1"/>
  <c r="E882" i="1" l="1"/>
  <c r="C883" i="1"/>
  <c r="E883" i="1" s="1"/>
  <c r="E153" i="1"/>
  <c r="A154" i="1"/>
  <c r="E154" i="1" s="1"/>
  <c r="A1094" i="1"/>
  <c r="E1094" i="1" s="1"/>
  <c r="E1093" i="1"/>
</calcChain>
</file>

<file path=xl/sharedStrings.xml><?xml version="1.0" encoding="utf-8"?>
<sst xmlns="http://schemas.openxmlformats.org/spreadsheetml/2006/main" count="5765" uniqueCount="714">
  <si>
    <t xml:space="preserve">                                  Logische Adressen           </t>
  </si>
  <si>
    <t xml:space="preserve">                             Physikalische Adressen        </t>
  </si>
  <si>
    <t>Eigen-</t>
  </si>
  <si>
    <t xml:space="preserve">        Knotennummer</t>
  </si>
  <si>
    <t xml:space="preserve">                   Inselbus</t>
  </si>
  <si>
    <t>Lokalbus</t>
  </si>
  <si>
    <t>zuständige</t>
  </si>
  <si>
    <t>BAB-km</t>
  </si>
  <si>
    <t>schaft</t>
  </si>
  <si>
    <t>Bezeichner</t>
  </si>
  <si>
    <t>Dezimal</t>
  </si>
  <si>
    <t>FG</t>
  </si>
  <si>
    <t>DE-Kanal</t>
  </si>
  <si>
    <t>Port</t>
  </si>
  <si>
    <t>Slave</t>
  </si>
  <si>
    <t>Bemerkungen</t>
  </si>
  <si>
    <t>AM</t>
  </si>
  <si>
    <t>UZ</t>
  </si>
  <si>
    <t>Memmingen</t>
  </si>
  <si>
    <t>SST</t>
  </si>
  <si>
    <t>A7/B28</t>
  </si>
  <si>
    <t>Hittistetten</t>
  </si>
  <si>
    <t>Vöhringen</t>
  </si>
  <si>
    <t>Niederschlagsart  Typ 63</t>
  </si>
  <si>
    <t xml:space="preserve">Fahrbahnzustand  Typ 51 </t>
  </si>
  <si>
    <t>Lufttemperatur  Typ 48</t>
  </si>
  <si>
    <t>Relative Luftfeuchtigkeit  Typ 55</t>
  </si>
  <si>
    <t>Taupunkttemperaqtur  Typ 66</t>
  </si>
  <si>
    <t>Gefrierpunkttemperatur  Typ 65</t>
  </si>
  <si>
    <t>Fahrbahntemperatur  Typ 49</t>
  </si>
  <si>
    <t>Temp. Tiefe 1 (5cm)  Typ 67</t>
  </si>
  <si>
    <t>A7</t>
  </si>
  <si>
    <t>Illertalbrücke</t>
  </si>
  <si>
    <t>Allgäuer Tor</t>
  </si>
  <si>
    <t>Temp. Tiefe 3 (5cm)  Typ 69</t>
  </si>
  <si>
    <t>Sulzberg</t>
  </si>
  <si>
    <t>A980</t>
  </si>
  <si>
    <t>Sulzbergbrücke</t>
  </si>
  <si>
    <t>Rohrbachtobelbrücke</t>
  </si>
  <si>
    <t>Hellengerst</t>
  </si>
  <si>
    <t>Temp. Tiefe 2 (15cm)  Typ 68</t>
  </si>
  <si>
    <t>Temp. Tiefe 3 (30cm)  Typ 69</t>
  </si>
  <si>
    <t xml:space="preserve">Windrichtung  Typ 56 </t>
  </si>
  <si>
    <t>Windgeschwindigkeit  Typ 57</t>
  </si>
  <si>
    <t>Rottachtalbrücke</t>
  </si>
  <si>
    <t>Augsburg</t>
  </si>
  <si>
    <t>A8 West</t>
  </si>
  <si>
    <t>Einsbach</t>
  </si>
  <si>
    <t>Streitheim</t>
  </si>
  <si>
    <t>Leipheim</t>
  </si>
  <si>
    <t>Starnberg</t>
  </si>
  <si>
    <t>A96</t>
  </si>
  <si>
    <t>Oberpfaffenhofen</t>
  </si>
  <si>
    <t>A952</t>
  </si>
  <si>
    <t>A95</t>
  </si>
  <si>
    <t>Wolfratshausen</t>
  </si>
  <si>
    <t>Mühlbachtalbrücke / Großweil</t>
  </si>
  <si>
    <t>Rosenheim</t>
  </si>
  <si>
    <t>A93</t>
  </si>
  <si>
    <t>Oberaudorf</t>
  </si>
  <si>
    <t>A8 Ost</t>
  </si>
  <si>
    <t>Pentling</t>
  </si>
  <si>
    <t>A3</t>
  </si>
  <si>
    <t>Galgenberg</t>
  </si>
  <si>
    <t>Passau</t>
  </si>
  <si>
    <t>Deggenaubrücke</t>
  </si>
  <si>
    <t>Pankofen</t>
  </si>
  <si>
    <t>Laaber</t>
  </si>
  <si>
    <t>Pollenreid</t>
  </si>
  <si>
    <t>Hausen</t>
  </si>
  <si>
    <t>A99</t>
  </si>
  <si>
    <t>Feldmoching</t>
  </si>
  <si>
    <t>A92</t>
  </si>
  <si>
    <t>Pfettrachbrücke</t>
  </si>
  <si>
    <t>Wörth a. d. Isar</t>
  </si>
  <si>
    <t>EAK-Kanal</t>
  </si>
  <si>
    <t>Hex</t>
  </si>
  <si>
    <t>Dez</t>
  </si>
  <si>
    <t>0B</t>
  </si>
  <si>
    <t>0C</t>
  </si>
  <si>
    <t>0D</t>
  </si>
  <si>
    <t>0E</t>
  </si>
  <si>
    <t>0F</t>
  </si>
  <si>
    <t>Geräte-</t>
  </si>
  <si>
    <t>technik</t>
  </si>
  <si>
    <t>1B</t>
  </si>
  <si>
    <t>1A</t>
  </si>
  <si>
    <t>1C</t>
  </si>
  <si>
    <t>Memmingen Ost</t>
  </si>
  <si>
    <t>Kohlberg Tunnel</t>
  </si>
  <si>
    <t>Mindelheim</t>
  </si>
  <si>
    <t>Zeitreserve Glätte Typ 187</t>
  </si>
  <si>
    <t>Kirchdorfer Berg</t>
  </si>
  <si>
    <t>Leibi</t>
  </si>
  <si>
    <t>Vöhrungen</t>
  </si>
  <si>
    <t>0A</t>
  </si>
  <si>
    <t xml:space="preserve">Fahrbahnzustand  Typ 51, 2. Bodensensor </t>
  </si>
  <si>
    <t>Gefrierpunkttemperatur  Typ 65, 1. Bodensensor</t>
  </si>
  <si>
    <t>Fahrbahntemperatur  Typ 49, 1. Bodensensor</t>
  </si>
  <si>
    <t>Gefrierpunkttemperatur  Typ 65, 2. Bodensensor</t>
  </si>
  <si>
    <t>Fahrbahntemperatur  Typ 49, 2. Bodensensor</t>
  </si>
  <si>
    <t>Adelshausen</t>
  </si>
  <si>
    <t>Landsberg - Brücke</t>
  </si>
  <si>
    <t>Inning</t>
  </si>
  <si>
    <t>Schöffelding</t>
  </si>
  <si>
    <t>Eching - Tunnel</t>
  </si>
  <si>
    <t>Inntal Dreieck</t>
  </si>
  <si>
    <t>Bernauer Berg</t>
  </si>
  <si>
    <t>Holzkirchen</t>
  </si>
  <si>
    <t>A995</t>
  </si>
  <si>
    <t>Brunnthal 2</t>
  </si>
  <si>
    <t>Hohenbrunn</t>
  </si>
  <si>
    <t>Perlach</t>
  </si>
  <si>
    <t>A94</t>
  </si>
  <si>
    <t>Forstinning</t>
  </si>
  <si>
    <t>München Nord</t>
  </si>
  <si>
    <t>A9</t>
  </si>
  <si>
    <t>Köschinger Forst</t>
  </si>
  <si>
    <t>Ingolstadt</t>
  </si>
  <si>
    <t>Sandrach Brücke</t>
  </si>
  <si>
    <t>Moosburg</t>
  </si>
  <si>
    <t>Freising</t>
  </si>
  <si>
    <t>A93 Nord</t>
  </si>
  <si>
    <t>Wolnzach</t>
  </si>
  <si>
    <t>Langenpreising</t>
  </si>
  <si>
    <t>Pilsting</t>
  </si>
  <si>
    <t>Bayrischer Wald</t>
  </si>
  <si>
    <t>Kirchroth</t>
  </si>
  <si>
    <t>Wörth Donaubrücke</t>
  </si>
  <si>
    <t>Sinzing</t>
  </si>
  <si>
    <t>Siegenburg</t>
  </si>
  <si>
    <t>Regendorf</t>
  </si>
  <si>
    <t>Parsberg</t>
  </si>
  <si>
    <t>Pollenried</t>
  </si>
  <si>
    <t>Schwarzach</t>
  </si>
  <si>
    <t>Schöllnachtal</t>
  </si>
  <si>
    <t>Schaldinger Donaubrücke</t>
  </si>
  <si>
    <t>Suben Innbrücke</t>
  </si>
  <si>
    <t>Gefrierpunkttemperatur Typ 65, 2. BS</t>
  </si>
  <si>
    <t>Fahrbahnzustand  Typ 51, 1. BS</t>
  </si>
  <si>
    <t>Fahrbahnzustand Typ 51, 2. BS</t>
  </si>
  <si>
    <t>Gefrierpunkttemperatur  Typ 65, 1. BS</t>
  </si>
  <si>
    <t>Fahrbahntemperatur  Typ 49, 1. BS</t>
  </si>
  <si>
    <t>Fahrbahntemperatur Typ 49, 2. BS</t>
  </si>
  <si>
    <t>IVS9/DM25</t>
  </si>
  <si>
    <t>Rosenheim (Innbrücke)</t>
  </si>
  <si>
    <t>Kiefersfelden (Innbrücke)</t>
  </si>
  <si>
    <t>Landshut West</t>
  </si>
  <si>
    <t>Landshut</t>
  </si>
  <si>
    <t>Dingolfing</t>
  </si>
  <si>
    <t>SST Oberaudorf geändert in BAS90 / ROSA</t>
  </si>
  <si>
    <t>SST Kirchdorfer Berg geändert in BAS90 / ROSA</t>
  </si>
  <si>
    <t>2A</t>
  </si>
  <si>
    <t>SST Brunnthal2, Perlach und Forstinning DE`s in der Tabelle an die Telegrammdateien angepasst</t>
  </si>
  <si>
    <t>06</t>
  </si>
  <si>
    <t>Rosenhof</t>
  </si>
  <si>
    <t>SST Feldmoching wird BAS90/ROSA, Kilometrierung geändert und SST Rosenhof neu hinzu</t>
  </si>
  <si>
    <t>SST Schwarzach zweiter Bodensensor hinzu</t>
  </si>
  <si>
    <t>SST Landsberg Windsensorik neu hinzu</t>
  </si>
  <si>
    <t>SST Kohlbergtunnel Austausch in ROSA, 2.BS neu hinzu</t>
  </si>
  <si>
    <t>SST Sulzbergbrücke, Rohrbachtobel und Hellengerst mit BAS90 und GPRS</t>
  </si>
  <si>
    <t>Knotennummern geändert, rot markiert</t>
  </si>
  <si>
    <t>nochmalige Änderung der Knotennummern und Kilometrierung, magenta markiert</t>
  </si>
  <si>
    <t>CCM / DM32</t>
  </si>
  <si>
    <t>B15n</t>
  </si>
  <si>
    <t>XH Byte</t>
  </si>
  <si>
    <t>H Byte</t>
  </si>
  <si>
    <t>L Byte</t>
  </si>
  <si>
    <t>A8</t>
  </si>
  <si>
    <t>A93 N</t>
  </si>
  <si>
    <t>AD Saalhaupt</t>
  </si>
  <si>
    <t>Fahrbahnzustand Typ 51</t>
  </si>
  <si>
    <t>Schierling</t>
  </si>
  <si>
    <t>6B</t>
  </si>
  <si>
    <t>Grafenschlag</t>
  </si>
  <si>
    <t>Laaber Brücke</t>
  </si>
  <si>
    <t>Pemp. Tiefe 3 (30cm) Typ 69</t>
  </si>
  <si>
    <t>SM2010 / DM32</t>
  </si>
  <si>
    <t>Version</t>
  </si>
  <si>
    <t>Datum</t>
  </si>
  <si>
    <t>Name</t>
  </si>
  <si>
    <t>Änderung</t>
  </si>
  <si>
    <t>.05</t>
  </si>
  <si>
    <t>.04</t>
  </si>
  <si>
    <t>.06</t>
  </si>
  <si>
    <t>.07</t>
  </si>
  <si>
    <t>.08</t>
  </si>
  <si>
    <t>.09</t>
  </si>
  <si>
    <t>.10</t>
  </si>
  <si>
    <t>.11</t>
  </si>
  <si>
    <t>.12</t>
  </si>
  <si>
    <t>.13</t>
  </si>
  <si>
    <t>.14</t>
  </si>
  <si>
    <t>.15</t>
  </si>
  <si>
    <t>B15n hinzu gefügt</t>
  </si>
  <si>
    <t xml:space="preserve">Umbau auf SM2010 und CCM mit DM 32 makiert </t>
  </si>
  <si>
    <t>Michaelis</t>
  </si>
  <si>
    <t>Dieterich</t>
  </si>
  <si>
    <t xml:space="preserve">technik neu </t>
  </si>
  <si>
    <t xml:space="preserve">Illertalkanalbrücke </t>
  </si>
  <si>
    <t xml:space="preserve">Memmingen </t>
  </si>
  <si>
    <t>AD Süd-West</t>
  </si>
  <si>
    <t>A2</t>
  </si>
  <si>
    <t>C6</t>
  </si>
  <si>
    <t>A1</t>
  </si>
  <si>
    <t>Temp. Tiefe 3 (51cm)  Typ 69</t>
  </si>
  <si>
    <t xml:space="preserve">Windach </t>
  </si>
  <si>
    <t>AS-Neufahrn</t>
  </si>
  <si>
    <t>Goldbachbrücke</t>
  </si>
  <si>
    <t>:16</t>
  </si>
  <si>
    <t xml:space="preserve">Olaf Börner </t>
  </si>
  <si>
    <t>Neu/ Umbau von diversen Swis- Stationen  2013</t>
  </si>
  <si>
    <t>EA</t>
  </si>
  <si>
    <t>F5</t>
  </si>
  <si>
    <t>A5</t>
  </si>
  <si>
    <t>AB</t>
  </si>
  <si>
    <t>B0</t>
  </si>
  <si>
    <t>2D</t>
  </si>
  <si>
    <t>F9</t>
  </si>
  <si>
    <t>EB</t>
  </si>
  <si>
    <t>C7</t>
  </si>
  <si>
    <t>B1</t>
  </si>
  <si>
    <t>F1</t>
  </si>
  <si>
    <t>BE</t>
  </si>
  <si>
    <t>FC</t>
  </si>
  <si>
    <t>BD</t>
  </si>
  <si>
    <t>E7</t>
  </si>
  <si>
    <t>7B</t>
  </si>
  <si>
    <t>C5</t>
  </si>
  <si>
    <t>7E</t>
  </si>
  <si>
    <t>8C</t>
  </si>
  <si>
    <t>4D</t>
  </si>
  <si>
    <t>C8</t>
  </si>
  <si>
    <t>E4</t>
  </si>
  <si>
    <t>04</t>
  </si>
  <si>
    <t>3D</t>
  </si>
  <si>
    <t>C2</t>
  </si>
  <si>
    <t>9B</t>
  </si>
  <si>
    <t>C3</t>
  </si>
  <si>
    <t>8E</t>
  </si>
  <si>
    <t>2B</t>
  </si>
  <si>
    <t>AF</t>
  </si>
  <si>
    <t>8F</t>
  </si>
  <si>
    <t>F6</t>
  </si>
  <si>
    <t>A6</t>
  </si>
  <si>
    <t>6F</t>
  </si>
  <si>
    <t>D3</t>
  </si>
  <si>
    <t>FB</t>
  </si>
  <si>
    <t>EF</t>
  </si>
  <si>
    <t>D7</t>
  </si>
  <si>
    <t>D4</t>
  </si>
  <si>
    <t>AD</t>
  </si>
  <si>
    <t>2C</t>
  </si>
  <si>
    <t>E8</t>
  </si>
  <si>
    <t>D5</t>
  </si>
  <si>
    <t>00</t>
  </si>
  <si>
    <t>BA</t>
  </si>
  <si>
    <t>DC</t>
  </si>
  <si>
    <t>B8</t>
  </si>
  <si>
    <t>8B</t>
  </si>
  <si>
    <t>A4</t>
  </si>
  <si>
    <t>6A</t>
  </si>
  <si>
    <t>D9</t>
  </si>
  <si>
    <t>7D</t>
  </si>
  <si>
    <t>B3</t>
  </si>
  <si>
    <t>.18</t>
  </si>
  <si>
    <t xml:space="preserve">Knotennummern eingetragen </t>
  </si>
  <si>
    <t>.19</t>
  </si>
  <si>
    <t>B15 Neufahrn und Goldbach Auftrag vorhanden.</t>
  </si>
  <si>
    <t>Niederschlagsart  Typ 71</t>
  </si>
  <si>
    <t>Fahrbahnzustand  Typ 70</t>
  </si>
  <si>
    <t>Niederschlagsintensität Typ 53</t>
  </si>
  <si>
    <t>Wasserfilmdicke in mm Typ 72</t>
  </si>
  <si>
    <t>.20</t>
  </si>
  <si>
    <t>Stefan Michaelis</t>
  </si>
  <si>
    <t>A3 Sinzing Umstellung auf TLS 2012 und Erweiterung von Nieserschlagsintensität und Wasserfilmdicke</t>
  </si>
  <si>
    <t>.21</t>
  </si>
  <si>
    <t>4</t>
  </si>
  <si>
    <t>3</t>
  </si>
  <si>
    <t>5</t>
  </si>
  <si>
    <t>6</t>
  </si>
  <si>
    <t>7</t>
  </si>
  <si>
    <t>8</t>
  </si>
  <si>
    <t>9</t>
  </si>
  <si>
    <t>NI, NA, WFD und FBZ auf TLS 2012 angepasst bei Allgäuer Tor;  Durach Brücke, Sulzberg Brücke, Rohrbachtobelbrücke, Hellengerst, Rottachtal Brücke, Hittistetten, Illertal Brücke, Memmingen Ost, Illerkanal Brücke, Oberpfaffenhofen, AD Südwest, Windach, AD Saalhaupt, Schierling, Grafenschlag, Laaberbrücke, Neufahrn, Goldbach</t>
  </si>
  <si>
    <t>F2</t>
  </si>
  <si>
    <t>Memmingen-Süd</t>
  </si>
  <si>
    <t>Buchloe</t>
  </si>
  <si>
    <t>.22</t>
  </si>
  <si>
    <t>ED</t>
  </si>
  <si>
    <t>BC</t>
  </si>
  <si>
    <t>9D</t>
  </si>
  <si>
    <t>A96 Buchloe und Memmingen-Süd Knotennummer eingetragen</t>
  </si>
  <si>
    <t>CCM / DM 32</t>
  </si>
  <si>
    <t>Passau Süd</t>
  </si>
  <si>
    <t>.23</t>
  </si>
  <si>
    <t>Neu / Umbau SWIS- Stationen 2014 mit TLS 2012;  Starnberg,Großweil-Mühlbachbrücke,Wolfrathshausen, Pfettrachbrücke, Siegenburg, Passau Süd, Galgenberg, Deggenauerbrücke, Bayrischer Wald, Regendorf, Hausen, Laaber Brücke, Wörth Donaubrücke, Pilsting</t>
  </si>
  <si>
    <t>Unterfrauendorf</t>
  </si>
  <si>
    <t>.24</t>
  </si>
  <si>
    <t>5B</t>
  </si>
  <si>
    <t>AC</t>
  </si>
  <si>
    <t>Temp. Tiefe 3 (30cm) Typ 69</t>
  </si>
  <si>
    <t>Neubau  Unterfrauendorf A3 km 466,590, UZ Pentling IB Ports angepasst</t>
  </si>
  <si>
    <t>.25</t>
  </si>
  <si>
    <t>Perlach Unfallschaden mit Umstellung auf TLS2012</t>
  </si>
  <si>
    <t>Unterpfrauendorf</t>
  </si>
  <si>
    <t>j</t>
  </si>
  <si>
    <t>Leubas Solar</t>
  </si>
  <si>
    <t>.26</t>
  </si>
  <si>
    <t>Leubas A7 Solar</t>
  </si>
  <si>
    <t>.27</t>
  </si>
  <si>
    <t>Leubas A7 Solar Osi2 Adr. Geändert</t>
  </si>
  <si>
    <t>D0</t>
  </si>
  <si>
    <t>.28</t>
  </si>
  <si>
    <t>Leubas A7 Knotennr. Geändert</t>
  </si>
  <si>
    <t>Priental Brücke</t>
  </si>
  <si>
    <t>CCM / TLS 2012</t>
  </si>
  <si>
    <t>.29</t>
  </si>
  <si>
    <t>Erweiterung / Neubau Preintal Brücke, Flughafen Spange</t>
  </si>
  <si>
    <t>Niederschlagsart  Typ 71_Sbg</t>
  </si>
  <si>
    <t>Fahrbahnzustand  Typ 70  Bodensonde 1_Sbg</t>
  </si>
  <si>
    <t>Lufttemperatur  Typ 48_Sbg</t>
  </si>
  <si>
    <t>Relative Luftfeuchtigkeit  Typ 55_Sbg</t>
  </si>
  <si>
    <t>Fahrbahntemperatur  Typ 49 Bodensonde 1_Sbg</t>
  </si>
  <si>
    <t>Taupunkttemperaqtur  Typ 66 Bodensonde 1_Sbg</t>
  </si>
  <si>
    <t>Temp. Tiefe 1 (5cm)  Typ 67 Bodensonde 1_Sbg</t>
  </si>
  <si>
    <t>Niederschlagsintensität Typ 53_Sbg</t>
  </si>
  <si>
    <t>Wasserfilmdicke in mm Typ 72 Bodensonde 1_Sbg</t>
  </si>
  <si>
    <t>Fahrbahnzustand  Typ 70 Bodensonde 2_Muc</t>
  </si>
  <si>
    <t>Fahrbahntemperatur  Typ 49 Bodensonde 2_Muc</t>
  </si>
  <si>
    <t>Temp. Tiefe 1 (5cm)  Typ 67 Bodensonde 2_Muc</t>
  </si>
  <si>
    <t>Wasserfilmdicke in mm Typ 72 Bodensonde 2_Muc</t>
  </si>
  <si>
    <t>Flughafen Spange</t>
  </si>
  <si>
    <t xml:space="preserve">Fahrbahnzustand  Typ 70 </t>
  </si>
  <si>
    <t xml:space="preserve">Taupunkttemperaqtur  Typ 66 </t>
  </si>
  <si>
    <t xml:space="preserve">Fahrbahntemperatur  Typ 49 </t>
  </si>
  <si>
    <t xml:space="preserve">Temp. Tiefe 1 (5cm)  Typ 67 </t>
  </si>
  <si>
    <t xml:space="preserve">Wasserfilmdicke in mm Typ 72 </t>
  </si>
  <si>
    <t>Gefrierpunkttemperatur  Typ 65 Bodensonde 1_Sbg</t>
  </si>
  <si>
    <t>0723459</t>
  </si>
  <si>
    <t>03</t>
  </si>
  <si>
    <t>.30</t>
  </si>
  <si>
    <t>Umbau 2016: A3 Parsberg, Schwarzach, A92 Dingolfing, A93N Pentling und Wolnzach</t>
  </si>
  <si>
    <t>0e</t>
  </si>
  <si>
    <t>Dingolfing und Wolnzach UT 30 nachgetragen</t>
  </si>
  <si>
    <t>.31</t>
  </si>
  <si>
    <t>Rosenheim Innbrücke</t>
  </si>
  <si>
    <t>Kiefersfelden</t>
  </si>
  <si>
    <t>Prientalbrücke</t>
  </si>
  <si>
    <t>Siemens KRI</t>
  </si>
  <si>
    <t>STS KRI</t>
  </si>
  <si>
    <t>IB 1 DA 2</t>
  </si>
  <si>
    <t>IB 200 -F10</t>
  </si>
  <si>
    <t>IB 201 -F11</t>
  </si>
  <si>
    <t>IB 2 DA 3</t>
  </si>
  <si>
    <t>IB 3 DA 1</t>
  </si>
  <si>
    <t>IB 203 -F12</t>
  </si>
  <si>
    <t>Com 2</t>
  </si>
  <si>
    <t>vor</t>
  </si>
  <si>
    <t>nach</t>
  </si>
  <si>
    <t>pause</t>
  </si>
  <si>
    <t>92</t>
  </si>
  <si>
    <t>.32</t>
  </si>
  <si>
    <t>Landshut Anpassung</t>
  </si>
  <si>
    <t>Fürstenried</t>
  </si>
  <si>
    <t>A 95</t>
  </si>
  <si>
    <t>.33</t>
  </si>
  <si>
    <t>Erweiterung / Neubau Fürstenried, Eschenlohe und Farchant</t>
  </si>
  <si>
    <t>Eschenlohe</t>
  </si>
  <si>
    <t>B 2</t>
  </si>
  <si>
    <t>.34</t>
  </si>
  <si>
    <t>Umbau Schöllnachtal, Schallding, Suben Brücke, Leibi, Inntal Dreieck, Bernauer Berg, Köschinger Forst, Sandrach Brücke und Langenpreis</t>
  </si>
  <si>
    <t xml:space="preserve">Fahrbahnzustand  Typ 70 Bodensonde 1 </t>
  </si>
  <si>
    <t xml:space="preserve">Wasserfilmdicke in mm Typ 72  Bodensonde 1 </t>
  </si>
  <si>
    <t>Fahrbahnzustand  Typ 70 2. Bodensensor  2</t>
  </si>
  <si>
    <t>Fahrbahntemperatur  Typ 49, 2. Bodensensor 2</t>
  </si>
  <si>
    <t>Wasserfilmdicke in mm Typ 72  2 Bodensonde 2</t>
  </si>
  <si>
    <t>4,6 B</t>
  </si>
  <si>
    <t>Tunnel Farchant - Loisachbruecke</t>
  </si>
  <si>
    <t>90,250 B</t>
  </si>
  <si>
    <t>FA</t>
  </si>
  <si>
    <t>172.201.50.161</t>
  </si>
  <si>
    <t>255.255.255.0</t>
  </si>
  <si>
    <t>172.201.8.161</t>
  </si>
  <si>
    <t>172.201.3.161</t>
  </si>
  <si>
    <t>UZ- Schnittstelle</t>
  </si>
  <si>
    <t>IP</t>
  </si>
  <si>
    <t>Subnet Mask</t>
  </si>
  <si>
    <t>Gatway</t>
  </si>
  <si>
    <t>255.25255.0</t>
  </si>
  <si>
    <t>172.201.3.1</t>
  </si>
  <si>
    <t>172.201.8.1</t>
  </si>
  <si>
    <t>255.25.255.0</t>
  </si>
  <si>
    <t>172.201.50.1</t>
  </si>
  <si>
    <t>Temp. Tiefe 1 (5cm)  Typ 67, 2. Bodensensor 2</t>
  </si>
  <si>
    <t>.35</t>
  </si>
  <si>
    <t>Fürstenried, Streitheim und Farchant IP Adr. eingetragen und angepasst</t>
  </si>
  <si>
    <t>Wasserfilmdicke Typ 72</t>
  </si>
  <si>
    <t>CCM2200+</t>
  </si>
  <si>
    <t>.36</t>
  </si>
  <si>
    <t>Wasserfilmdicke in mm Typ 72, 1 Bodensensor</t>
  </si>
  <si>
    <t>Wasserfilmdicke in mm Typ 72, 2 Bodensensor</t>
  </si>
  <si>
    <t>Temp. Tiefe 1 (5cm)  Typ 67, 1 Bodensensor</t>
  </si>
  <si>
    <t>Temp. Tiefe 1 (5cm)  Typ 67, 2 Bodensensor</t>
  </si>
  <si>
    <t>Neu/ Umbau 2013 - 2018</t>
  </si>
  <si>
    <t>2</t>
  </si>
  <si>
    <t>Kirchdorfer Berg, Memmingen West, Oberaudorf, Landsberg Brücke, Schöffelding, Eching Tunnel, Köschinger Forst, Feldmoching, Moosburg, Kiefersfelden Innbrücke, Forstinning</t>
  </si>
  <si>
    <t>Ohu</t>
  </si>
  <si>
    <t>????</t>
  </si>
  <si>
    <t>9208153</t>
  </si>
  <si>
    <t>59</t>
  </si>
  <si>
    <t>.37</t>
  </si>
  <si>
    <t>Erweiterung A92 OHU</t>
  </si>
  <si>
    <t>DST</t>
  </si>
  <si>
    <t>DSC</t>
  </si>
  <si>
    <t>RWCC</t>
  </si>
  <si>
    <t>.38</t>
  </si>
  <si>
    <t>Umbau Kohlberg Tunnel</t>
  </si>
  <si>
    <t>1</t>
  </si>
  <si>
    <t>10</t>
  </si>
  <si>
    <t>Fahrbahntemperatur  Typ 49, 1 Bodensonde</t>
  </si>
  <si>
    <t>Temp. Tiefe 1 (5cm)  Typ 67, 1 Bodensonde</t>
  </si>
  <si>
    <t>B6</t>
  </si>
  <si>
    <t xml:space="preserve">Gefrierpunkttemperatur  Typ 65  Bodensonde 1 </t>
  </si>
  <si>
    <t xml:space="preserve">Fahrbahntemperatur  Typ 49  Bodensonde 1 </t>
  </si>
  <si>
    <t xml:space="preserve">Temp. Tiefe 1 (5cm)  Typ 67  Bodensonde 1 </t>
  </si>
  <si>
    <t>Gefrierpunkttemperatur  Typ 65, 2. Bodensensor 2</t>
  </si>
  <si>
    <t>.39</t>
  </si>
  <si>
    <t>FBS Erweiterung Bay Wald</t>
  </si>
  <si>
    <t>Fahrbahnzustand  Typ 70 2. Bodensensor  FR Pa</t>
  </si>
  <si>
    <t>Gefrierpunkttemperatur  Typ 65, 2. Bodensensor FR Pa</t>
  </si>
  <si>
    <t>Wasserfilmdicke in mm Typ 72  2 Bodensonde FR Pa</t>
  </si>
  <si>
    <t>Fahrbahntemperatur  Typ 49, 2. Bodensensor FR Pa</t>
  </si>
  <si>
    <t>old</t>
  </si>
  <si>
    <t xml:space="preserve">CDA Netzwerk </t>
  </si>
  <si>
    <t>10.128.12.4</t>
  </si>
  <si>
    <t>SWIS -12-004@abdsb.de</t>
  </si>
  <si>
    <t>RT2bs%p8</t>
  </si>
  <si>
    <t>B:</t>
  </si>
  <si>
    <t>P:</t>
  </si>
  <si>
    <t>NA / NS</t>
  </si>
  <si>
    <t>LT</t>
  </si>
  <si>
    <t>RLF</t>
  </si>
  <si>
    <t>TP</t>
  </si>
  <si>
    <t>NI</t>
  </si>
  <si>
    <t>WD</t>
  </si>
  <si>
    <t>WS</t>
  </si>
  <si>
    <t>FR Füs</t>
  </si>
  <si>
    <t>FR Ulm</t>
  </si>
  <si>
    <t>FR Li</t>
  </si>
  <si>
    <t>FR Sen</t>
  </si>
  <si>
    <t>FR Muc</t>
  </si>
  <si>
    <t>FR Memmingen</t>
  </si>
  <si>
    <t>MR Muc</t>
  </si>
  <si>
    <t>FR Gap</t>
  </si>
  <si>
    <t>Fr Memmingen</t>
  </si>
  <si>
    <t>Taupunkttemperatur  Typ 66</t>
  </si>
  <si>
    <t>FR Ösi</t>
  </si>
  <si>
    <t>FR Sbg</t>
  </si>
  <si>
    <t>Fr Sbg</t>
  </si>
  <si>
    <t>Fr Muc</t>
  </si>
  <si>
    <t>GT FS1</t>
  </si>
  <si>
    <t>FBZ FS1</t>
  </si>
  <si>
    <t>FBT FS1</t>
  </si>
  <si>
    <t>UT1 FS1</t>
  </si>
  <si>
    <t>UT3 Muc</t>
  </si>
  <si>
    <t>WFD FS1</t>
  </si>
  <si>
    <t>FBZ FS2</t>
  </si>
  <si>
    <t>UT1 FS2</t>
  </si>
  <si>
    <t>FBT FS2</t>
  </si>
  <si>
    <t>WFD FS2</t>
  </si>
  <si>
    <t>GT FS2</t>
  </si>
  <si>
    <t>Gefrierpunkttemperatur  Typ 65 Bodensonde 2_Muc</t>
  </si>
  <si>
    <t>FBZ Sbg</t>
  </si>
  <si>
    <t>GT Sbg</t>
  </si>
  <si>
    <t>FBT Sbg</t>
  </si>
  <si>
    <t>UT1 Sbg</t>
  </si>
  <si>
    <t>WFD Sbg</t>
  </si>
  <si>
    <t>FBZ Muc</t>
  </si>
  <si>
    <t>FBT Muc</t>
  </si>
  <si>
    <t>UT1 Muc</t>
  </si>
  <si>
    <t>WFD Muc</t>
  </si>
  <si>
    <t>GT Muc</t>
  </si>
  <si>
    <t>FR Stg</t>
  </si>
  <si>
    <t>FBZ Nbg</t>
  </si>
  <si>
    <t>GT Nbg</t>
  </si>
  <si>
    <t>FBT Nbg</t>
  </si>
  <si>
    <t>UT1 Nbg</t>
  </si>
  <si>
    <t>WFD Nbg</t>
  </si>
  <si>
    <t>FBZ Pa</t>
  </si>
  <si>
    <t>FBT Pa</t>
  </si>
  <si>
    <t>WFD Pa</t>
  </si>
  <si>
    <t>GT Pa</t>
  </si>
  <si>
    <t>Inhalte Display</t>
  </si>
  <si>
    <t>Kirchdorfer Ber</t>
  </si>
  <si>
    <t xml:space="preserve">Landsberg </t>
  </si>
  <si>
    <t>ja</t>
  </si>
  <si>
    <t>FBZ Fü</t>
  </si>
  <si>
    <t>GT Fü</t>
  </si>
  <si>
    <t>FBT Fü</t>
  </si>
  <si>
    <t>UT1 Fü</t>
  </si>
  <si>
    <t>UT3 Fü</t>
  </si>
  <si>
    <t>WFD Fü</t>
  </si>
  <si>
    <t>FBZ UL</t>
  </si>
  <si>
    <t>GT UL</t>
  </si>
  <si>
    <t>FBT UL</t>
  </si>
  <si>
    <t>UT1 UL</t>
  </si>
  <si>
    <t>UT3 UL</t>
  </si>
  <si>
    <t>WFD UL</t>
  </si>
  <si>
    <t>FBZ Li</t>
  </si>
  <si>
    <t>GT Li</t>
  </si>
  <si>
    <t>FBT Li</t>
  </si>
  <si>
    <t>UT1 Li</t>
  </si>
  <si>
    <t>WFD Li</t>
  </si>
  <si>
    <t>UT3 Li</t>
  </si>
  <si>
    <t>WR</t>
  </si>
  <si>
    <t>GT MM</t>
  </si>
  <si>
    <t>FBT MM</t>
  </si>
  <si>
    <t>UT1 MM</t>
  </si>
  <si>
    <t>WFD MM</t>
  </si>
  <si>
    <t>FBZ MM</t>
  </si>
  <si>
    <t>FBZ Se</t>
  </si>
  <si>
    <t>GT Se</t>
  </si>
  <si>
    <t>FBT Se</t>
  </si>
  <si>
    <t>UT1 Se</t>
  </si>
  <si>
    <t>WFD Se</t>
  </si>
  <si>
    <t>GT1 Muc</t>
  </si>
  <si>
    <t>FBT1 Muc</t>
  </si>
  <si>
    <t>WFD1 Muc</t>
  </si>
  <si>
    <t>FBZ2 Muc</t>
  </si>
  <si>
    <t>GT2 Muc</t>
  </si>
  <si>
    <t>FBT2 Muc</t>
  </si>
  <si>
    <t>WFD2 Muc</t>
  </si>
  <si>
    <t>FBZ Ul</t>
  </si>
  <si>
    <t>GT Ul</t>
  </si>
  <si>
    <t>FBT Ul</t>
  </si>
  <si>
    <t>UT1 Ul</t>
  </si>
  <si>
    <t>WFD Ul</t>
  </si>
  <si>
    <t>FR Lindau</t>
  </si>
  <si>
    <t>Memmingen West (NEU Aitrach)</t>
  </si>
  <si>
    <t>UT3 Ul</t>
  </si>
  <si>
    <t>FBZ Gap</t>
  </si>
  <si>
    <t>GT Gap</t>
  </si>
  <si>
    <t>FBT Gap</t>
  </si>
  <si>
    <t>UT1 Gap</t>
  </si>
  <si>
    <t>UT3 Gap</t>
  </si>
  <si>
    <t>WFD Gap</t>
  </si>
  <si>
    <t>UT3 MM</t>
  </si>
  <si>
    <t>FBZ A</t>
  </si>
  <si>
    <t>GT A</t>
  </si>
  <si>
    <t>FBT A</t>
  </si>
  <si>
    <t>UT1 A</t>
  </si>
  <si>
    <t>UT3 A</t>
  </si>
  <si>
    <t>WFD A</t>
  </si>
  <si>
    <t>UT3 Sbg</t>
  </si>
  <si>
    <t>FBZ Stg</t>
  </si>
  <si>
    <t>GT Stg</t>
  </si>
  <si>
    <t>FBT Stg</t>
  </si>
  <si>
    <t>UT1 Stg</t>
  </si>
  <si>
    <t>WFD Stg</t>
  </si>
  <si>
    <t>.40</t>
  </si>
  <si>
    <t>FR Nbg</t>
  </si>
  <si>
    <t>UT3 Nbg</t>
  </si>
  <si>
    <t>UT3 R</t>
  </si>
  <si>
    <t>FR R</t>
  </si>
  <si>
    <t>FBZ R</t>
  </si>
  <si>
    <t>GT R</t>
  </si>
  <si>
    <t>FBT R</t>
  </si>
  <si>
    <t>UT1 R</t>
  </si>
  <si>
    <t>WFD R</t>
  </si>
  <si>
    <t>FBZ RO</t>
  </si>
  <si>
    <t>TP RO</t>
  </si>
  <si>
    <t>FBT RO</t>
  </si>
  <si>
    <t>WFD RO</t>
  </si>
  <si>
    <t>FBZ Wei</t>
  </si>
  <si>
    <t>GT Wei</t>
  </si>
  <si>
    <t>FBT Wei</t>
  </si>
  <si>
    <t>UT1 Wei</t>
  </si>
  <si>
    <t>UT3 Wei</t>
  </si>
  <si>
    <t>WFD Wei</t>
  </si>
  <si>
    <t>FR Wei</t>
  </si>
  <si>
    <t>RF</t>
  </si>
  <si>
    <t>FR Deg</t>
  </si>
  <si>
    <t>FBZ Deg</t>
  </si>
  <si>
    <t>GT Deg</t>
  </si>
  <si>
    <t>FBT Deg</t>
  </si>
  <si>
    <t>UT1 Deg</t>
  </si>
  <si>
    <t>UT3 Deg</t>
  </si>
  <si>
    <t>WFD Deg</t>
  </si>
  <si>
    <t>FBZ Opt</t>
  </si>
  <si>
    <t>TP Opt</t>
  </si>
  <si>
    <t>FBT Opt</t>
  </si>
  <si>
    <t>WFD Opt</t>
  </si>
  <si>
    <t>FBZ B15</t>
  </si>
  <si>
    <t>GT B15</t>
  </si>
  <si>
    <t>FBT B15</t>
  </si>
  <si>
    <t>UT1 B15</t>
  </si>
  <si>
    <t>WFD B15</t>
  </si>
  <si>
    <t>TP Deg</t>
  </si>
  <si>
    <t>FR A</t>
  </si>
  <si>
    <t>FR DEG / Nbg</t>
  </si>
  <si>
    <t>TP A</t>
  </si>
  <si>
    <t>TP Muc</t>
  </si>
  <si>
    <t>Umbau Brunntal 2 und Erweiterung der GT 2 an Standorten mit 2 BoSo</t>
  </si>
  <si>
    <t>F8</t>
  </si>
  <si>
    <t>5C</t>
  </si>
  <si>
    <t>Durachbrücke</t>
  </si>
  <si>
    <t>NI / NS</t>
  </si>
  <si>
    <t>.41</t>
  </si>
  <si>
    <t>GMA Durach Brücke nach getragen</t>
  </si>
  <si>
    <t>IP Adr. SHDSL SST</t>
  </si>
  <si>
    <t>IP Adr. SHDSL KH</t>
  </si>
  <si>
    <t>IP Adr. LWL Switch KH</t>
  </si>
  <si>
    <t>172.201.8.171</t>
  </si>
  <si>
    <t>172.201.8.172</t>
  </si>
  <si>
    <t>172.201.8.173</t>
  </si>
  <si>
    <t>172.201.8.174</t>
  </si>
  <si>
    <t xml:space="preserve">IP Adr. SST </t>
  </si>
  <si>
    <t>.42</t>
  </si>
  <si>
    <t xml:space="preserve">NTP </t>
  </si>
  <si>
    <t>FR Ro</t>
  </si>
  <si>
    <t>FBZ Ro</t>
  </si>
  <si>
    <t>GT Ro</t>
  </si>
  <si>
    <t>FBT Ro</t>
  </si>
  <si>
    <t>UT1 Ro</t>
  </si>
  <si>
    <t>WFD Ro</t>
  </si>
  <si>
    <t>Eschenlohe IP Adr. eingetragen, AS Rosenheim nachgetragen</t>
  </si>
  <si>
    <t>.43</t>
  </si>
  <si>
    <t xml:space="preserve">Anpassung Feldmoching SWIS UZ Freimann </t>
  </si>
  <si>
    <t>09</t>
  </si>
  <si>
    <t>AS Rosenheim  West</t>
  </si>
  <si>
    <t>.44</t>
  </si>
  <si>
    <t>Uzz Rosenheim OSI3-Routing angepasst, AS Rosenheim OSI 2 Adr umgestellt</t>
  </si>
  <si>
    <t>CCM / DMU</t>
  </si>
  <si>
    <t>FAHRTRICHTUNG</t>
  </si>
  <si>
    <t>BABKM</t>
  </si>
  <si>
    <t>NAME</t>
  </si>
  <si>
    <t>LOC</t>
  </si>
  <si>
    <t>DIST</t>
  </si>
  <si>
    <t>KOMMENTAR</t>
  </si>
  <si>
    <t>EAID</t>
  </si>
  <si>
    <t>HERSTELLER</t>
  </si>
  <si>
    <t>IFACEKEY</t>
  </si>
  <si>
    <t>MAKRO</t>
  </si>
  <si>
    <t>RDSDE1</t>
  </si>
  <si>
    <t>RDSDE33</t>
  </si>
  <si>
    <t>RDSDE9</t>
  </si>
  <si>
    <t>RDSDE41</t>
  </si>
  <si>
    <t>RDSDE17</t>
  </si>
  <si>
    <t>RDSDE49</t>
  </si>
  <si>
    <t>RDSDE225</t>
  </si>
  <si>
    <t>RDSDE233</t>
  </si>
  <si>
    <t>LOGKMVON</t>
  </si>
  <si>
    <t>LOGKMBIS</t>
  </si>
  <si>
    <t>LOGKM</t>
  </si>
  <si>
    <t>S</t>
  </si>
  <si>
    <t>N</t>
  </si>
  <si>
    <t>W</t>
  </si>
  <si>
    <t>O</t>
  </si>
  <si>
    <t>B15</t>
  </si>
  <si>
    <t>LOGDE</t>
  </si>
  <si>
    <t>VRZ</t>
  </si>
  <si>
    <t>VRZ_BY</t>
  </si>
  <si>
    <t>SWIS</t>
  </si>
  <si>
    <t>KRI2</t>
  </si>
  <si>
    <t>KRI2 SWIS</t>
  </si>
  <si>
    <t>FLAG</t>
  </si>
  <si>
    <t>addSuffix</t>
  </si>
  <si>
    <t>stand unter KNR 9607304</t>
  </si>
  <si>
    <t/>
  </si>
  <si>
    <t xml:space="preserve">Fahrbahntemperatur  Typ 49, </t>
  </si>
  <si>
    <t xml:space="preserve">Temp. Tiefe 1 (5cm)  Typ 67, </t>
  </si>
  <si>
    <t>Fahrbahnzustand  Typ 70  _Sbg</t>
  </si>
  <si>
    <t>Taupunkttemperaqtur  Typ 66 _Sbg</t>
  </si>
  <si>
    <t>Gefrierpunkttemperatur  Typ 65 _Sbg</t>
  </si>
  <si>
    <t>Fahrbahntemperatur  Typ 49 _Sbg</t>
  </si>
  <si>
    <t>Temp. Tiefe 1 (5cm)  Typ 67 _Sbg</t>
  </si>
  <si>
    <t>Wasserfilmdicke in mm Typ 72 _Sbg</t>
  </si>
  <si>
    <t xml:space="preserve">Fahrbahnzustand  Typ 70  </t>
  </si>
  <si>
    <t xml:space="preserve">Gefrierpunkttemperatur  Typ 65   </t>
  </si>
  <si>
    <t xml:space="preserve">Fahrbahntemperatur  Typ 49   </t>
  </si>
  <si>
    <t xml:space="preserve">Temp. Tiefe 1 (5cm)  Typ 67   </t>
  </si>
  <si>
    <t xml:space="preserve">Wasserfilmdicke in mm Typ 72   </t>
  </si>
  <si>
    <t xml:space="preserve">Gefrierpunkttemperatur  Typ 65 </t>
  </si>
  <si>
    <t xml:space="preserve">Gefrierpunkttemperatur  Typ 65, </t>
  </si>
  <si>
    <t xml:space="preserve">Fahrbahnzustand  Typ 51,  </t>
  </si>
  <si>
    <t>Fahrbahnzustand  Typ 70   FR Pa</t>
  </si>
  <si>
    <t>Gefrierpunkttemperatur  Typ 65,  FR Pa</t>
  </si>
  <si>
    <t>Fahrbahntemperatur  Typ 49,  FR Pa</t>
  </si>
  <si>
    <t>Fahrbahnzustand  Typ 70   2</t>
  </si>
  <si>
    <t>Gefrierpunkttemperatur  Typ 65,  2</t>
  </si>
  <si>
    <t>Fahrbahntemperatur  Typ 49,  2</t>
  </si>
  <si>
    <t>Temp. Tiefe 1 (5cm)  Typ 67,  2</t>
  </si>
  <si>
    <t xml:space="preserve">Fahrbahnzustand Typ 51, </t>
  </si>
  <si>
    <t xml:space="preserve">Gefrierpunkttemperatur Typ 65, </t>
  </si>
  <si>
    <t xml:space="preserve">Fahrbahntemperatur Typ 49, </t>
  </si>
  <si>
    <t xml:space="preserve">Fahrbahnzustand  Typ 51, </t>
  </si>
  <si>
    <t xml:space="preserve">Wasserfilmdicke in mm Typ 72, </t>
  </si>
  <si>
    <t>Wasserfilmdicke in mm Typ 72   FR Pa</t>
  </si>
  <si>
    <t>Wasserfilmdicke in mm Typ 72   2</t>
  </si>
  <si>
    <t>ID_CLASS</t>
  </si>
  <si>
    <t>ID_NAME</t>
  </si>
  <si>
    <t>TLS_FG</t>
  </si>
  <si>
    <t>TLS_DE</t>
  </si>
  <si>
    <t>TLS_EAK</t>
  </si>
  <si>
    <t>TLS_EA</t>
  </si>
  <si>
    <t>TLS_WZGTYP</t>
  </si>
  <si>
    <t>TLS_MASTER</t>
  </si>
  <si>
    <t>TLS_SLAVE_ADR</t>
  </si>
  <si>
    <t>LOC_ROUTE</t>
  </si>
  <si>
    <t>TLS_FAHRSTREIFEN</t>
  </si>
  <si>
    <t>TLS_TYP</t>
  </si>
  <si>
    <t>SS</t>
  </si>
  <si>
    <t>UFD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</si>
</sst>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.000"/>
  </numFmts>
  <fonts count="18" x14ac:knownFonts="1">
    <font>
      <sz val="10"/>
      <name val="MS Sans Serif"/>
    </font>
    <font>
      <b/>
      <sz val="10"/>
      <name val="MS Sans Serif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color indexed="14"/>
      <name val="MS Sans Serif"/>
      <family val="2"/>
    </font>
    <font>
      <sz val="8"/>
      <name val="MS Sans Serif"/>
      <family val="2"/>
    </font>
    <font>
      <strike/>
      <sz val="10"/>
      <name val="MS Sans Serif"/>
      <family val="2"/>
    </font>
    <font>
      <b/>
      <sz val="12"/>
      <color indexed="10"/>
      <name val="MS Sans Serif"/>
      <family val="2"/>
    </font>
    <font>
      <sz val="10"/>
      <name val="Arial"/>
      <family val="2"/>
    </font>
    <font>
      <strike/>
      <sz val="10"/>
      <name val="MS Sans Serif"/>
    </font>
    <font>
      <b/>
      <strike/>
      <sz val="10"/>
      <name val="MS Sans Serif"/>
    </font>
    <font>
      <strike/>
      <sz val="10"/>
      <color rgb="FFFF0000"/>
      <name val="MS Sans Serif"/>
      <family val="2"/>
    </font>
    <font>
      <sz val="10"/>
      <color theme="1"/>
      <name val="MS Sans Serif"/>
      <family val="2"/>
    </font>
    <font>
      <b/>
      <strike/>
      <sz val="10"/>
      <color rgb="FFFF0000"/>
      <name val="MS Sans Serif"/>
    </font>
    <font>
      <sz val="10"/>
      <color rgb="FFFFC000"/>
      <name val="MS Sans Serif"/>
      <family val="2"/>
    </font>
    <font>
      <b/>
      <sz val="10"/>
      <name val="Arial"/>
      <family val="2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/>
  </cellStyleXfs>
  <cellXfs count="218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2" fontId="0" fillId="0" borderId="0" xfId="0" applyNumberFormat="1" applyBorder="1"/>
    <xf numFmtId="2" fontId="1" fillId="0" borderId="1" xfId="0" applyNumberFormat="1" applyFont="1" applyBorder="1"/>
    <xf numFmtId="0" fontId="1" fillId="0" borderId="2" xfId="0" applyFont="1" applyBorder="1"/>
    <xf numFmtId="2" fontId="0" fillId="0" borderId="3" xfId="0" applyNumberFormat="1" applyBorder="1"/>
    <xf numFmtId="2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Border="1"/>
    <xf numFmtId="2" fontId="0" fillId="0" borderId="0" xfId="0" applyNumberFormat="1" applyFill="1" applyBorder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/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/>
    <xf numFmtId="164" fontId="0" fillId="0" borderId="0" xfId="0" applyNumberFormat="1" applyFill="1" applyBorder="1" applyAlignment="1">
      <alignment horizontal="right"/>
    </xf>
    <xf numFmtId="2" fontId="2" fillId="0" borderId="0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right"/>
    </xf>
    <xf numFmtId="49" fontId="5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2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5" fillId="0" borderId="0" xfId="0" applyFont="1" applyBorder="1" applyAlignment="1">
      <alignment horizontal="center"/>
    </xf>
    <xf numFmtId="2" fontId="5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2" fontId="0" fillId="2" borderId="0" xfId="0" applyNumberFormat="1" applyFill="1" applyBorder="1"/>
    <xf numFmtId="2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11" fontId="5" fillId="2" borderId="0" xfId="0" applyNumberFormat="1" applyFont="1" applyFill="1" applyBorder="1" applyAlignment="1">
      <alignment horizontal="center"/>
    </xf>
    <xf numFmtId="2" fontId="0" fillId="0" borderId="6" xfId="0" applyNumberFormat="1" applyFill="1" applyBorder="1"/>
    <xf numFmtId="0" fontId="1" fillId="0" borderId="6" xfId="0" applyFont="1" applyFill="1" applyBorder="1"/>
    <xf numFmtId="0" fontId="0" fillId="0" borderId="6" xfId="0" applyFill="1" applyBorder="1"/>
    <xf numFmtId="0" fontId="4" fillId="0" borderId="6" xfId="0" applyFont="1" applyFill="1" applyBorder="1" applyAlignment="1">
      <alignment horizontal="center"/>
    </xf>
    <xf numFmtId="0" fontId="3" fillId="0" borderId="6" xfId="0" applyFont="1" applyFill="1" applyBorder="1"/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right"/>
    </xf>
    <xf numFmtId="0" fontId="1" fillId="0" borderId="6" xfId="0" applyFont="1" applyFill="1" applyBorder="1" applyAlignment="1"/>
    <xf numFmtId="0" fontId="1" fillId="0" borderId="6" xfId="0" applyFont="1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/>
    <xf numFmtId="0" fontId="2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2" fillId="0" borderId="0" xfId="0" applyFont="1" applyFill="1"/>
    <xf numFmtId="0" fontId="9" fillId="0" borderId="7" xfId="0" applyFont="1" applyFill="1" applyBorder="1"/>
    <xf numFmtId="2" fontId="9" fillId="0" borderId="7" xfId="0" applyNumberFormat="1" applyFont="1" applyFill="1" applyBorder="1"/>
    <xf numFmtId="49" fontId="5" fillId="2" borderId="0" xfId="0" applyNumberFormat="1" applyFont="1" applyFill="1" applyBorder="1" applyAlignment="1">
      <alignment horizontal="center"/>
    </xf>
    <xf numFmtId="11" fontId="2" fillId="2" borderId="0" xfId="0" applyNumberFormat="1" applyFont="1" applyFill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49" fontId="0" fillId="2" borderId="0" xfId="0" applyNumberForma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0" fontId="2" fillId="2" borderId="0" xfId="0" applyFont="1" applyFill="1"/>
    <xf numFmtId="0" fontId="3" fillId="2" borderId="0" xfId="0" applyFont="1" applyFill="1" applyBorder="1"/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0" fillId="6" borderId="0" xfId="0" applyFill="1" applyBorder="1" applyAlignment="1">
      <alignment horizontal="right"/>
    </xf>
    <xf numFmtId="0" fontId="7" fillId="2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0" fillId="7" borderId="0" xfId="0" applyFill="1" applyBorder="1"/>
    <xf numFmtId="0" fontId="4" fillId="8" borderId="0" xfId="0" applyFont="1" applyFill="1" applyBorder="1" applyAlignment="1">
      <alignment horizontal="center"/>
    </xf>
    <xf numFmtId="0" fontId="2" fillId="7" borderId="0" xfId="0" applyFont="1" applyFill="1" applyBorder="1"/>
    <xf numFmtId="0" fontId="12" fillId="7" borderId="0" xfId="0" applyFont="1" applyFill="1" applyBorder="1"/>
    <xf numFmtId="0" fontId="0" fillId="9" borderId="0" xfId="0" applyFill="1" applyBorder="1"/>
    <xf numFmtId="0" fontId="0" fillId="9" borderId="0" xfId="0" applyFill="1" applyBorder="1" applyAlignment="1">
      <alignment horizontal="center"/>
    </xf>
    <xf numFmtId="0" fontId="3" fillId="0" borderId="0" xfId="0" applyFont="1" applyFill="1" applyBorder="1"/>
    <xf numFmtId="0" fontId="0" fillId="0" borderId="0" xfId="0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0" fillId="0" borderId="0" xfId="0" applyFont="1" applyBorder="1"/>
    <xf numFmtId="0" fontId="2" fillId="0" borderId="0" xfId="0" applyFont="1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2" fontId="0" fillId="10" borderId="0" xfId="0" applyNumberFormat="1" applyFill="1" applyBorder="1" applyAlignment="1">
      <alignment horizontal="center"/>
    </xf>
    <xf numFmtId="0" fontId="5" fillId="10" borderId="0" xfId="0" applyFont="1" applyFill="1" applyBorder="1" applyAlignment="1">
      <alignment horizontal="center"/>
    </xf>
    <xf numFmtId="0" fontId="1" fillId="10" borderId="0" xfId="0" applyFont="1" applyFill="1" applyBorder="1"/>
    <xf numFmtId="0" fontId="2" fillId="10" borderId="0" xfId="0" applyFont="1" applyFill="1" applyBorder="1" applyAlignment="1">
      <alignment horizontal="center"/>
    </xf>
    <xf numFmtId="0" fontId="0" fillId="10" borderId="0" xfId="0" applyFill="1" applyBorder="1"/>
    <xf numFmtId="0" fontId="4" fillId="10" borderId="0" xfId="0" applyFont="1" applyFill="1" applyBorder="1" applyAlignment="1">
      <alignment horizontal="center"/>
    </xf>
    <xf numFmtId="0" fontId="2" fillId="10" borderId="0" xfId="0" applyFont="1" applyFill="1"/>
    <xf numFmtId="1" fontId="0" fillId="0" borderId="0" xfId="0" applyNumberFormat="1" applyFill="1" applyBorder="1" applyAlignment="1">
      <alignment horizontal="right"/>
    </xf>
    <xf numFmtId="0" fontId="2" fillId="0" borderId="0" xfId="0" applyFont="1" applyFill="1" applyBorder="1"/>
    <xf numFmtId="0" fontId="13" fillId="10" borderId="0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right"/>
    </xf>
    <xf numFmtId="0" fontId="10" fillId="0" borderId="0" xfId="0" applyFont="1" applyFill="1" applyBorder="1"/>
    <xf numFmtId="0" fontId="1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right"/>
    </xf>
    <xf numFmtId="164" fontId="14" fillId="0" borderId="0" xfId="0" applyNumberFormat="1" applyFont="1" applyFill="1" applyBorder="1" applyAlignment="1">
      <alignment horizontal="right"/>
    </xf>
    <xf numFmtId="0" fontId="14" fillId="0" borderId="0" xfId="0" applyFont="1" applyFill="1" applyBorder="1"/>
    <xf numFmtId="0" fontId="0" fillId="0" borderId="0" xfId="0" applyFill="1" applyBorder="1" applyAlignment="1">
      <alignment vertical="center"/>
    </xf>
    <xf numFmtId="0" fontId="0" fillId="9" borderId="0" xfId="0" applyFill="1" applyBorder="1" applyAlignment="1">
      <alignment horizontal="right"/>
    </xf>
    <xf numFmtId="164" fontId="0" fillId="9" borderId="0" xfId="0" applyNumberFormat="1" applyFill="1" applyBorder="1" applyAlignment="1">
      <alignment horizontal="right"/>
    </xf>
    <xf numFmtId="0" fontId="0" fillId="9" borderId="0" xfId="0" applyFill="1"/>
    <xf numFmtId="14" fontId="0" fillId="9" borderId="0" xfId="0" applyNumberFormat="1" applyFill="1"/>
    <xf numFmtId="2" fontId="9" fillId="0" borderId="7" xfId="0" applyNumberFormat="1" applyFont="1" applyFill="1" applyBorder="1" applyAlignment="1">
      <alignment horizontal="left"/>
    </xf>
    <xf numFmtId="14" fontId="9" fillId="0" borderId="7" xfId="0" applyNumberFormat="1" applyFont="1" applyFill="1" applyBorder="1"/>
    <xf numFmtId="0" fontId="9" fillId="0" borderId="8" xfId="0" applyFont="1" applyFill="1" applyBorder="1"/>
    <xf numFmtId="14" fontId="0" fillId="0" borderId="0" xfId="0" applyNumberFormat="1" applyFill="1" applyBorder="1"/>
    <xf numFmtId="2" fontId="9" fillId="0" borderId="8" xfId="0" applyNumberFormat="1" applyFont="1" applyFill="1" applyBorder="1"/>
    <xf numFmtId="0" fontId="0" fillId="0" borderId="7" xfId="0" applyFill="1" applyBorder="1"/>
    <xf numFmtId="14" fontId="0" fillId="0" borderId="7" xfId="0" applyNumberFormat="1" applyFill="1" applyBorder="1"/>
    <xf numFmtId="0" fontId="0" fillId="0" borderId="0" xfId="0" applyFill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2" fillId="0" borderId="0" xfId="0" applyFont="1" applyFill="1" applyBorder="1" applyAlignment="1">
      <alignment wrapText="1"/>
    </xf>
    <xf numFmtId="2" fontId="0" fillId="0" borderId="0" xfId="0" applyNumberFormat="1" applyFill="1" applyBorder="1" applyAlignment="1">
      <alignment horizontal="left" vertical="center"/>
    </xf>
    <xf numFmtId="14" fontId="0" fillId="0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14" fontId="0" fillId="0" borderId="0" xfId="0" applyNumberFormat="1" applyFill="1"/>
    <xf numFmtId="0" fontId="0" fillId="0" borderId="0" xfId="0" applyFill="1" applyAlignment="1">
      <alignment horizontal="left" vertical="center"/>
    </xf>
    <xf numFmtId="14" fontId="0" fillId="0" borderId="0" xfId="0" applyNumberForma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wrapText="1"/>
    </xf>
    <xf numFmtId="49" fontId="0" fillId="0" borderId="0" xfId="0" applyNumberFormat="1" applyFill="1" applyBorder="1" applyAlignment="1">
      <alignment horizontal="right"/>
    </xf>
    <xf numFmtId="0" fontId="2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2" fillId="9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right"/>
    </xf>
    <xf numFmtId="0" fontId="5" fillId="9" borderId="0" xfId="0" applyFont="1" applyFill="1" applyBorder="1" applyAlignment="1">
      <alignment horizontal="center"/>
    </xf>
    <xf numFmtId="0" fontId="0" fillId="11" borderId="0" xfId="0" applyFill="1"/>
    <xf numFmtId="14" fontId="0" fillId="11" borderId="0" xfId="0" applyNumberFormat="1" applyFill="1"/>
    <xf numFmtId="0" fontId="0" fillId="11" borderId="0" xfId="0" applyFill="1" applyBorder="1"/>
    <xf numFmtId="0" fontId="5" fillId="12" borderId="0" xfId="0" applyFon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1" fillId="12" borderId="0" xfId="0" applyFont="1" applyFill="1" applyBorder="1"/>
    <xf numFmtId="0" fontId="4" fillId="12" borderId="0" xfId="0" applyFont="1" applyFill="1" applyBorder="1" applyAlignment="1">
      <alignment horizontal="center"/>
    </xf>
    <xf numFmtId="0" fontId="2" fillId="12" borderId="0" xfId="0" applyFont="1" applyFill="1"/>
    <xf numFmtId="0" fontId="0" fillId="12" borderId="0" xfId="0" applyFill="1" applyBorder="1"/>
    <xf numFmtId="3" fontId="0" fillId="11" borderId="0" xfId="0" applyNumberFormat="1" applyFill="1" applyBorder="1"/>
    <xf numFmtId="2" fontId="0" fillId="12" borderId="0" xfId="0" applyNumberFormat="1" applyFill="1" applyBorder="1"/>
    <xf numFmtId="0" fontId="0" fillId="12" borderId="0" xfId="0" applyFill="1" applyBorder="1" applyAlignment="1">
      <alignment horizontal="right"/>
    </xf>
    <xf numFmtId="164" fontId="0" fillId="12" borderId="0" xfId="0" applyNumberFormat="1" applyFill="1" applyBorder="1" applyAlignment="1">
      <alignment horizontal="right"/>
    </xf>
    <xf numFmtId="49" fontId="0" fillId="12" borderId="0" xfId="0" applyNumberFormat="1" applyFill="1" applyBorder="1" applyAlignment="1">
      <alignment horizontal="right"/>
    </xf>
    <xf numFmtId="0" fontId="2" fillId="12" borderId="0" xfId="0" applyFont="1" applyFill="1" applyBorder="1" applyAlignment="1">
      <alignment horizontal="center"/>
    </xf>
    <xf numFmtId="0" fontId="2" fillId="12" borderId="0" xfId="0" applyFont="1" applyFill="1" applyBorder="1"/>
    <xf numFmtId="0" fontId="0" fillId="12" borderId="0" xfId="0" applyFill="1"/>
    <xf numFmtId="14" fontId="0" fillId="12" borderId="0" xfId="0" applyNumberFormat="1" applyFill="1"/>
    <xf numFmtId="0" fontId="15" fillId="12" borderId="0" xfId="0" applyFont="1" applyFill="1" applyBorder="1" applyAlignment="1">
      <alignment horizontal="center"/>
    </xf>
    <xf numFmtId="0" fontId="16" fillId="0" borderId="0" xfId="0" applyNumberFormat="1" applyFont="1" applyFill="1" applyBorder="1" applyAlignment="1" applyProtection="1">
      <alignment horizontal="center" textRotation="90"/>
      <protection locked="0"/>
    </xf>
    <xf numFmtId="165" fontId="16" fillId="0" borderId="0" xfId="0" applyNumberFormat="1" applyFont="1" applyFill="1" applyBorder="1" applyAlignment="1" applyProtection="1">
      <alignment horizontal="center" textRotation="90"/>
      <protection locked="0"/>
    </xf>
    <xf numFmtId="0" fontId="16" fillId="0" borderId="0" xfId="0" applyFont="1" applyFill="1" applyAlignment="1" applyProtection="1">
      <alignment horizontal="center" textRotation="90"/>
      <protection locked="0"/>
    </xf>
    <xf numFmtId="0" fontId="16" fillId="13" borderId="0" xfId="0" applyNumberFormat="1" applyFont="1" applyFill="1" applyBorder="1" applyAlignment="1" applyProtection="1">
      <alignment horizontal="center" textRotation="90"/>
      <protection locked="0"/>
    </xf>
    <xf numFmtId="0" fontId="9" fillId="0" borderId="0" xfId="0" applyFont="1" applyFill="1" applyBorder="1"/>
    <xf numFmtId="0" fontId="17" fillId="0" borderId="0" xfId="0" applyFont="1"/>
    <xf numFmtId="1" fontId="17" fillId="11" borderId="0" xfId="1" applyNumberFormat="1" applyFill="1"/>
    <xf numFmtId="1" fontId="17" fillId="12" borderId="0" xfId="1" applyNumberFormat="1" applyFill="1"/>
    <xf numFmtId="0" fontId="9" fillId="12" borderId="0" xfId="0" applyFont="1" applyFill="1" applyBorder="1"/>
    <xf numFmtId="0" fontId="17" fillId="12" borderId="0" xfId="0" applyFont="1" applyFill="1"/>
    <xf numFmtId="2" fontId="0" fillId="12" borderId="0" xfId="0" applyNumberFormat="1" applyFill="1" applyBorder="1" applyAlignment="1">
      <alignment horizontal="center"/>
    </xf>
    <xf numFmtId="0" fontId="2" fillId="12" borderId="0" xfId="0" applyFont="1" applyFill="1" applyBorder="1" applyAlignment="1">
      <alignment horizontal="right"/>
    </xf>
    <xf numFmtId="49" fontId="2" fillId="12" borderId="0" xfId="0" applyNumberFormat="1" applyFont="1" applyFill="1" applyBorder="1" applyAlignment="1">
      <alignment horizontal="center"/>
    </xf>
    <xf numFmtId="11" fontId="2" fillId="12" borderId="0" xfId="0" applyNumberFormat="1" applyFont="1" applyFill="1" applyBorder="1" applyAlignment="1">
      <alignment horizontal="center"/>
    </xf>
    <xf numFmtId="49" fontId="0" fillId="12" borderId="0" xfId="0" applyNumberFormat="1" applyFill="1" applyBorder="1" applyAlignment="1">
      <alignment horizontal="center"/>
    </xf>
    <xf numFmtId="1" fontId="0" fillId="12" borderId="0" xfId="0" applyNumberFormat="1" applyFill="1" applyBorder="1" applyAlignment="1">
      <alignment horizontal="right"/>
    </xf>
    <xf numFmtId="2" fontId="5" fillId="12" borderId="0" xfId="0" applyNumberFormat="1" applyFont="1" applyFill="1" applyBorder="1" applyAlignment="1">
      <alignment horizontal="center"/>
    </xf>
    <xf numFmtId="11" fontId="5" fillId="12" borderId="0" xfId="0" applyNumberFormat="1" applyFont="1" applyFill="1" applyBorder="1" applyAlignment="1">
      <alignment horizontal="center"/>
    </xf>
    <xf numFmtId="0" fontId="5" fillId="12" borderId="0" xfId="0" applyNumberFormat="1" applyFont="1" applyFill="1" applyBorder="1" applyAlignment="1">
      <alignment horizontal="center"/>
    </xf>
    <xf numFmtId="49" fontId="5" fillId="12" borderId="0" xfId="0" applyNumberFormat="1" applyFont="1" applyFill="1" applyBorder="1" applyAlignment="1">
      <alignment horizontal="center"/>
    </xf>
    <xf numFmtId="0" fontId="12" fillId="12" borderId="0" xfId="0" applyFont="1" applyFill="1" applyBorder="1" applyAlignment="1">
      <alignment horizontal="center"/>
    </xf>
    <xf numFmtId="0" fontId="12" fillId="12" borderId="0" xfId="0" applyFont="1" applyFill="1" applyBorder="1" applyAlignment="1">
      <alignment horizontal="right"/>
    </xf>
    <xf numFmtId="0" fontId="12" fillId="12" borderId="0" xfId="0" applyFont="1" applyFill="1" applyBorder="1"/>
    <xf numFmtId="0" fontId="2" fillId="12" borderId="0" xfId="0" applyFont="1" applyFill="1" applyBorder="1" applyAlignment="1">
      <alignment horizontal="right" vertical="center"/>
    </xf>
    <xf numFmtId="0" fontId="2" fillId="12" borderId="0" xfId="0" applyFont="1" applyFill="1" applyBorder="1" applyAlignment="1">
      <alignment horizontal="center" vertical="center"/>
    </xf>
    <xf numFmtId="165" fontId="0" fillId="12" borderId="0" xfId="0" applyNumberFormat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3" fillId="12" borderId="0" xfId="0" applyFont="1" applyFill="1" applyBorder="1"/>
    <xf numFmtId="2" fontId="0" fillId="12" borderId="0" xfId="0" applyNumberFormat="1" applyFill="1" applyBorder="1" applyAlignment="1">
      <alignment horizontal="center" vertical="center"/>
    </xf>
    <xf numFmtId="164" fontId="0" fillId="12" borderId="0" xfId="0" applyNumberFormat="1" applyFill="1" applyBorder="1" applyAlignment="1">
      <alignment horizontal="center"/>
    </xf>
    <xf numFmtId="0" fontId="8" fillId="12" borderId="0" xfId="0" applyFont="1" applyFill="1" applyBorder="1" applyAlignment="1">
      <alignment horizontal="center" textRotation="90" wrapText="1" shrinkToFit="1"/>
    </xf>
    <xf numFmtId="0" fontId="0" fillId="12" borderId="0" xfId="0" applyFill="1" applyBorder="1" applyAlignment="1">
      <alignment horizontal="center" vertical="center" wrapText="1"/>
    </xf>
    <xf numFmtId="0" fontId="0" fillId="12" borderId="0" xfId="0" applyFont="1" applyFill="1" applyBorder="1"/>
    <xf numFmtId="164" fontId="0" fillId="12" borderId="0" xfId="0" applyNumberFormat="1" applyFill="1" applyBorder="1" applyAlignment="1">
      <alignment horizontal="center" vertical="center"/>
    </xf>
    <xf numFmtId="2" fontId="7" fillId="12" borderId="0" xfId="0" applyNumberFormat="1" applyFont="1" applyFill="1" applyBorder="1" applyAlignment="1">
      <alignment horizontal="center" vertical="center"/>
    </xf>
    <xf numFmtId="0" fontId="7" fillId="12" borderId="0" xfId="0" applyFont="1" applyFill="1" applyBorder="1" applyAlignment="1">
      <alignment horizontal="center" vertical="center"/>
    </xf>
    <xf numFmtId="0" fontId="7" fillId="12" borderId="0" xfId="0" applyFont="1" applyFill="1" applyBorder="1"/>
    <xf numFmtId="0" fontId="7" fillId="12" borderId="0" xfId="0" applyFont="1" applyFill="1" applyBorder="1" applyAlignment="1">
      <alignment horizontal="center"/>
    </xf>
    <xf numFmtId="0" fontId="8" fillId="12" borderId="0" xfId="0" applyFont="1" applyFill="1" applyBorder="1" applyAlignment="1">
      <alignment textRotation="90" shrinkToFit="1"/>
    </xf>
    <xf numFmtId="0" fontId="0" fillId="0" borderId="0" xfId="0" applyBorder="1" applyAlignment="1">
      <alignment horizontal="center"/>
    </xf>
    <xf numFmtId="0" fontId="8" fillId="12" borderId="0" xfId="0" applyFont="1" applyFill="1" applyBorder="1" applyAlignment="1">
      <alignment horizontal="center" textRotation="90" wrapText="1" shrinkToFit="1"/>
    </xf>
    <xf numFmtId="0" fontId="0" fillId="14" borderId="0" xfId="0" applyFill="1"/>
    <xf numFmtId="0" fontId="0" fillId="14" borderId="0" xfId="0" applyFill="1" applyBorder="1"/>
    <xf numFmtId="1" fontId="17" fillId="14" borderId="0" xfId="1" applyNumberFormat="1" applyFill="1"/>
    <xf numFmtId="0" fontId="9" fillId="14" borderId="0" xfId="0" applyFont="1" applyFill="1" applyBorder="1"/>
    <xf numFmtId="0" fontId="17" fillId="14" borderId="0" xfId="0" applyFont="1" applyFill="1"/>
    <xf numFmtId="2" fontId="0" fillId="14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center"/>
    </xf>
    <xf numFmtId="0" fontId="1" fillId="14" borderId="0" xfId="0" applyFont="1" applyFill="1" applyBorder="1"/>
    <xf numFmtId="0" fontId="2" fillId="14" borderId="0" xfId="0" applyFont="1" applyFill="1" applyBorder="1" applyAlignment="1">
      <alignment horizontal="center"/>
    </xf>
    <xf numFmtId="2" fontId="0" fillId="14" borderId="0" xfId="0" applyNumberFormat="1" applyFill="1" applyBorder="1"/>
    <xf numFmtId="0" fontId="0" fillId="14" borderId="0" xfId="0" applyFill="1" applyBorder="1" applyAlignment="1">
      <alignment horizontal="right"/>
    </xf>
    <xf numFmtId="164" fontId="0" fillId="14" borderId="0" xfId="0" applyNumberFormat="1" applyFill="1" applyBorder="1" applyAlignment="1">
      <alignment horizontal="right"/>
    </xf>
    <xf numFmtId="0" fontId="4" fillId="14" borderId="0" xfId="0" applyFont="1" applyFill="1" applyBorder="1" applyAlignment="1">
      <alignment horizontal="center"/>
    </xf>
    <xf numFmtId="0" fontId="5" fillId="14" borderId="0" xfId="0" applyFont="1" applyFill="1" applyBorder="1" applyAlignment="1">
      <alignment horizontal="center"/>
    </xf>
  </cellXfs>
  <cellStyles count="2">
    <cellStyle name="Standard" xfId="0" builtinId="0"/>
    <cellStyle name="Standard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drawings/_rels/vmlDrawing1.v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externalLinks/_rels/externalLink1.xml.rels><?xml version="1.0" encoding="UTF-8" standalone="yes"?><Relationships xmlns="http://schemas.openxmlformats.org/package/2006/relationships"><Relationship Id="rId1" Target="file:///V:/hb_konfig_view/linkVobW/BY/konfig/BY/UZ/ID-Generierung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ndlage"/>
      <sheetName val="VRZ-UZ-KRI2-Generierung"/>
    </sheetNames>
    <sheetDataSet>
      <sheetData sheetId="0">
        <row r="1">
          <cell r="A1" t="str">
            <v>FG</v>
          </cell>
          <cell r="B1" t="str">
            <v>fg-praefix</v>
          </cell>
        </row>
        <row r="2">
          <cell r="A2">
            <v>1</v>
          </cell>
        </row>
        <row r="3">
          <cell r="A3">
            <v>2</v>
          </cell>
          <cell r="B3" t="str">
            <v>AXQ_</v>
          </cell>
        </row>
        <row r="4">
          <cell r="A4">
            <v>3</v>
          </cell>
          <cell r="B4" t="str">
            <v>UQ_</v>
          </cell>
        </row>
        <row r="5">
          <cell r="A5">
            <v>4</v>
          </cell>
          <cell r="B5" t="str">
            <v>AQ_</v>
          </cell>
        </row>
        <row r="6">
          <cell r="A6">
            <v>6</v>
          </cell>
          <cell r="B6" t="str">
            <v>VQ_</v>
          </cell>
        </row>
        <row r="7">
          <cell r="A7">
            <v>254</v>
          </cell>
          <cell r="B7" t="str">
            <v>SSt_</v>
          </cell>
        </row>
        <row r="8">
          <cell r="A8">
            <v>0</v>
          </cell>
          <cell r="B8" t="str">
            <v>SSt_</v>
          </cell>
        </row>
        <row r="9">
          <cell r="B9" t="str">
            <v>SSt_</v>
          </cell>
        </row>
        <row r="10">
          <cell r="A10">
            <v>135</v>
          </cell>
          <cell r="B10" t="str">
            <v>UNDEF_</v>
          </cell>
        </row>
        <row r="11">
          <cell r="A11">
            <v>5</v>
          </cell>
          <cell r="B11" t="str">
            <v>UNDEF_</v>
          </cell>
        </row>
        <row r="20">
          <cell r="A20" t="str">
            <v>MQ</v>
          </cell>
          <cell r="B20" t="str">
            <v>Ergänzung um Querschnitts-DE-Nr. nötig!</v>
          </cell>
        </row>
        <row r="21">
          <cell r="A21">
            <v>1</v>
          </cell>
          <cell r="B21">
            <v>7</v>
          </cell>
        </row>
        <row r="22">
          <cell r="A22">
            <v>2</v>
          </cell>
          <cell r="B22">
            <v>7</v>
          </cell>
        </row>
        <row r="23">
          <cell r="A23">
            <v>3</v>
          </cell>
          <cell r="B23">
            <v>7</v>
          </cell>
        </row>
        <row r="24">
          <cell r="A24">
            <v>4</v>
          </cell>
          <cell r="B24">
            <v>7</v>
          </cell>
        </row>
        <row r="25">
          <cell r="A25">
            <v>5</v>
          </cell>
          <cell r="B25">
            <v>7</v>
          </cell>
        </row>
        <row r="26">
          <cell r="A26">
            <v>6</v>
          </cell>
          <cell r="B26">
            <v>7</v>
          </cell>
        </row>
        <row r="27">
          <cell r="A27">
            <v>9</v>
          </cell>
          <cell r="B27">
            <v>15</v>
          </cell>
        </row>
        <row r="28">
          <cell r="A28">
            <v>10</v>
          </cell>
          <cell r="B28">
            <v>15</v>
          </cell>
        </row>
        <row r="29">
          <cell r="A29">
            <v>11</v>
          </cell>
          <cell r="B29">
            <v>15</v>
          </cell>
        </row>
        <row r="30">
          <cell r="A30">
            <v>12</v>
          </cell>
          <cell r="B30">
            <v>15</v>
          </cell>
        </row>
        <row r="31">
          <cell r="A31">
            <v>13</v>
          </cell>
          <cell r="B31">
            <v>15</v>
          </cell>
        </row>
        <row r="32">
          <cell r="A32">
            <v>14</v>
          </cell>
          <cell r="B32">
            <v>15</v>
          </cell>
        </row>
        <row r="33">
          <cell r="A33">
            <v>17</v>
          </cell>
          <cell r="B33">
            <v>23</v>
          </cell>
        </row>
        <row r="34">
          <cell r="A34">
            <v>18</v>
          </cell>
          <cell r="B34">
            <v>23</v>
          </cell>
        </row>
        <row r="35">
          <cell r="A35">
            <v>19</v>
          </cell>
          <cell r="B35">
            <v>23</v>
          </cell>
        </row>
        <row r="36">
          <cell r="A36">
            <v>20</v>
          </cell>
          <cell r="B36">
            <v>23</v>
          </cell>
        </row>
        <row r="37">
          <cell r="A37">
            <v>21</v>
          </cell>
          <cell r="B37">
            <v>23</v>
          </cell>
        </row>
        <row r="38">
          <cell r="A38">
            <v>22</v>
          </cell>
          <cell r="B38">
            <v>23</v>
          </cell>
        </row>
        <row r="39">
          <cell r="A39">
            <v>25</v>
          </cell>
          <cell r="B39">
            <v>31</v>
          </cell>
        </row>
        <row r="40">
          <cell r="A40">
            <v>26</v>
          </cell>
          <cell r="B40">
            <v>31</v>
          </cell>
        </row>
        <row r="41">
          <cell r="A41">
            <v>33</v>
          </cell>
          <cell r="B41">
            <v>39</v>
          </cell>
        </row>
        <row r="42">
          <cell r="A42">
            <v>34</v>
          </cell>
          <cell r="B42">
            <v>39</v>
          </cell>
        </row>
        <row r="43">
          <cell r="A43">
            <v>35</v>
          </cell>
          <cell r="B43">
            <v>39</v>
          </cell>
        </row>
        <row r="44">
          <cell r="A44">
            <v>36</v>
          </cell>
          <cell r="B44">
            <v>39</v>
          </cell>
        </row>
        <row r="45">
          <cell r="A45">
            <v>37</v>
          </cell>
          <cell r="B45">
            <v>39</v>
          </cell>
        </row>
        <row r="46">
          <cell r="A46">
            <v>38</v>
          </cell>
          <cell r="B46">
            <v>39</v>
          </cell>
        </row>
        <row r="47">
          <cell r="A47">
            <v>41</v>
          </cell>
          <cell r="B47">
            <v>47</v>
          </cell>
        </row>
        <row r="48">
          <cell r="A48">
            <v>42</v>
          </cell>
          <cell r="B48">
            <v>47</v>
          </cell>
        </row>
        <row r="49">
          <cell r="A49">
            <v>43</v>
          </cell>
          <cell r="B49">
            <v>47</v>
          </cell>
        </row>
        <row r="50">
          <cell r="A50">
            <v>44</v>
          </cell>
          <cell r="B50">
            <v>47</v>
          </cell>
        </row>
        <row r="51">
          <cell r="A51">
            <v>45</v>
          </cell>
          <cell r="B51">
            <v>47</v>
          </cell>
        </row>
        <row r="52">
          <cell r="A52">
            <v>46</v>
          </cell>
          <cell r="B52">
            <v>47</v>
          </cell>
        </row>
        <row r="53">
          <cell r="A53">
            <v>49</v>
          </cell>
          <cell r="B53">
            <v>55</v>
          </cell>
        </row>
        <row r="54">
          <cell r="A54">
            <v>50</v>
          </cell>
          <cell r="B54">
            <v>55</v>
          </cell>
        </row>
        <row r="55">
          <cell r="A55">
            <v>51</v>
          </cell>
          <cell r="B55">
            <v>55</v>
          </cell>
        </row>
        <row r="56">
          <cell r="A56">
            <v>52</v>
          </cell>
          <cell r="B56">
            <v>55</v>
          </cell>
        </row>
        <row r="57">
          <cell r="A57">
            <v>53</v>
          </cell>
          <cell r="B57">
            <v>55</v>
          </cell>
        </row>
        <row r="58">
          <cell r="A58">
            <v>54</v>
          </cell>
          <cell r="B58">
            <v>55</v>
          </cell>
        </row>
        <row r="59">
          <cell r="A59">
            <v>57</v>
          </cell>
          <cell r="B59">
            <v>63</v>
          </cell>
        </row>
        <row r="60">
          <cell r="A60">
            <v>59</v>
          </cell>
          <cell r="B60">
            <v>63</v>
          </cell>
        </row>
        <row r="61">
          <cell r="A61">
            <v>65</v>
          </cell>
          <cell r="B61">
            <v>71</v>
          </cell>
        </row>
        <row r="62">
          <cell r="A62">
            <v>66</v>
          </cell>
          <cell r="B62">
            <v>71</v>
          </cell>
        </row>
        <row r="63">
          <cell r="A63">
            <v>67</v>
          </cell>
          <cell r="B63">
            <v>71</v>
          </cell>
        </row>
        <row r="64">
          <cell r="A64">
            <v>68</v>
          </cell>
          <cell r="B64">
            <v>71</v>
          </cell>
        </row>
        <row r="65">
          <cell r="A65">
            <v>69</v>
          </cell>
          <cell r="B65">
            <v>71</v>
          </cell>
        </row>
        <row r="66">
          <cell r="A66">
            <v>70</v>
          </cell>
          <cell r="B66">
            <v>71</v>
          </cell>
        </row>
        <row r="67">
          <cell r="A67">
            <v>73</v>
          </cell>
          <cell r="B67">
            <v>79</v>
          </cell>
        </row>
        <row r="68">
          <cell r="A68">
            <v>74</v>
          </cell>
          <cell r="B68">
            <v>79</v>
          </cell>
        </row>
        <row r="69">
          <cell r="A69">
            <v>75</v>
          </cell>
          <cell r="B69">
            <v>79</v>
          </cell>
        </row>
        <row r="70">
          <cell r="A70">
            <v>76</v>
          </cell>
          <cell r="B70">
            <v>79</v>
          </cell>
        </row>
        <row r="71">
          <cell r="A71">
            <v>77</v>
          </cell>
          <cell r="B71">
            <v>79</v>
          </cell>
        </row>
        <row r="72">
          <cell r="A72">
            <v>78</v>
          </cell>
          <cell r="B72">
            <v>79</v>
          </cell>
        </row>
        <row r="73">
          <cell r="A73">
            <v>81</v>
          </cell>
          <cell r="B73">
            <v>87</v>
          </cell>
        </row>
        <row r="74">
          <cell r="A74">
            <v>82</v>
          </cell>
          <cell r="B74">
            <v>87</v>
          </cell>
        </row>
        <row r="75">
          <cell r="A75">
            <v>83</v>
          </cell>
          <cell r="B75">
            <v>87</v>
          </cell>
        </row>
        <row r="76">
          <cell r="A76">
            <v>84</v>
          </cell>
          <cell r="B76">
            <v>87</v>
          </cell>
        </row>
        <row r="77">
          <cell r="A77">
            <v>85</v>
          </cell>
          <cell r="B77">
            <v>87</v>
          </cell>
        </row>
        <row r="78">
          <cell r="A78">
            <v>86</v>
          </cell>
          <cell r="B78">
            <v>87</v>
          </cell>
        </row>
        <row r="79">
          <cell r="A79">
            <v>89</v>
          </cell>
          <cell r="B79">
            <v>95</v>
          </cell>
        </row>
        <row r="80">
          <cell r="A80">
            <v>95</v>
          </cell>
          <cell r="B80">
            <v>95</v>
          </cell>
        </row>
        <row r="81">
          <cell r="A81">
            <v>97</v>
          </cell>
          <cell r="B81">
            <v>103</v>
          </cell>
        </row>
        <row r="82">
          <cell r="A82">
            <v>98</v>
          </cell>
          <cell r="B82">
            <v>103</v>
          </cell>
        </row>
        <row r="83">
          <cell r="A83">
            <v>99</v>
          </cell>
          <cell r="B83">
            <v>103</v>
          </cell>
        </row>
        <row r="84">
          <cell r="A84">
            <v>100</v>
          </cell>
          <cell r="B84">
            <v>103</v>
          </cell>
        </row>
        <row r="85">
          <cell r="A85">
            <v>101</v>
          </cell>
          <cell r="B85">
            <v>103</v>
          </cell>
        </row>
        <row r="86">
          <cell r="A86">
            <v>102</v>
          </cell>
          <cell r="B86">
            <v>103</v>
          </cell>
        </row>
        <row r="87">
          <cell r="A87">
            <v>105</v>
          </cell>
          <cell r="B87">
            <v>111</v>
          </cell>
        </row>
        <row r="88">
          <cell r="A88">
            <v>106</v>
          </cell>
          <cell r="B88">
            <v>111</v>
          </cell>
        </row>
        <row r="89">
          <cell r="A89">
            <v>107</v>
          </cell>
          <cell r="B89">
            <v>111</v>
          </cell>
        </row>
        <row r="90">
          <cell r="A90">
            <v>108</v>
          </cell>
          <cell r="B90">
            <v>111</v>
          </cell>
        </row>
        <row r="91">
          <cell r="A91">
            <v>109</v>
          </cell>
          <cell r="B91">
            <v>111</v>
          </cell>
        </row>
        <row r="92">
          <cell r="A92">
            <v>110</v>
          </cell>
          <cell r="B92">
            <v>111</v>
          </cell>
        </row>
        <row r="93">
          <cell r="A93">
            <v>113</v>
          </cell>
          <cell r="B93">
            <v>119</v>
          </cell>
        </row>
        <row r="94">
          <cell r="A94">
            <v>114</v>
          </cell>
          <cell r="B94">
            <v>119</v>
          </cell>
        </row>
        <row r="95">
          <cell r="A95">
            <v>115</v>
          </cell>
          <cell r="B95">
            <v>119</v>
          </cell>
        </row>
        <row r="96">
          <cell r="A96">
            <v>116</v>
          </cell>
          <cell r="B96">
            <v>119</v>
          </cell>
        </row>
        <row r="97">
          <cell r="A97">
            <v>117</v>
          </cell>
          <cell r="B97">
            <v>119</v>
          </cell>
        </row>
        <row r="98">
          <cell r="A98">
            <v>118</v>
          </cell>
          <cell r="B98">
            <v>119</v>
          </cell>
        </row>
        <row r="99">
          <cell r="A99">
            <v>121</v>
          </cell>
          <cell r="B99">
            <v>127</v>
          </cell>
        </row>
        <row r="100">
          <cell r="A100">
            <v>129</v>
          </cell>
          <cell r="B100">
            <v>135</v>
          </cell>
        </row>
        <row r="101">
          <cell r="A101">
            <v>130</v>
          </cell>
          <cell r="B101">
            <v>135</v>
          </cell>
        </row>
        <row r="102">
          <cell r="A102">
            <v>131</v>
          </cell>
          <cell r="B102">
            <v>135</v>
          </cell>
        </row>
        <row r="103">
          <cell r="A103">
            <v>132</v>
          </cell>
          <cell r="B103">
            <v>135</v>
          </cell>
        </row>
        <row r="104">
          <cell r="A104">
            <v>133</v>
          </cell>
          <cell r="B104">
            <v>135</v>
          </cell>
        </row>
        <row r="105">
          <cell r="A105">
            <v>134</v>
          </cell>
          <cell r="B105">
            <v>135</v>
          </cell>
        </row>
        <row r="106">
          <cell r="A106">
            <v>137</v>
          </cell>
          <cell r="B106">
            <v>143</v>
          </cell>
        </row>
        <row r="107">
          <cell r="A107">
            <v>138</v>
          </cell>
          <cell r="B107">
            <v>143</v>
          </cell>
        </row>
        <row r="108">
          <cell r="A108">
            <v>139</v>
          </cell>
          <cell r="B108">
            <v>143</v>
          </cell>
        </row>
        <row r="109">
          <cell r="A109">
            <v>140</v>
          </cell>
          <cell r="B109">
            <v>143</v>
          </cell>
        </row>
        <row r="110">
          <cell r="A110">
            <v>141</v>
          </cell>
          <cell r="B110">
            <v>143</v>
          </cell>
        </row>
        <row r="111">
          <cell r="A111">
            <v>142</v>
          </cell>
          <cell r="B111">
            <v>143</v>
          </cell>
        </row>
        <row r="112">
          <cell r="A112">
            <v>145</v>
          </cell>
          <cell r="B112">
            <v>151</v>
          </cell>
        </row>
        <row r="113">
          <cell r="A113">
            <v>146</v>
          </cell>
          <cell r="B113">
            <v>151</v>
          </cell>
        </row>
        <row r="114">
          <cell r="A114">
            <v>147</v>
          </cell>
          <cell r="B114">
            <v>151</v>
          </cell>
        </row>
        <row r="115">
          <cell r="A115">
            <v>148</v>
          </cell>
          <cell r="B115">
            <v>151</v>
          </cell>
        </row>
        <row r="116">
          <cell r="A116">
            <v>149</v>
          </cell>
          <cell r="B116">
            <v>151</v>
          </cell>
        </row>
        <row r="117">
          <cell r="A117">
            <v>150</v>
          </cell>
          <cell r="B117">
            <v>151</v>
          </cell>
        </row>
        <row r="118">
          <cell r="A118">
            <v>159</v>
          </cell>
          <cell r="B118">
            <v>159</v>
          </cell>
        </row>
        <row r="119">
          <cell r="A119">
            <v>161</v>
          </cell>
          <cell r="B119">
            <v>167</v>
          </cell>
        </row>
        <row r="120">
          <cell r="A120">
            <v>162</v>
          </cell>
          <cell r="B120">
            <v>167</v>
          </cell>
        </row>
        <row r="121">
          <cell r="A121">
            <v>163</v>
          </cell>
          <cell r="B121">
            <v>167</v>
          </cell>
        </row>
        <row r="122">
          <cell r="A122">
            <v>164</v>
          </cell>
          <cell r="B122">
            <v>167</v>
          </cell>
        </row>
        <row r="123">
          <cell r="A123">
            <v>165</v>
          </cell>
          <cell r="B123">
            <v>167</v>
          </cell>
        </row>
        <row r="124">
          <cell r="A124">
            <v>166</v>
          </cell>
          <cell r="B124">
            <v>167</v>
          </cell>
        </row>
        <row r="125">
          <cell r="A125">
            <v>169</v>
          </cell>
          <cell r="B125">
            <v>175</v>
          </cell>
        </row>
        <row r="126">
          <cell r="A126">
            <v>170</v>
          </cell>
          <cell r="B126">
            <v>175</v>
          </cell>
        </row>
        <row r="127">
          <cell r="A127">
            <v>171</v>
          </cell>
          <cell r="B127">
            <v>175</v>
          </cell>
        </row>
        <row r="128">
          <cell r="A128">
            <v>172</v>
          </cell>
          <cell r="B128">
            <v>175</v>
          </cell>
        </row>
        <row r="129">
          <cell r="A129">
            <v>173</v>
          </cell>
          <cell r="B129">
            <v>175</v>
          </cell>
        </row>
        <row r="130">
          <cell r="A130">
            <v>174</v>
          </cell>
          <cell r="B130">
            <v>175</v>
          </cell>
        </row>
        <row r="131">
          <cell r="A131">
            <v>177</v>
          </cell>
          <cell r="B131">
            <v>183</v>
          </cell>
        </row>
        <row r="132">
          <cell r="A132">
            <v>178</v>
          </cell>
          <cell r="B132">
            <v>183</v>
          </cell>
        </row>
        <row r="133">
          <cell r="A133">
            <v>179</v>
          </cell>
          <cell r="B133">
            <v>183</v>
          </cell>
        </row>
        <row r="134">
          <cell r="A134">
            <v>180</v>
          </cell>
          <cell r="B134">
            <v>183</v>
          </cell>
        </row>
        <row r="135">
          <cell r="A135">
            <v>181</v>
          </cell>
          <cell r="B135">
            <v>183</v>
          </cell>
        </row>
        <row r="136">
          <cell r="A136">
            <v>182</v>
          </cell>
          <cell r="B136">
            <v>183</v>
          </cell>
        </row>
        <row r="137">
          <cell r="A137">
            <v>225</v>
          </cell>
          <cell r="B137">
            <v>231</v>
          </cell>
        </row>
        <row r="138">
          <cell r="A138">
            <v>226</v>
          </cell>
          <cell r="B138">
            <v>231</v>
          </cell>
        </row>
        <row r="139">
          <cell r="A139">
            <v>227</v>
          </cell>
          <cell r="B139">
            <v>231</v>
          </cell>
        </row>
        <row r="140">
          <cell r="A140">
            <v>228</v>
          </cell>
          <cell r="B140">
            <v>231</v>
          </cell>
        </row>
        <row r="141">
          <cell r="A141">
            <v>229</v>
          </cell>
          <cell r="B141">
            <v>231</v>
          </cell>
        </row>
        <row r="142">
          <cell r="A142">
            <v>230</v>
          </cell>
          <cell r="B142">
            <v>231</v>
          </cell>
        </row>
        <row r="143">
          <cell r="A143">
            <v>233</v>
          </cell>
          <cell r="B143">
            <v>239</v>
          </cell>
        </row>
        <row r="144">
          <cell r="A144">
            <v>234</v>
          </cell>
          <cell r="B144">
            <v>239</v>
          </cell>
        </row>
        <row r="145">
          <cell r="A145">
            <v>235</v>
          </cell>
          <cell r="B145">
            <v>239</v>
          </cell>
        </row>
        <row r="146">
          <cell r="A146">
            <v>236</v>
          </cell>
          <cell r="B146">
            <v>239</v>
          </cell>
        </row>
        <row r="147">
          <cell r="A147">
            <v>237</v>
          </cell>
          <cell r="B147">
            <v>239</v>
          </cell>
        </row>
        <row r="148">
          <cell r="A148">
            <v>238</v>
          </cell>
          <cell r="B148">
            <v>239</v>
          </cell>
        </row>
        <row r="149">
          <cell r="A149" t="str">
            <v>Clusterkanaele</v>
          </cell>
          <cell r="B149" t="str">
            <v>hugo</v>
          </cell>
        </row>
        <row r="150">
          <cell r="A150">
            <v>193</v>
          </cell>
          <cell r="B150">
            <v>223</v>
          </cell>
        </row>
        <row r="151">
          <cell r="A151">
            <v>194</v>
          </cell>
          <cell r="B151">
            <v>223</v>
          </cell>
        </row>
        <row r="152">
          <cell r="A152">
            <v>195</v>
          </cell>
          <cell r="B152">
            <v>223</v>
          </cell>
        </row>
        <row r="153">
          <cell r="A153">
            <v>196</v>
          </cell>
          <cell r="B153">
            <v>223</v>
          </cell>
        </row>
        <row r="154">
          <cell r="A154">
            <v>197</v>
          </cell>
          <cell r="B154">
            <v>223</v>
          </cell>
        </row>
        <row r="155">
          <cell r="A155">
            <v>198</v>
          </cell>
          <cell r="B155">
            <v>223</v>
          </cell>
        </row>
        <row r="156">
          <cell r="A156">
            <v>199</v>
          </cell>
          <cell r="B156">
            <v>223</v>
          </cell>
        </row>
        <row r="157">
          <cell r="A157">
            <v>200</v>
          </cell>
          <cell r="B157">
            <v>223</v>
          </cell>
        </row>
        <row r="158">
          <cell r="A158">
            <v>201</v>
          </cell>
          <cell r="B158">
            <v>223</v>
          </cell>
        </row>
        <row r="159">
          <cell r="A159">
            <v>202</v>
          </cell>
          <cell r="B159">
            <v>223</v>
          </cell>
        </row>
        <row r="160">
          <cell r="A160">
            <v>203</v>
          </cell>
          <cell r="B160">
            <v>223</v>
          </cell>
        </row>
        <row r="161">
          <cell r="A161">
            <v>204</v>
          </cell>
          <cell r="B161">
            <v>223</v>
          </cell>
        </row>
        <row r="162">
          <cell r="A162">
            <v>205</v>
          </cell>
          <cell r="B162">
            <v>223</v>
          </cell>
        </row>
        <row r="163">
          <cell r="A163">
            <v>206</v>
          </cell>
          <cell r="B163">
            <v>223</v>
          </cell>
        </row>
        <row r="164">
          <cell r="A164">
            <v>207</v>
          </cell>
          <cell r="B164">
            <v>223</v>
          </cell>
        </row>
        <row r="165">
          <cell r="A165">
            <v>208</v>
          </cell>
          <cell r="B165">
            <v>223</v>
          </cell>
        </row>
        <row r="166">
          <cell r="A166">
            <v>209</v>
          </cell>
          <cell r="B166">
            <v>223</v>
          </cell>
        </row>
        <row r="167">
          <cell r="A167">
            <v>210</v>
          </cell>
          <cell r="B167">
            <v>223</v>
          </cell>
        </row>
        <row r="168">
          <cell r="A168">
            <v>211</v>
          </cell>
          <cell r="B168">
            <v>223</v>
          </cell>
        </row>
        <row r="169">
          <cell r="A169">
            <v>212</v>
          </cell>
          <cell r="B169">
            <v>223</v>
          </cell>
        </row>
        <row r="170">
          <cell r="A170">
            <v>213</v>
          </cell>
          <cell r="B170">
            <v>223</v>
          </cell>
        </row>
        <row r="171">
          <cell r="A171">
            <v>214</v>
          </cell>
          <cell r="B171">
            <v>223</v>
          </cell>
        </row>
        <row r="172">
          <cell r="A172">
            <v>215</v>
          </cell>
          <cell r="B172">
            <v>223</v>
          </cell>
        </row>
        <row r="173">
          <cell r="A173">
            <v>216</v>
          </cell>
          <cell r="B173">
            <v>223</v>
          </cell>
        </row>
        <row r="174">
          <cell r="A174">
            <v>217</v>
          </cell>
          <cell r="B174">
            <v>223</v>
          </cell>
        </row>
        <row r="175">
          <cell r="A175">
            <v>218</v>
          </cell>
          <cell r="B175">
            <v>223</v>
          </cell>
        </row>
        <row r="176">
          <cell r="A176">
            <v>219</v>
          </cell>
          <cell r="B176">
            <v>223</v>
          </cell>
        </row>
        <row r="177">
          <cell r="A177">
            <v>220</v>
          </cell>
          <cell r="B177">
            <v>223</v>
          </cell>
        </row>
        <row r="178">
          <cell r="A178">
            <v>221</v>
          </cell>
          <cell r="B178">
            <v>223</v>
          </cell>
        </row>
        <row r="179">
          <cell r="A179">
            <v>222</v>
          </cell>
          <cell r="B179">
            <v>223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1110"/>
  <sheetViews>
    <sheetView tabSelected="1" zoomScale="85" zoomScaleNormal="85" zoomScaleSheetLayoutView="75" workbookViewId="0">
      <pane ySplit="4" topLeftCell="A719" activePane="bottomLeft" state="frozen"/>
      <selection pane="bottomLeft" activeCell="AI721" sqref="AI721"/>
    </sheetView>
  </sheetViews>
  <sheetFormatPr baseColWidth="10" defaultColWidth="11.42578125" defaultRowHeight="12.75" x14ac:dyDescent="0.2"/>
  <cols>
    <col min="1" max="4" width="11.42578125" style="2"/>
    <col min="5" max="5" width="18.42578125" style="2" customWidth="1"/>
    <col min="6" max="6" width="32.7109375" style="2" customWidth="1"/>
    <col min="7" max="7" width="16.42578125" style="2" customWidth="1"/>
    <col min="8" max="14" width="7.7109375" style="2" customWidth="1"/>
    <col min="15" max="15" width="7.28515625" style="2" customWidth="1"/>
    <col min="16" max="16" width="15.7109375" style="2" customWidth="1"/>
    <col min="17" max="23" width="7.28515625" style="2" customWidth="1"/>
    <col min="24" max="34" width="4.42578125" style="2" customWidth="1"/>
    <col min="35" max="35" width="8" style="4" customWidth="1"/>
    <col min="36" max="36" width="6.5703125" style="2" customWidth="1"/>
    <col min="37" max="37" width="11.42578125" style="2"/>
    <col min="38" max="41" width="9.85546875" style="2" customWidth="1"/>
    <col min="42" max="42" width="11.42578125" style="2"/>
    <col min="43" max="43" width="9.7109375" style="2" customWidth="1"/>
    <col min="44" max="44" width="9" style="2" customWidth="1"/>
    <col min="45" max="45" width="8.5703125" style="2" customWidth="1"/>
    <col min="46" max="46" width="11.42578125" style="2"/>
    <col min="47" max="47" width="6.28515625" style="2" customWidth="1"/>
    <col min="48" max="48" width="5.85546875" style="2" customWidth="1"/>
    <col min="49" max="50" width="7.5703125" style="2" customWidth="1"/>
    <col min="51" max="51" width="11.42578125" style="2"/>
    <col min="52" max="53" width="5.7109375" style="2" customWidth="1"/>
    <col min="54" max="54" width="32.7109375" style="2" customWidth="1"/>
    <col min="55" max="56" width="5.140625" style="16" customWidth="1"/>
    <col min="57" max="57" width="16.5703125" style="2" customWidth="1"/>
    <col min="58" max="58" width="18.7109375" style="2" customWidth="1"/>
    <col min="59" max="16384" width="11.42578125" style="2"/>
  </cols>
  <sheetData>
    <row r="1" spans="1:59" s="6" customFormat="1" ht="105" x14ac:dyDescent="0.2">
      <c r="A1" s="163" t="s">
        <v>709</v>
      </c>
      <c r="B1" s="163" t="s">
        <v>634</v>
      </c>
      <c r="C1" s="164" t="s">
        <v>635</v>
      </c>
      <c r="D1" s="163" t="s">
        <v>700</v>
      </c>
      <c r="E1" s="163" t="s">
        <v>701</v>
      </c>
      <c r="F1" s="163" t="s">
        <v>636</v>
      </c>
      <c r="G1" s="163" t="s">
        <v>637</v>
      </c>
      <c r="H1" s="163" t="s">
        <v>638</v>
      </c>
      <c r="I1" s="163" t="s">
        <v>702</v>
      </c>
      <c r="J1" s="163" t="s">
        <v>703</v>
      </c>
      <c r="K1" s="163" t="s">
        <v>707</v>
      </c>
      <c r="L1" s="163" t="s">
        <v>708</v>
      </c>
      <c r="M1" s="163" t="s">
        <v>704</v>
      </c>
      <c r="N1" s="163" t="s">
        <v>705</v>
      </c>
      <c r="O1" s="163" t="s">
        <v>639</v>
      </c>
      <c r="P1" s="163" t="s">
        <v>711</v>
      </c>
      <c r="Q1" s="165" t="s">
        <v>640</v>
      </c>
      <c r="R1" s="163" t="s">
        <v>641</v>
      </c>
      <c r="S1" s="163" t="s">
        <v>642</v>
      </c>
      <c r="T1" s="163" t="s">
        <v>643</v>
      </c>
      <c r="U1" s="163" t="s">
        <v>710</v>
      </c>
      <c r="V1" s="163" t="s">
        <v>660</v>
      </c>
      <c r="W1" s="163" t="s">
        <v>706</v>
      </c>
      <c r="X1" s="166" t="s">
        <v>644</v>
      </c>
      <c r="Y1" s="166" t="s">
        <v>645</v>
      </c>
      <c r="Z1" s="166" t="s">
        <v>646</v>
      </c>
      <c r="AA1" s="166" t="s">
        <v>647</v>
      </c>
      <c r="AB1" s="166" t="s">
        <v>648</v>
      </c>
      <c r="AC1" s="166" t="s">
        <v>649</v>
      </c>
      <c r="AD1" s="166" t="s">
        <v>650</v>
      </c>
      <c r="AE1" s="166" t="s">
        <v>651</v>
      </c>
      <c r="AF1" s="166" t="s">
        <v>652</v>
      </c>
      <c r="AG1" s="166" t="s">
        <v>653</v>
      </c>
      <c r="AH1" s="166" t="s">
        <v>654</v>
      </c>
      <c r="AI1" s="5"/>
      <c r="AP1" s="6" t="s">
        <v>0</v>
      </c>
      <c r="AW1" s="6" t="s">
        <v>1</v>
      </c>
      <c r="BC1" s="18"/>
      <c r="BD1" s="61"/>
    </row>
    <row r="2" spans="1:59" x14ac:dyDescent="0.2">
      <c r="AI2" s="7"/>
      <c r="AJ2" s="1" t="s">
        <v>2</v>
      </c>
      <c r="AL2" s="202" t="s">
        <v>385</v>
      </c>
      <c r="AM2" s="202"/>
      <c r="AN2" s="202"/>
      <c r="AO2" s="202"/>
      <c r="AP2" s="202" t="s">
        <v>3</v>
      </c>
      <c r="AQ2" s="202"/>
      <c r="AR2" s="202"/>
      <c r="AS2" s="202"/>
      <c r="AU2" s="12" t="s">
        <v>12</v>
      </c>
      <c r="AW2" s="2" t="s">
        <v>4</v>
      </c>
      <c r="AY2" s="1" t="s">
        <v>5</v>
      </c>
      <c r="AZ2" s="12" t="s">
        <v>75</v>
      </c>
      <c r="BC2" s="16" t="s">
        <v>83</v>
      </c>
      <c r="BD2" s="81" t="s">
        <v>83</v>
      </c>
      <c r="BE2" s="1" t="s">
        <v>6</v>
      </c>
    </row>
    <row r="3" spans="1:59" x14ac:dyDescent="0.2">
      <c r="AI3" s="7"/>
      <c r="AJ3" s="1"/>
      <c r="AP3" s="1"/>
      <c r="AQ3" s="1"/>
      <c r="AR3" s="1"/>
      <c r="AS3" s="1"/>
      <c r="AU3" s="12"/>
      <c r="AY3" s="1"/>
      <c r="AZ3" s="12"/>
      <c r="BD3" s="62" t="s">
        <v>198</v>
      </c>
      <c r="BE3" s="1"/>
    </row>
    <row r="4" spans="1:59" ht="13.5" thickBot="1" x14ac:dyDescent="0.25">
      <c r="AI4" s="8" t="s">
        <v>7</v>
      </c>
      <c r="AJ4" s="9" t="s">
        <v>8</v>
      </c>
      <c r="AK4" s="9" t="s">
        <v>9</v>
      </c>
      <c r="AL4" s="9" t="s">
        <v>386</v>
      </c>
      <c r="AM4" s="9" t="s">
        <v>387</v>
      </c>
      <c r="AN4" s="9" t="s">
        <v>388</v>
      </c>
      <c r="AO4" s="9" t="s">
        <v>13</v>
      </c>
      <c r="AP4" s="9" t="s">
        <v>10</v>
      </c>
      <c r="AQ4" s="9" t="s">
        <v>165</v>
      </c>
      <c r="AR4" s="9" t="s">
        <v>166</v>
      </c>
      <c r="AS4" s="9" t="s">
        <v>167</v>
      </c>
      <c r="AT4" s="9" t="s">
        <v>11</v>
      </c>
      <c r="AU4" s="9" t="s">
        <v>77</v>
      </c>
      <c r="AV4" s="9" t="s">
        <v>76</v>
      </c>
      <c r="AW4" s="9" t="s">
        <v>13</v>
      </c>
      <c r="AX4" s="9" t="s">
        <v>14</v>
      </c>
      <c r="AY4" s="9" t="s">
        <v>14</v>
      </c>
      <c r="AZ4" s="9" t="s">
        <v>77</v>
      </c>
      <c r="BA4" s="9" t="s">
        <v>76</v>
      </c>
      <c r="BB4" s="10" t="s">
        <v>15</v>
      </c>
      <c r="BC4" s="17" t="s">
        <v>84</v>
      </c>
      <c r="BD4" s="79" t="s">
        <v>404</v>
      </c>
      <c r="BE4" s="9" t="s">
        <v>16</v>
      </c>
      <c r="BF4" s="19" t="s">
        <v>493</v>
      </c>
    </row>
    <row r="5" spans="1:59" x14ac:dyDescent="0.2">
      <c r="D5" s="2" t="s">
        <v>661</v>
      </c>
      <c r="E5" s="2" t="s">
        <v>662</v>
      </c>
      <c r="F5" s="2" t="s">
        <v>661</v>
      </c>
      <c r="G5" s="2">
        <v>1000</v>
      </c>
      <c r="H5" s="2">
        <v>0</v>
      </c>
      <c r="K5" s="2">
        <v>0</v>
      </c>
      <c r="L5" s="2">
        <v>0</v>
      </c>
    </row>
    <row r="6" spans="1:59" ht="13.5" thickBot="1" x14ac:dyDescent="0.25">
      <c r="D6" s="2" t="s">
        <v>17</v>
      </c>
      <c r="E6" s="2" t="s">
        <v>663</v>
      </c>
      <c r="F6" s="2" t="s">
        <v>663</v>
      </c>
      <c r="G6" s="2">
        <v>1000</v>
      </c>
      <c r="H6" s="2">
        <v>24</v>
      </c>
      <c r="K6" s="2">
        <v>224</v>
      </c>
      <c r="L6" s="2">
        <v>1</v>
      </c>
    </row>
    <row r="7" spans="1:59" ht="14.25" thickTop="1" thickBot="1" x14ac:dyDescent="0.25">
      <c r="D7" s="2" t="s">
        <v>664</v>
      </c>
      <c r="E7" s="2" t="s">
        <v>665</v>
      </c>
      <c r="F7" s="2" t="s">
        <v>663</v>
      </c>
      <c r="G7" s="2">
        <v>1000</v>
      </c>
      <c r="H7" s="2">
        <v>224</v>
      </c>
      <c r="K7" s="2">
        <v>224</v>
      </c>
      <c r="L7" s="2">
        <v>1</v>
      </c>
      <c r="AI7" s="48"/>
      <c r="AJ7" s="56" t="s">
        <v>17</v>
      </c>
      <c r="AK7" s="56" t="s">
        <v>35</v>
      </c>
      <c r="AL7" s="56"/>
      <c r="AM7" s="56"/>
      <c r="AN7" s="56"/>
      <c r="AO7" s="56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1"/>
      <c r="BD7" s="51"/>
      <c r="BE7" s="50"/>
    </row>
    <row r="8" spans="1:59" ht="13.5" thickTop="1" x14ac:dyDescent="0.2">
      <c r="D8" s="13" t="s">
        <v>666</v>
      </c>
      <c r="E8" s="13" t="s">
        <v>667</v>
      </c>
    </row>
    <row r="9" spans="1:59" ht="14.25" x14ac:dyDescent="0.2">
      <c r="A9" t="str">
        <f>IF(ISBLANK(AK9),#REF!,AK9)</f>
        <v>A7</v>
      </c>
      <c r="B9" s="2" t="s">
        <v>655</v>
      </c>
      <c r="C9">
        <f>IF(ISBLANK(AI9),#REF!,AI9)</f>
        <v>909.3</v>
      </c>
      <c r="D9" t="str">
        <f>IF(AJ9="SST","SS",IF(AND(AJ9="",ISTEXT(BB9)),"UFD",""))</f>
        <v>SS</v>
      </c>
      <c r="E9" s="169" t="str">
        <f>IF(OR(A9="",B9="",C9=""),"eine der Spalten BAB, FR, km leer?",CONCATENATE(VLOOKUP(VALUE(I9),[1]Grundlage!$A$1:$B$14,2,0),IF(LEFT(A9,1)="A",IF(VALUE(MID(A9,2,10))&lt;10,"A00"&amp;VALUE(MID(A9,2,10)),IF(VALUE(MID(A9,2,10))&lt;100,"A0"&amp;VALUE(MID(A9,2,10)),IF(VALUE(MID(A9,2,10))&lt;1000,"A"&amp;VALUE(MID(A9,2,10))))),IF(LEFT(A9,1)="B",IF(VALUE(MID(A9,2,10))&lt;10,"B00"&amp;VALUE(MID(A9,2,10)),IF(VALUE(MID(A9,2,10))&lt;100,"B0"&amp;VALUE(MID(A9,2,10)),IF(VALUE(MID(A9,2,10))&lt;1000,"B"&amp;VALUE(MID(A9,2,10))))),A9)),"_",IF(NOT(OR(C9=1000,C9&gt;1000)),MID(TEXT((C9+1000)*1000,0),2,6),"keine Meter in Spalte km!!!"),IF(VALUE(I9)=1,CONCATENATE("_",VLOOKUP(IF(V9&gt;0,V9,J9),[1]Grundlage!$A$20:$B$181,2,0)),CONCATENATE("_",B9))))</f>
        <v>SSt_A007_909300_S</v>
      </c>
      <c r="F9" s="2" t="s">
        <v>33</v>
      </c>
      <c r="G9" s="167">
        <f>IF(ISBLANK(AP9),#REF!,INT(AP9/256))</f>
        <v>2805</v>
      </c>
      <c r="H9">
        <f>IF(ISBLANK(AP9),#REF!,MOD(AP9,256))</f>
        <v>234</v>
      </c>
      <c r="I9" s="2">
        <f>IF(D9="SS",254,AT9)</f>
        <v>254</v>
      </c>
      <c r="J9" s="2">
        <f>IF(D9="SS",0,AU9)</f>
        <v>0</v>
      </c>
      <c r="K9" s="13">
        <v>204</v>
      </c>
      <c r="L9" s="2">
        <f>IF(ISBLANK(AX9),#REF!,AX9)</f>
        <v>3</v>
      </c>
      <c r="M9" s="2" t="str">
        <f>IF(ISBLANK(AY9),"",AY9)</f>
        <v/>
      </c>
      <c r="N9" s="2" t="str">
        <f>IF(ISBLANK(AZ9),"",AZ9)</f>
        <v/>
      </c>
      <c r="P9" s="168" t="str">
        <f>IF(AT9&lt;&gt;3,"",IF(BB9="Helligkeitssensor",61,IF(BB9="Helligkeit",61,IF(BB10="Lichtsensor",61,IF(BB9="Lufttemperatur",48,IF(BB9="Niederschlagsart",71,IF(BB9="Niederschlagsintensität",53,IF(BB9="relative Luftfeuchte RLF",55,IF(BB9="Sichtweite",60,IF(BB9="Sichtweite 1",60,IF(BB9="Zustand der Fahrbahnoberfläche FBZ",79,IF(BB9="Wasserfilmdicke WFD",72,IF(BB9="Clusterkanal FG3","",IF(BB9="Gefriertemperatur GT",65,IF(BB9="Fahrbahnoberflächentemperatur FBT",49,RIGHT(BJ9,2))))))))))))))))</f>
        <v/>
      </c>
      <c r="AI9" s="35">
        <v>909.3</v>
      </c>
      <c r="AJ9" s="36" t="s">
        <v>19</v>
      </c>
      <c r="AK9" s="36" t="s">
        <v>31</v>
      </c>
      <c r="AL9" s="36"/>
      <c r="AM9" s="36"/>
      <c r="AN9" s="36"/>
      <c r="AO9" s="36"/>
      <c r="AP9" s="42">
        <v>718314</v>
      </c>
      <c r="AQ9" s="42" t="s">
        <v>95</v>
      </c>
      <c r="AR9" s="42" t="s">
        <v>213</v>
      </c>
      <c r="AS9" s="42" t="s">
        <v>212</v>
      </c>
      <c r="AT9" s="36"/>
      <c r="AU9" s="36"/>
      <c r="AV9" s="36"/>
      <c r="AW9" s="36"/>
      <c r="AX9" s="36">
        <v>3</v>
      </c>
      <c r="AY9" s="36"/>
      <c r="AZ9" s="36"/>
      <c r="BA9" s="36"/>
      <c r="BB9" s="37" t="s">
        <v>33</v>
      </c>
      <c r="BC9" s="76"/>
      <c r="BD9" s="99" t="s">
        <v>163</v>
      </c>
      <c r="BE9" s="39" t="s">
        <v>18</v>
      </c>
      <c r="BF9" s="2" t="s">
        <v>447</v>
      </c>
    </row>
    <row r="10" spans="1:59" ht="14.25" x14ac:dyDescent="0.2">
      <c r="A10" t="str">
        <f t="shared" ref="A10:A73" si="0">IF(ISBLANK(AK10),A9,AK10)</f>
        <v>A7</v>
      </c>
      <c r="B10" s="2" t="s">
        <v>655</v>
      </c>
      <c r="C10">
        <f t="shared" ref="C10:C73" si="1">IF(ISBLANK(AI10),C9,AI10)</f>
        <v>909.3</v>
      </c>
      <c r="D10" t="str">
        <f t="shared" ref="D10:D73" si="2">IF(AJ10="SST","SS",IF(AND(AJ10="",ISTEXT(BB10)),"UFD",""))</f>
        <v>UFD</v>
      </c>
      <c r="E10" s="169" t="str">
        <f>IF(OR(A10="",B10="",C10=""),"eine der Spalten BAB, FR, km leer?",CONCATENATE(VLOOKUP(VALUE(I10),[1]Grundlage!$A$1:$B$14,2,0),IF(LEFT(A10,1)="A",IF(VALUE(MID(A10,2,10))&lt;10,"A00"&amp;VALUE(MID(A10,2,10)),IF(VALUE(MID(A10,2,10))&lt;100,"A0"&amp;VALUE(MID(A10,2,10)),IF(VALUE(MID(A10,2,10))&lt;1000,"A"&amp;VALUE(MID(A10,2,10))))),IF(LEFT(A10,1)="B",IF(VALUE(MID(A10,2,10))&lt;10,"B00"&amp;VALUE(MID(A10,2,10)),IF(VALUE(MID(A10,2,10))&lt;100,"B0"&amp;VALUE(MID(A10,2,10)),IF(VALUE(MID(A10,2,10))&lt;1000,"B"&amp;VALUE(MID(A10,2,10))))),A10)),"_",IF(NOT(OR(C10=1000,C10&gt;1000)),MID(TEXT((C10+1000)*1000,0),2,6),"keine Meter in Spalte km!!!"),IF(VALUE(I10)=1,CONCATENATE("_",VLOOKUP(IF(V10&gt;0,V10,J10),[1]Grundlage!$A$20:$B$181,2,0)),CONCATENATE("_",B10))))</f>
        <v>UQ_A007_909300_S</v>
      </c>
      <c r="F10" s="2" t="s">
        <v>269</v>
      </c>
      <c r="G10" s="167">
        <f t="shared" ref="G10:G20" si="3">IF(ISBLANK(AP10),G9,INT(AP10/256))</f>
        <v>2805</v>
      </c>
      <c r="H10">
        <f t="shared" ref="H10:H20" si="4">IF(ISBLANK(AP10),H9,MOD(AP10,256))</f>
        <v>234</v>
      </c>
      <c r="I10" s="2">
        <f t="shared" ref="I10:I73" si="5">IF(D10="SS",254,AT10)</f>
        <v>3</v>
      </c>
      <c r="J10" s="2">
        <f t="shared" ref="J10:J73" si="6">IF(D10="SS",0,AU10)</f>
        <v>6</v>
      </c>
      <c r="K10" s="13">
        <v>204</v>
      </c>
      <c r="L10" s="2">
        <f t="shared" ref="L10:L73" si="7">IF(ISBLANK(AX10),L9,AX10)</f>
        <v>3</v>
      </c>
      <c r="M10" s="2">
        <f t="shared" ref="M10:M73" si="8">IF(ISBLANK(AY10),"",AY10)</f>
        <v>1</v>
      </c>
      <c r="N10" s="2">
        <f t="shared" ref="N10:N73" si="9">IF(ISBLANK(AZ10),"",AZ10)</f>
        <v>1</v>
      </c>
      <c r="P10" s="168">
        <f>IF(AT10&lt;&gt;3,"",IF(BB10="Helligkeitssensor",61,IF(BB10="Helligkeit",61,IF(BB11="Lichtsensor",61,IF(BB10="Lufttemperatur",48,IF(BB10="Niederschlagsart",71,IF(BB10="Niederschlagsintensität",53,IF(BB10="relative Luftfeuchte RLF",55,IF(BB10="Sichtweite",60,IF(BB10="Sichtweite 1",60,IF(BB10="Zustand der Fahrbahnoberfläche FBZ",79,IF(BB10="Wasserfilmdicke WFD",72,IF(BB10="Clusterkanal FG3","",IF(BB10="Gefriertemperatur GT",65,IF(BB10="Fahrbahnoberflächentemperatur FBT",49,VALUE(RIGHT(BB10,2)))))))))))))))))</f>
        <v>71</v>
      </c>
      <c r="AP10" s="40"/>
      <c r="AQ10" s="40"/>
      <c r="AR10" s="40"/>
      <c r="AS10" s="77"/>
      <c r="AT10" s="19">
        <v>3</v>
      </c>
      <c r="AU10" s="14">
        <v>6</v>
      </c>
      <c r="AV10" s="27">
        <v>6</v>
      </c>
      <c r="AW10" s="19"/>
      <c r="AX10" s="19"/>
      <c r="AY10" s="19">
        <v>1</v>
      </c>
      <c r="AZ10" s="14">
        <v>1</v>
      </c>
      <c r="BA10" s="27">
        <v>1</v>
      </c>
      <c r="BB10" s="13" t="s">
        <v>269</v>
      </c>
      <c r="BC10" s="25"/>
      <c r="BF10" s="2" t="s">
        <v>440</v>
      </c>
    </row>
    <row r="11" spans="1:59" ht="14.25" x14ac:dyDescent="0.2">
      <c r="A11" t="str">
        <f t="shared" si="0"/>
        <v>A7</v>
      </c>
      <c r="B11" s="2" t="s">
        <v>655</v>
      </c>
      <c r="C11">
        <f t="shared" si="1"/>
        <v>909.3</v>
      </c>
      <c r="D11" t="str">
        <f t="shared" si="2"/>
        <v>UFD</v>
      </c>
      <c r="E11" s="169" t="str">
        <f>IF(OR(A11="",B11="",C11=""),"eine der Spalten BAB, FR, km leer?",CONCATENATE(VLOOKUP(VALUE(I11),[1]Grundlage!$A$1:$B$14,2,0),IF(LEFT(A11,1)="A",IF(VALUE(MID(A11,2,10))&lt;10,"A00"&amp;VALUE(MID(A11,2,10)),IF(VALUE(MID(A11,2,10))&lt;100,"A0"&amp;VALUE(MID(A11,2,10)),IF(VALUE(MID(A11,2,10))&lt;1000,"A"&amp;VALUE(MID(A11,2,10))))),IF(LEFT(A11,1)="B",IF(VALUE(MID(A11,2,10))&lt;10,"B00"&amp;VALUE(MID(A11,2,10)),IF(VALUE(MID(A11,2,10))&lt;100,"B0"&amp;VALUE(MID(A11,2,10)),IF(VALUE(MID(A11,2,10))&lt;1000,"B"&amp;VALUE(MID(A11,2,10))))),A11)),"_",IF(NOT(OR(C11=1000,C11&gt;1000)),MID(TEXT((C11+1000)*1000,0),2,6),"keine Meter in Spalte km!!!"),IF(VALUE(I11)=1,CONCATENATE("_",VLOOKUP(IF(V11&gt;0,V11,J11),[1]Grundlage!$A$20:$B$181,2,0)),CONCATENATE("_",B11))))</f>
        <v>UQ_A007_909300_S</v>
      </c>
      <c r="F11" s="2" t="s">
        <v>270</v>
      </c>
      <c r="G11" s="167">
        <f t="shared" si="3"/>
        <v>2805</v>
      </c>
      <c r="H11">
        <f t="shared" si="4"/>
        <v>234</v>
      </c>
      <c r="I11" s="2">
        <f t="shared" si="5"/>
        <v>3</v>
      </c>
      <c r="J11" s="2">
        <f t="shared" si="6"/>
        <v>11</v>
      </c>
      <c r="K11" s="13">
        <v>204</v>
      </c>
      <c r="L11" s="2">
        <f t="shared" si="7"/>
        <v>3</v>
      </c>
      <c r="M11" s="2">
        <f t="shared" si="8"/>
        <v>1</v>
      </c>
      <c r="N11" s="2">
        <f t="shared" si="9"/>
        <v>2</v>
      </c>
      <c r="P11" s="168">
        <f t="shared" ref="P11:P74" si="10">IF(AT11&lt;&gt;3,"",IF(BB11="Helligkeitssensor",61,IF(BB11="Helligkeit",61,IF(BB12="Lichtsensor",61,IF(BB11="Lufttemperatur",48,IF(BB11="Niederschlagsart",71,IF(BB11="Niederschlagsintensität",53,IF(BB11="relative Luftfeuchte RLF",55,IF(BB11="Sichtweite",60,IF(BB11="Sichtweite 1",60,IF(BB11="Zustand der Fahrbahnoberfläche FBZ",79,IF(BB11="Wasserfilmdicke WFD",72,IF(BB11="Clusterkanal FG3","",IF(BB11="Gefriertemperatur GT",65,IF(BB11="Fahrbahnoberflächentemperatur FBT",49,VALUE(RIGHT(BB11,2)))))))))))))))))</f>
        <v>70</v>
      </c>
      <c r="AS11" s="13"/>
      <c r="AT11" s="19">
        <v>3</v>
      </c>
      <c r="AU11" s="14">
        <v>11</v>
      </c>
      <c r="AV11" s="14" t="s">
        <v>78</v>
      </c>
      <c r="AW11" s="13"/>
      <c r="AX11" s="13"/>
      <c r="AY11" s="19">
        <v>1</v>
      </c>
      <c r="AZ11" s="14">
        <v>2</v>
      </c>
      <c r="BA11" s="14">
        <v>2</v>
      </c>
      <c r="BB11" s="13" t="s">
        <v>270</v>
      </c>
      <c r="BC11" s="25"/>
      <c r="BF11" s="2" t="s">
        <v>497</v>
      </c>
      <c r="BG11" s="13"/>
    </row>
    <row r="12" spans="1:59" ht="14.25" x14ac:dyDescent="0.2">
      <c r="A12" t="str">
        <f t="shared" si="0"/>
        <v>A7</v>
      </c>
      <c r="B12" s="2" t="s">
        <v>655</v>
      </c>
      <c r="C12">
        <f t="shared" si="1"/>
        <v>909.3</v>
      </c>
      <c r="D12" t="str">
        <f t="shared" si="2"/>
        <v>UFD</v>
      </c>
      <c r="E12" s="169" t="str">
        <f>IF(OR(A12="",B12="",C12=""),"eine der Spalten BAB, FR, km leer?",CONCATENATE(VLOOKUP(VALUE(I12),[1]Grundlage!$A$1:$B$14,2,0),IF(LEFT(A12,1)="A",IF(VALUE(MID(A12,2,10))&lt;10,"A00"&amp;VALUE(MID(A12,2,10)),IF(VALUE(MID(A12,2,10))&lt;100,"A0"&amp;VALUE(MID(A12,2,10)),IF(VALUE(MID(A12,2,10))&lt;1000,"A"&amp;VALUE(MID(A12,2,10))))),IF(LEFT(A12,1)="B",IF(VALUE(MID(A12,2,10))&lt;10,"B00"&amp;VALUE(MID(A12,2,10)),IF(VALUE(MID(A12,2,10))&lt;100,"B0"&amp;VALUE(MID(A12,2,10)),IF(VALUE(MID(A12,2,10))&lt;1000,"B"&amp;VALUE(MID(A12,2,10))))),A12)),"_",IF(NOT(OR(C12=1000,C12&gt;1000)),MID(TEXT((C12+1000)*1000,0),2,6),"keine Meter in Spalte km!!!"),IF(VALUE(I12)=1,CONCATENATE("_",VLOOKUP(IF(V12&gt;0,V12,J12),[1]Grundlage!$A$20:$B$181,2,0)),CONCATENATE("_",B12))))</f>
        <v>UQ_A007_909300_S</v>
      </c>
      <c r="F12" s="2" t="s">
        <v>25</v>
      </c>
      <c r="G12" s="167">
        <f t="shared" si="3"/>
        <v>2805</v>
      </c>
      <c r="H12">
        <f t="shared" si="4"/>
        <v>234</v>
      </c>
      <c r="I12" s="2">
        <f t="shared" si="5"/>
        <v>3</v>
      </c>
      <c r="J12" s="2">
        <f t="shared" si="6"/>
        <v>12</v>
      </c>
      <c r="K12" s="13">
        <v>204</v>
      </c>
      <c r="L12" s="2">
        <f t="shared" si="7"/>
        <v>3</v>
      </c>
      <c r="M12" s="2">
        <f t="shared" si="8"/>
        <v>1</v>
      </c>
      <c r="N12" s="2">
        <f t="shared" si="9"/>
        <v>3</v>
      </c>
      <c r="P12" s="168">
        <f t="shared" si="10"/>
        <v>48</v>
      </c>
      <c r="AS12" s="13"/>
      <c r="AT12" s="19">
        <v>3</v>
      </c>
      <c r="AU12" s="14">
        <v>12</v>
      </c>
      <c r="AV12" s="14" t="s">
        <v>79</v>
      </c>
      <c r="AW12" s="13"/>
      <c r="AX12" s="13"/>
      <c r="AY12" s="19">
        <v>1</v>
      </c>
      <c r="AZ12" s="14">
        <v>3</v>
      </c>
      <c r="BA12" s="14">
        <v>3</v>
      </c>
      <c r="BB12" s="13" t="s">
        <v>25</v>
      </c>
      <c r="BC12" s="25"/>
      <c r="BF12" s="13" t="s">
        <v>441</v>
      </c>
      <c r="BG12" s="13"/>
    </row>
    <row r="13" spans="1:59" ht="14.25" x14ac:dyDescent="0.2">
      <c r="A13" t="str">
        <f t="shared" si="0"/>
        <v>A7</v>
      </c>
      <c r="B13" s="2" t="s">
        <v>655</v>
      </c>
      <c r="C13">
        <f t="shared" si="1"/>
        <v>909.3</v>
      </c>
      <c r="D13" t="str">
        <f t="shared" si="2"/>
        <v>UFD</v>
      </c>
      <c r="E13" s="169" t="str">
        <f>IF(OR(A13="",B13="",C13=""),"eine der Spalten BAB, FR, km leer?",CONCATENATE(VLOOKUP(VALUE(I13),[1]Grundlage!$A$1:$B$14,2,0),IF(LEFT(A13,1)="A",IF(VALUE(MID(A13,2,10))&lt;10,"A00"&amp;VALUE(MID(A13,2,10)),IF(VALUE(MID(A13,2,10))&lt;100,"A0"&amp;VALUE(MID(A13,2,10)),IF(VALUE(MID(A13,2,10))&lt;1000,"A"&amp;VALUE(MID(A13,2,10))))),IF(LEFT(A13,1)="B",IF(VALUE(MID(A13,2,10))&lt;10,"B00"&amp;VALUE(MID(A13,2,10)),IF(VALUE(MID(A13,2,10))&lt;100,"B0"&amp;VALUE(MID(A13,2,10)),IF(VALUE(MID(A13,2,10))&lt;1000,"B"&amp;VALUE(MID(A13,2,10))))),A13)),"_",IF(NOT(OR(C13=1000,C13&gt;1000)),MID(TEXT((C13+1000)*1000,0),2,6),"keine Meter in Spalte km!!!"),IF(VALUE(I13)=1,CONCATENATE("_",VLOOKUP(IF(V13&gt;0,V13,J13),[1]Grundlage!$A$20:$B$181,2,0)),CONCATENATE("_",B13))))</f>
        <v>UQ_A007_909300_S</v>
      </c>
      <c r="F13" s="2" t="s">
        <v>26</v>
      </c>
      <c r="G13" s="167">
        <f t="shared" si="3"/>
        <v>2805</v>
      </c>
      <c r="H13">
        <f t="shared" si="4"/>
        <v>234</v>
      </c>
      <c r="I13" s="2">
        <f t="shared" si="5"/>
        <v>3</v>
      </c>
      <c r="J13" s="2">
        <f t="shared" si="6"/>
        <v>13</v>
      </c>
      <c r="K13" s="13">
        <v>204</v>
      </c>
      <c r="L13" s="2">
        <f t="shared" si="7"/>
        <v>3</v>
      </c>
      <c r="M13" s="2">
        <f t="shared" si="8"/>
        <v>1</v>
      </c>
      <c r="N13" s="2">
        <f t="shared" si="9"/>
        <v>4</v>
      </c>
      <c r="P13" s="168">
        <f t="shared" si="10"/>
        <v>55</v>
      </c>
      <c r="AS13" s="13"/>
      <c r="AT13" s="19">
        <v>3</v>
      </c>
      <c r="AU13" s="14">
        <v>13</v>
      </c>
      <c r="AV13" s="14" t="s">
        <v>80</v>
      </c>
      <c r="AW13" s="13"/>
      <c r="AX13" s="13"/>
      <c r="AY13" s="19">
        <v>1</v>
      </c>
      <c r="AZ13" s="14">
        <v>4</v>
      </c>
      <c r="BA13" s="14">
        <v>4</v>
      </c>
      <c r="BB13" s="13" t="s">
        <v>26</v>
      </c>
      <c r="BC13" s="25"/>
      <c r="BF13" s="13" t="s">
        <v>442</v>
      </c>
      <c r="BG13" s="13"/>
    </row>
    <row r="14" spans="1:59" ht="14.25" x14ac:dyDescent="0.2">
      <c r="A14" t="str">
        <f t="shared" si="0"/>
        <v>A7</v>
      </c>
      <c r="B14" s="2" t="s">
        <v>655</v>
      </c>
      <c r="C14">
        <f t="shared" si="1"/>
        <v>909.3</v>
      </c>
      <c r="D14" t="str">
        <f t="shared" si="2"/>
        <v>UFD</v>
      </c>
      <c r="E14" s="169" t="str">
        <f>IF(OR(A14="",B14="",C14=""),"eine der Spalten BAB, FR, km leer?",CONCATENATE(VLOOKUP(VALUE(I14),[1]Grundlage!$A$1:$B$14,2,0),IF(LEFT(A14,1)="A",IF(VALUE(MID(A14,2,10))&lt;10,"A00"&amp;VALUE(MID(A14,2,10)),IF(VALUE(MID(A14,2,10))&lt;100,"A0"&amp;VALUE(MID(A14,2,10)),IF(VALUE(MID(A14,2,10))&lt;1000,"A"&amp;VALUE(MID(A14,2,10))))),IF(LEFT(A14,1)="B",IF(VALUE(MID(A14,2,10))&lt;10,"B00"&amp;VALUE(MID(A14,2,10)),IF(VALUE(MID(A14,2,10))&lt;100,"B0"&amp;VALUE(MID(A14,2,10)),IF(VALUE(MID(A14,2,10))&lt;1000,"B"&amp;VALUE(MID(A14,2,10))))),A14)),"_",IF(NOT(OR(C14=1000,C14&gt;1000)),MID(TEXT((C14+1000)*1000,0),2,6),"keine Meter in Spalte km!!!"),IF(VALUE(I14)=1,CONCATENATE("_",VLOOKUP(IF(V14&gt;0,V14,J14),[1]Grundlage!$A$20:$B$181,2,0)),CONCATENATE("_",B14))))</f>
        <v>UQ_A007_909300_S</v>
      </c>
      <c r="F14" s="2" t="s">
        <v>27</v>
      </c>
      <c r="G14" s="167">
        <f t="shared" si="3"/>
        <v>2805</v>
      </c>
      <c r="H14">
        <f t="shared" si="4"/>
        <v>234</v>
      </c>
      <c r="I14" s="2">
        <f t="shared" si="5"/>
        <v>3</v>
      </c>
      <c r="J14" s="2">
        <f t="shared" si="6"/>
        <v>14</v>
      </c>
      <c r="K14" s="13">
        <v>204</v>
      </c>
      <c r="L14" s="2">
        <f t="shared" si="7"/>
        <v>3</v>
      </c>
      <c r="M14" s="2">
        <f t="shared" si="8"/>
        <v>1</v>
      </c>
      <c r="N14" s="2">
        <f t="shared" si="9"/>
        <v>5</v>
      </c>
      <c r="P14" s="168">
        <f t="shared" si="10"/>
        <v>66</v>
      </c>
      <c r="AS14" s="13"/>
      <c r="AT14" s="19">
        <v>3</v>
      </c>
      <c r="AU14" s="14">
        <v>14</v>
      </c>
      <c r="AV14" s="14" t="s">
        <v>81</v>
      </c>
      <c r="AW14" s="13"/>
      <c r="AX14" s="13"/>
      <c r="AY14" s="19">
        <v>1</v>
      </c>
      <c r="AZ14" s="14">
        <v>5</v>
      </c>
      <c r="BA14" s="14">
        <v>5</v>
      </c>
      <c r="BB14" s="13" t="s">
        <v>27</v>
      </c>
      <c r="BC14" s="25"/>
      <c r="BF14" s="13" t="s">
        <v>443</v>
      </c>
      <c r="BG14" s="13"/>
    </row>
    <row r="15" spans="1:59" ht="12" customHeight="1" x14ac:dyDescent="0.2">
      <c r="A15" t="str">
        <f t="shared" si="0"/>
        <v>A7</v>
      </c>
      <c r="B15" s="2" t="s">
        <v>655</v>
      </c>
      <c r="C15">
        <f t="shared" si="1"/>
        <v>909.3</v>
      </c>
      <c r="D15" t="str">
        <f t="shared" si="2"/>
        <v>UFD</v>
      </c>
      <c r="E15" s="169" t="str">
        <f>IF(OR(A15="",B15="",C15=""),"eine der Spalten BAB, FR, km leer?",CONCATENATE(VLOOKUP(VALUE(I15),[1]Grundlage!$A$1:$B$14,2,0),IF(LEFT(A15,1)="A",IF(VALUE(MID(A15,2,10))&lt;10,"A00"&amp;VALUE(MID(A15,2,10)),IF(VALUE(MID(A15,2,10))&lt;100,"A0"&amp;VALUE(MID(A15,2,10)),IF(VALUE(MID(A15,2,10))&lt;1000,"A"&amp;VALUE(MID(A15,2,10))))),IF(LEFT(A15,1)="B",IF(VALUE(MID(A15,2,10))&lt;10,"B00"&amp;VALUE(MID(A15,2,10)),IF(VALUE(MID(A15,2,10))&lt;100,"B0"&amp;VALUE(MID(A15,2,10)),IF(VALUE(MID(A15,2,10))&lt;1000,"B"&amp;VALUE(MID(A15,2,10))))),A15)),"_",IF(NOT(OR(C15=1000,C15&gt;1000)),MID(TEXT((C15+1000)*1000,0),2,6),"keine Meter in Spalte km!!!"),IF(VALUE(I15)=1,CONCATENATE("_",VLOOKUP(IF(V15&gt;0,V15,J15),[1]Grundlage!$A$20:$B$181,2,0)),CONCATENATE("_",B15))))</f>
        <v>UQ_A007_909300_S</v>
      </c>
      <c r="F15" s="2" t="s">
        <v>28</v>
      </c>
      <c r="G15" s="167">
        <f t="shared" si="3"/>
        <v>2805</v>
      </c>
      <c r="H15">
        <f t="shared" si="4"/>
        <v>234</v>
      </c>
      <c r="I15" s="2">
        <f t="shared" si="5"/>
        <v>3</v>
      </c>
      <c r="J15" s="2">
        <f t="shared" si="6"/>
        <v>15</v>
      </c>
      <c r="K15" s="13">
        <v>204</v>
      </c>
      <c r="L15" s="2">
        <f t="shared" si="7"/>
        <v>3</v>
      </c>
      <c r="M15" s="2">
        <f t="shared" si="8"/>
        <v>1</v>
      </c>
      <c r="N15" s="2">
        <f t="shared" si="9"/>
        <v>6</v>
      </c>
      <c r="P15" s="168">
        <f t="shared" si="10"/>
        <v>65</v>
      </c>
      <c r="AS15" s="13"/>
      <c r="AT15" s="19">
        <v>3</v>
      </c>
      <c r="AU15" s="14">
        <v>15</v>
      </c>
      <c r="AV15" s="14" t="s">
        <v>82</v>
      </c>
      <c r="AW15" s="13"/>
      <c r="AX15" s="13"/>
      <c r="AY15" s="19">
        <v>1</v>
      </c>
      <c r="AZ15" s="14">
        <v>6</v>
      </c>
      <c r="BA15" s="14">
        <v>6</v>
      </c>
      <c r="BB15" s="13" t="s">
        <v>28</v>
      </c>
      <c r="BC15" s="25"/>
      <c r="BF15" s="13" t="s">
        <v>498</v>
      </c>
      <c r="BG15" s="13"/>
    </row>
    <row r="16" spans="1:59" ht="14.25" x14ac:dyDescent="0.2">
      <c r="A16" t="str">
        <f t="shared" si="0"/>
        <v>A7</v>
      </c>
      <c r="B16" s="2" t="s">
        <v>655</v>
      </c>
      <c r="C16">
        <f t="shared" si="1"/>
        <v>909.3</v>
      </c>
      <c r="D16" t="str">
        <f t="shared" si="2"/>
        <v>UFD</v>
      </c>
      <c r="E16" s="169" t="str">
        <f>IF(OR(A16="",B16="",C16=""),"eine der Spalten BAB, FR, km leer?",CONCATENATE(VLOOKUP(VALUE(I16),[1]Grundlage!$A$1:$B$14,2,0),IF(LEFT(A16,1)="A",IF(VALUE(MID(A16,2,10))&lt;10,"A00"&amp;VALUE(MID(A16,2,10)),IF(VALUE(MID(A16,2,10))&lt;100,"A0"&amp;VALUE(MID(A16,2,10)),IF(VALUE(MID(A16,2,10))&lt;1000,"A"&amp;VALUE(MID(A16,2,10))))),IF(LEFT(A16,1)="B",IF(VALUE(MID(A16,2,10))&lt;10,"B00"&amp;VALUE(MID(A16,2,10)),IF(VALUE(MID(A16,2,10))&lt;100,"B0"&amp;VALUE(MID(A16,2,10)),IF(VALUE(MID(A16,2,10))&lt;1000,"B"&amp;VALUE(MID(A16,2,10))))),A16)),"_",IF(NOT(OR(C16=1000,C16&gt;1000)),MID(TEXT((C16+1000)*1000,0),2,6),"keine Meter in Spalte km!!!"),IF(VALUE(I16)=1,CONCATENATE("_",VLOOKUP(IF(V16&gt;0,V16,J16),[1]Grundlage!$A$20:$B$181,2,0)),CONCATENATE("_",B16))))</f>
        <v>UQ_A007_909300_S</v>
      </c>
      <c r="F16" s="2" t="s">
        <v>29</v>
      </c>
      <c r="G16" s="167">
        <f t="shared" si="3"/>
        <v>2805</v>
      </c>
      <c r="H16">
        <f t="shared" si="4"/>
        <v>234</v>
      </c>
      <c r="I16" s="2">
        <f t="shared" si="5"/>
        <v>3</v>
      </c>
      <c r="J16" s="2">
        <f t="shared" si="6"/>
        <v>19</v>
      </c>
      <c r="K16" s="13">
        <v>204</v>
      </c>
      <c r="L16" s="2">
        <f t="shared" si="7"/>
        <v>3</v>
      </c>
      <c r="M16" s="2">
        <f t="shared" si="8"/>
        <v>1</v>
      </c>
      <c r="N16" s="2">
        <f t="shared" si="9"/>
        <v>7</v>
      </c>
      <c r="P16" s="168">
        <f t="shared" si="10"/>
        <v>49</v>
      </c>
      <c r="AS16" s="13"/>
      <c r="AT16" s="19">
        <v>3</v>
      </c>
      <c r="AU16" s="14">
        <v>19</v>
      </c>
      <c r="AV16" s="14">
        <v>13</v>
      </c>
      <c r="AW16" s="13"/>
      <c r="AX16" s="13"/>
      <c r="AY16" s="19">
        <v>1</v>
      </c>
      <c r="AZ16" s="14">
        <v>7</v>
      </c>
      <c r="BA16" s="14">
        <v>7</v>
      </c>
      <c r="BB16" s="13" t="s">
        <v>29</v>
      </c>
      <c r="BC16" s="25"/>
      <c r="BF16" s="13" t="s">
        <v>499</v>
      </c>
      <c r="BG16" s="13"/>
    </row>
    <row r="17" spans="1:59" ht="14.25" x14ac:dyDescent="0.2">
      <c r="A17" t="str">
        <f t="shared" si="0"/>
        <v>A7</v>
      </c>
      <c r="B17" s="2" t="s">
        <v>655</v>
      </c>
      <c r="C17">
        <f t="shared" si="1"/>
        <v>909.3</v>
      </c>
      <c r="D17" t="str">
        <f t="shared" si="2"/>
        <v>UFD</v>
      </c>
      <c r="E17" s="169" t="str">
        <f>IF(OR(A17="",B17="",C17=""),"eine der Spalten BAB, FR, km leer?",CONCATENATE(VLOOKUP(VALUE(I17),[1]Grundlage!$A$1:$B$14,2,0),IF(LEFT(A17,1)="A",IF(VALUE(MID(A17,2,10))&lt;10,"A00"&amp;VALUE(MID(A17,2,10)),IF(VALUE(MID(A17,2,10))&lt;100,"A0"&amp;VALUE(MID(A17,2,10)),IF(VALUE(MID(A17,2,10))&lt;1000,"A"&amp;VALUE(MID(A17,2,10))))),IF(LEFT(A17,1)="B",IF(VALUE(MID(A17,2,10))&lt;10,"B00"&amp;VALUE(MID(A17,2,10)),IF(VALUE(MID(A17,2,10))&lt;100,"B0"&amp;VALUE(MID(A17,2,10)),IF(VALUE(MID(A17,2,10))&lt;1000,"B"&amp;VALUE(MID(A17,2,10))))),A17)),"_",IF(NOT(OR(C17=1000,C17&gt;1000)),MID(TEXT((C17+1000)*1000,0),2,6),"keine Meter in Spalte km!!!"),IF(VALUE(I17)=1,CONCATENATE("_",VLOOKUP(IF(V17&gt;0,V17,J17),[1]Grundlage!$A$20:$B$181,2,0)),CONCATENATE("_",B17))))</f>
        <v>UQ_A007_909300_S</v>
      </c>
      <c r="F17" s="2" t="s">
        <v>30</v>
      </c>
      <c r="G17" s="167">
        <f t="shared" si="3"/>
        <v>2805</v>
      </c>
      <c r="H17">
        <f t="shared" si="4"/>
        <v>234</v>
      </c>
      <c r="I17" s="2">
        <f t="shared" si="5"/>
        <v>3</v>
      </c>
      <c r="J17" s="2">
        <f t="shared" si="6"/>
        <v>21</v>
      </c>
      <c r="K17" s="13">
        <v>204</v>
      </c>
      <c r="L17" s="2">
        <f t="shared" si="7"/>
        <v>3</v>
      </c>
      <c r="M17" s="2">
        <f t="shared" si="8"/>
        <v>1</v>
      </c>
      <c r="N17" s="2">
        <f t="shared" si="9"/>
        <v>8</v>
      </c>
      <c r="P17" s="168">
        <f t="shared" si="10"/>
        <v>67</v>
      </c>
      <c r="AS17" s="13"/>
      <c r="AT17" s="19">
        <v>3</v>
      </c>
      <c r="AU17" s="14">
        <v>21</v>
      </c>
      <c r="AV17" s="14">
        <v>15</v>
      </c>
      <c r="AW17" s="13"/>
      <c r="AX17" s="13"/>
      <c r="AY17" s="19">
        <v>1</v>
      </c>
      <c r="AZ17" s="14">
        <v>8</v>
      </c>
      <c r="BA17" s="14">
        <v>8</v>
      </c>
      <c r="BB17" s="13" t="s">
        <v>30</v>
      </c>
      <c r="BC17" s="25"/>
      <c r="BF17" s="13" t="s">
        <v>500</v>
      </c>
      <c r="BG17" s="13"/>
    </row>
    <row r="18" spans="1:59" ht="14.25" x14ac:dyDescent="0.2">
      <c r="A18" t="str">
        <f t="shared" si="0"/>
        <v>A7</v>
      </c>
      <c r="B18" s="2" t="s">
        <v>655</v>
      </c>
      <c r="C18">
        <f t="shared" si="1"/>
        <v>909.3</v>
      </c>
      <c r="D18" t="str">
        <f t="shared" si="2"/>
        <v>UFD</v>
      </c>
      <c r="E18" s="169" t="str">
        <f>IF(OR(A18="",B18="",C18=""),"eine der Spalten BAB, FR, km leer?",CONCATENATE(VLOOKUP(VALUE(I18),[1]Grundlage!$A$1:$B$14,2,0),IF(LEFT(A18,1)="A",IF(VALUE(MID(A18,2,10))&lt;10,"A00"&amp;VALUE(MID(A18,2,10)),IF(VALUE(MID(A18,2,10))&lt;100,"A0"&amp;VALUE(MID(A18,2,10)),IF(VALUE(MID(A18,2,10))&lt;1000,"A"&amp;VALUE(MID(A18,2,10))))),IF(LEFT(A18,1)="B",IF(VALUE(MID(A18,2,10))&lt;10,"B00"&amp;VALUE(MID(A18,2,10)),IF(VALUE(MID(A18,2,10))&lt;100,"B0"&amp;VALUE(MID(A18,2,10)),IF(VALUE(MID(A18,2,10))&lt;1000,"B"&amp;VALUE(MID(A18,2,10))))),A18)),"_",IF(NOT(OR(C18=1000,C18&gt;1000)),MID(TEXT((C18+1000)*1000,0),2,6),"keine Meter in Spalte km!!!"),IF(VALUE(I18)=1,CONCATENATE("_",VLOOKUP(IF(V18&gt;0,V18,J18),[1]Grundlage!$A$20:$B$181,2,0)),CONCATENATE("_",B18))))</f>
        <v>UQ_A007_909300_S</v>
      </c>
      <c r="F18" s="2" t="s">
        <v>41</v>
      </c>
      <c r="G18" s="167">
        <f t="shared" si="3"/>
        <v>2805</v>
      </c>
      <c r="H18">
        <f t="shared" si="4"/>
        <v>234</v>
      </c>
      <c r="I18" s="2">
        <f t="shared" si="5"/>
        <v>3</v>
      </c>
      <c r="J18" s="2">
        <f t="shared" si="6"/>
        <v>24</v>
      </c>
      <c r="K18" s="13">
        <v>204</v>
      </c>
      <c r="L18" s="2">
        <f t="shared" si="7"/>
        <v>3</v>
      </c>
      <c r="M18" s="2">
        <f t="shared" si="8"/>
        <v>1</v>
      </c>
      <c r="N18" s="2">
        <f t="shared" si="9"/>
        <v>9</v>
      </c>
      <c r="P18" s="168">
        <f t="shared" si="10"/>
        <v>69</v>
      </c>
      <c r="AS18" s="13"/>
      <c r="AT18" s="19">
        <v>3</v>
      </c>
      <c r="AU18" s="14">
        <v>24</v>
      </c>
      <c r="AV18" s="14">
        <v>18</v>
      </c>
      <c r="AW18" s="13"/>
      <c r="AX18" s="13"/>
      <c r="AY18" s="19">
        <v>1</v>
      </c>
      <c r="AZ18" s="14">
        <v>9</v>
      </c>
      <c r="BA18" s="14">
        <v>9</v>
      </c>
      <c r="BB18" s="13" t="s">
        <v>41</v>
      </c>
      <c r="BC18" s="25"/>
      <c r="BF18" s="13" t="s">
        <v>501</v>
      </c>
      <c r="BG18" s="13"/>
    </row>
    <row r="19" spans="1:59" ht="14.25" x14ac:dyDescent="0.2">
      <c r="A19" t="str">
        <f t="shared" si="0"/>
        <v>A7</v>
      </c>
      <c r="B19" s="2" t="s">
        <v>655</v>
      </c>
      <c r="C19">
        <f t="shared" si="1"/>
        <v>909.3</v>
      </c>
      <c r="D19" t="str">
        <f t="shared" si="2"/>
        <v>UFD</v>
      </c>
      <c r="E19" s="169" t="str">
        <f>IF(OR(A19="",B19="",C19=""),"eine der Spalten BAB, FR, km leer?",CONCATENATE(VLOOKUP(VALUE(I19),[1]Grundlage!$A$1:$B$14,2,0),IF(LEFT(A19,1)="A",IF(VALUE(MID(A19,2,10))&lt;10,"A00"&amp;VALUE(MID(A19,2,10)),IF(VALUE(MID(A19,2,10))&lt;100,"A0"&amp;VALUE(MID(A19,2,10)),IF(VALUE(MID(A19,2,10))&lt;1000,"A"&amp;VALUE(MID(A19,2,10))))),IF(LEFT(A19,1)="B",IF(VALUE(MID(A19,2,10))&lt;10,"B00"&amp;VALUE(MID(A19,2,10)),IF(VALUE(MID(A19,2,10))&lt;100,"B0"&amp;VALUE(MID(A19,2,10)),IF(VALUE(MID(A19,2,10))&lt;1000,"B"&amp;VALUE(MID(A19,2,10))))),A19)),"_",IF(NOT(OR(C19=1000,C19&gt;1000)),MID(TEXT((C19+1000)*1000,0),2,6),"keine Meter in Spalte km!!!"),IF(VALUE(I19)=1,CONCATENATE("_",VLOOKUP(IF(V19&gt;0,V19,J19),[1]Grundlage!$A$20:$B$181,2,0)),CONCATENATE("_",B19))))</f>
        <v>UQ_A007_909300_S</v>
      </c>
      <c r="F19" s="2" t="s">
        <v>271</v>
      </c>
      <c r="G19" s="167">
        <f t="shared" si="3"/>
        <v>2805</v>
      </c>
      <c r="H19">
        <f t="shared" si="4"/>
        <v>234</v>
      </c>
      <c r="I19" s="2">
        <f t="shared" si="5"/>
        <v>3</v>
      </c>
      <c r="J19" s="2">
        <f t="shared" si="6"/>
        <v>67</v>
      </c>
      <c r="K19" s="13">
        <v>204</v>
      </c>
      <c r="L19" s="2">
        <f t="shared" si="7"/>
        <v>3</v>
      </c>
      <c r="M19" s="2">
        <f t="shared" si="8"/>
        <v>1</v>
      </c>
      <c r="N19" s="2">
        <f t="shared" si="9"/>
        <v>10</v>
      </c>
      <c r="P19" s="168">
        <f t="shared" si="10"/>
        <v>53</v>
      </c>
      <c r="AS19" s="13"/>
      <c r="AT19" s="19">
        <v>3</v>
      </c>
      <c r="AU19" s="14">
        <v>67</v>
      </c>
      <c r="AV19" s="14">
        <v>43</v>
      </c>
      <c r="AW19" s="13"/>
      <c r="AX19" s="13"/>
      <c r="AY19" s="19">
        <v>1</v>
      </c>
      <c r="AZ19" s="14">
        <v>10</v>
      </c>
      <c r="BA19" s="14" t="s">
        <v>95</v>
      </c>
      <c r="BB19" s="13" t="s">
        <v>271</v>
      </c>
      <c r="BC19" s="25"/>
      <c r="BF19" s="13" t="s">
        <v>444</v>
      </c>
      <c r="BG19" s="13"/>
    </row>
    <row r="20" spans="1:59" ht="14.25" x14ac:dyDescent="0.2">
      <c r="A20" t="str">
        <f t="shared" si="0"/>
        <v>A7</v>
      </c>
      <c r="B20" s="2" t="s">
        <v>655</v>
      </c>
      <c r="C20">
        <f t="shared" si="1"/>
        <v>909.3</v>
      </c>
      <c r="D20" t="str">
        <f t="shared" si="2"/>
        <v>UFD</v>
      </c>
      <c r="E20" s="169" t="str">
        <f>IF(OR(A20="",B20="",C20=""),"eine der Spalten BAB, FR, km leer?",CONCATENATE(VLOOKUP(VALUE(I20),[1]Grundlage!$A$1:$B$14,2,0),IF(LEFT(A20,1)="A",IF(VALUE(MID(A20,2,10))&lt;10,"A00"&amp;VALUE(MID(A20,2,10)),IF(VALUE(MID(A20,2,10))&lt;100,"A0"&amp;VALUE(MID(A20,2,10)),IF(VALUE(MID(A20,2,10))&lt;1000,"A"&amp;VALUE(MID(A20,2,10))))),IF(LEFT(A20,1)="B",IF(VALUE(MID(A20,2,10))&lt;10,"B00"&amp;VALUE(MID(A20,2,10)),IF(VALUE(MID(A20,2,10))&lt;100,"B0"&amp;VALUE(MID(A20,2,10)),IF(VALUE(MID(A20,2,10))&lt;1000,"B"&amp;VALUE(MID(A20,2,10))))),A20)),"_",IF(NOT(OR(C20=1000,C20&gt;1000)),MID(TEXT((C20+1000)*1000,0),2,6),"keine Meter in Spalte km!!!"),IF(VALUE(I20)=1,CONCATENATE("_",VLOOKUP(IF(V20&gt;0,V20,J20),[1]Grundlage!$A$20:$B$181,2,0)),CONCATENATE("_",B20))))</f>
        <v>UQ_A007_909300_S</v>
      </c>
      <c r="F20" s="2" t="s">
        <v>272</v>
      </c>
      <c r="G20" s="167">
        <f t="shared" si="3"/>
        <v>2805</v>
      </c>
      <c r="H20">
        <f t="shared" si="4"/>
        <v>234</v>
      </c>
      <c r="I20" s="2">
        <f t="shared" si="5"/>
        <v>3</v>
      </c>
      <c r="J20" s="2">
        <f t="shared" si="6"/>
        <v>82</v>
      </c>
      <c r="K20" s="13">
        <v>204</v>
      </c>
      <c r="L20" s="2">
        <f t="shared" si="7"/>
        <v>3</v>
      </c>
      <c r="M20" s="2">
        <f t="shared" si="8"/>
        <v>1</v>
      </c>
      <c r="N20" s="2">
        <f t="shared" si="9"/>
        <v>11</v>
      </c>
      <c r="P20" s="168">
        <f t="shared" si="10"/>
        <v>72</v>
      </c>
      <c r="AS20" s="13"/>
      <c r="AT20" s="19">
        <v>3</v>
      </c>
      <c r="AU20" s="14">
        <v>82</v>
      </c>
      <c r="AV20" s="14">
        <v>52</v>
      </c>
      <c r="AW20" s="13"/>
      <c r="AX20" s="13"/>
      <c r="AY20" s="19">
        <v>1</v>
      </c>
      <c r="AZ20" s="14">
        <v>11</v>
      </c>
      <c r="BA20" s="14" t="s">
        <v>78</v>
      </c>
      <c r="BB20" s="13" t="s">
        <v>272</v>
      </c>
      <c r="BC20" s="25"/>
      <c r="BF20" s="13" t="s">
        <v>502</v>
      </c>
      <c r="BG20" s="13"/>
    </row>
    <row r="21" spans="1:59" ht="14.25" x14ac:dyDescent="0.2">
      <c r="A21" t="str">
        <f t="shared" si="0"/>
        <v>A7</v>
      </c>
      <c r="C21">
        <f t="shared" si="1"/>
        <v>909.3</v>
      </c>
      <c r="D21" t="str">
        <f t="shared" si="2"/>
        <v/>
      </c>
      <c r="E21" s="169" t="str">
        <f>IF(OR(A21="",B21="",C21=""),"",CONCATENATE(VLOOKUP(VALUE(I21),[1]Grundlage!$A$1:$B$14,2,0),IF(LEFT(A21,1)="A",IF(VALUE(MID(A21,2,10))&lt;10,"A00"&amp;VALUE(MID(A21,2,10)),IF(VALUE(MID(A21,2,10))&lt;100,"A0"&amp;VALUE(MID(A21,2,10)),IF(VALUE(MID(A21,2,10))&lt;1000,"A"&amp;VALUE(MID(A21,2,10))))),IF(LEFT(A21,1)="B",IF(VALUE(MID(A21,2,10))&lt;10,"B00"&amp;VALUE(MID(A21,2,10)),IF(VALUE(MID(A21,2,10))&lt;100,"B0"&amp;VALUE(MID(A21,2,10)),IF(VALUE(MID(A21,2,10))&lt;1000,"B"&amp;VALUE(MID(A21,2,10))))),A21)),"_",IF(NOT(OR(C21=1000,C21&gt;1000)),MID(TEXT((C21+1000)*1000,0),2,6),"keine Meter in Spalte km!!!"),IF(VALUE(I21)=1,CONCATENATE("_",VLOOKUP(IF(V21&gt;0,V21,J21),[1]Grundlage!$A$20:$B$181,2,0)),CONCATENATE("_",B21))))</f>
        <v/>
      </c>
      <c r="F21" s="2" t="s">
        <v>669</v>
      </c>
      <c r="G21" s="167">
        <f t="shared" ref="G21:G38" si="11">IF(ISBLANK(AP21),G20,INT(AP21/256))</f>
        <v>2805</v>
      </c>
      <c r="H21">
        <f t="shared" ref="H21:H38" si="12">IF(ISBLANK(AP21),H20,MOD(AP21,256))</f>
        <v>234</v>
      </c>
      <c r="I21" s="2">
        <f t="shared" si="5"/>
        <v>0</v>
      </c>
      <c r="J21" s="2">
        <f t="shared" si="6"/>
        <v>0</v>
      </c>
      <c r="K21" s="13">
        <v>204</v>
      </c>
      <c r="L21" s="2">
        <f t="shared" si="7"/>
        <v>3</v>
      </c>
      <c r="M21" s="2" t="str">
        <f t="shared" si="8"/>
        <v/>
      </c>
      <c r="N21" s="2" t="str">
        <f t="shared" si="9"/>
        <v/>
      </c>
      <c r="P21" s="168" t="str">
        <f t="shared" si="10"/>
        <v/>
      </c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25"/>
      <c r="BG21" s="13"/>
    </row>
    <row r="22" spans="1:59" ht="14.25" x14ac:dyDescent="0.2">
      <c r="A22" t="str">
        <f t="shared" si="0"/>
        <v>A7</v>
      </c>
      <c r="B22" s="2" t="s">
        <v>656</v>
      </c>
      <c r="C22">
        <f t="shared" si="1"/>
        <v>927.6</v>
      </c>
      <c r="D22" t="str">
        <f t="shared" si="2"/>
        <v>SS</v>
      </c>
      <c r="E22" s="169" t="str">
        <f>IF(OR(A22="",B22="",C22=""),"eine der Spalten BAB, FR, km leer?",CONCATENATE(VLOOKUP(VALUE(I22),[1]Grundlage!$A$1:$B$14,2,0),IF(LEFT(A22,1)="A",IF(VALUE(MID(A22,2,10))&lt;10,"A00"&amp;VALUE(MID(A22,2,10)),IF(VALUE(MID(A22,2,10))&lt;100,"A0"&amp;VALUE(MID(A22,2,10)),IF(VALUE(MID(A22,2,10))&lt;1000,"A"&amp;VALUE(MID(A22,2,10))))),IF(LEFT(A22,1)="B",IF(VALUE(MID(A22,2,10))&lt;10,"B00"&amp;VALUE(MID(A22,2,10)),IF(VALUE(MID(A22,2,10))&lt;100,"B0"&amp;VALUE(MID(A22,2,10)),IF(VALUE(MID(A22,2,10))&lt;1000,"B"&amp;VALUE(MID(A22,2,10))))),A22)),"_",IF(NOT(OR(C22=1000,C22&gt;1000)),MID(TEXT((C22+1000)*1000,0),2,6),"keine Meter in Spalte km!!!"),IF(VALUE(I22)=1,CONCATENATE("_",VLOOKUP(IF(V22&gt;0,V22,J22),[1]Grundlage!$A$20:$B$181,2,0)),CONCATENATE("_",B22))))</f>
        <v>SSt_A007_927600_N</v>
      </c>
      <c r="F22" s="2" t="s">
        <v>307</v>
      </c>
      <c r="G22" s="167">
        <f t="shared" si="11"/>
        <v>2768</v>
      </c>
      <c r="H22">
        <f t="shared" si="12"/>
        <v>37</v>
      </c>
      <c r="I22" s="2">
        <f t="shared" si="5"/>
        <v>254</v>
      </c>
      <c r="J22" s="2">
        <f t="shared" si="6"/>
        <v>0</v>
      </c>
      <c r="K22" s="13">
        <v>204</v>
      </c>
      <c r="L22" s="2">
        <f t="shared" si="7"/>
        <v>9</v>
      </c>
      <c r="M22" s="2" t="str">
        <f t="shared" si="8"/>
        <v/>
      </c>
      <c r="N22" s="2" t="str">
        <f t="shared" si="9"/>
        <v/>
      </c>
      <c r="P22" s="168" t="str">
        <f t="shared" si="10"/>
        <v/>
      </c>
      <c r="AI22" s="93">
        <v>927.6</v>
      </c>
      <c r="AJ22" s="92" t="s">
        <v>19</v>
      </c>
      <c r="AK22" s="92" t="s">
        <v>31</v>
      </c>
      <c r="AL22" s="92"/>
      <c r="AM22" s="92"/>
      <c r="AN22" s="92"/>
      <c r="AO22" s="92"/>
      <c r="AP22" s="96">
        <v>708645</v>
      </c>
      <c r="AQ22" s="94" t="s">
        <v>95</v>
      </c>
      <c r="AR22" s="94" t="s">
        <v>312</v>
      </c>
      <c r="AS22" s="94">
        <v>25</v>
      </c>
      <c r="AT22" s="92"/>
      <c r="AU22" s="92"/>
      <c r="AV22" s="92"/>
      <c r="AW22" s="92"/>
      <c r="AX22" s="92">
        <v>9</v>
      </c>
      <c r="AY22" s="92"/>
      <c r="AZ22" s="92"/>
      <c r="BA22" s="92"/>
      <c r="BB22" s="95" t="s">
        <v>307</v>
      </c>
      <c r="BC22" s="103"/>
      <c r="BD22" s="99" t="s">
        <v>163</v>
      </c>
      <c r="BE22" s="97" t="s">
        <v>18</v>
      </c>
      <c r="BF22" s="2" t="s">
        <v>448</v>
      </c>
      <c r="BG22" s="13"/>
    </row>
    <row r="23" spans="1:59" ht="14.25" x14ac:dyDescent="0.2">
      <c r="A23" t="str">
        <f t="shared" si="0"/>
        <v>A7</v>
      </c>
      <c r="B23" s="2" t="s">
        <v>656</v>
      </c>
      <c r="C23">
        <f t="shared" si="1"/>
        <v>927.6</v>
      </c>
      <c r="D23" t="str">
        <f t="shared" si="2"/>
        <v>UFD</v>
      </c>
      <c r="E23" s="169" t="str">
        <f>IF(OR(A23="",B23="",C23=""),"eine der Spalten BAB, FR, km leer?",CONCATENATE(VLOOKUP(VALUE(I23),[1]Grundlage!$A$1:$B$14,2,0),IF(LEFT(A23,1)="A",IF(VALUE(MID(A23,2,10))&lt;10,"A00"&amp;VALUE(MID(A23,2,10)),IF(VALUE(MID(A23,2,10))&lt;100,"A0"&amp;VALUE(MID(A23,2,10)),IF(VALUE(MID(A23,2,10))&lt;1000,"A"&amp;VALUE(MID(A23,2,10))))),IF(LEFT(A23,1)="B",IF(VALUE(MID(A23,2,10))&lt;10,"B00"&amp;VALUE(MID(A23,2,10)),IF(VALUE(MID(A23,2,10))&lt;100,"B0"&amp;VALUE(MID(A23,2,10)),IF(VALUE(MID(A23,2,10))&lt;1000,"B"&amp;VALUE(MID(A23,2,10))))),A23)),"_",IF(NOT(OR(C23=1000,C23&gt;1000)),MID(TEXT((C23+1000)*1000,0),2,6),"keine Meter in Spalte km!!!"),IF(VALUE(I23)=1,CONCATENATE("_",VLOOKUP(IF(V23&gt;0,V23,J23),[1]Grundlage!$A$20:$B$181,2,0)),CONCATENATE("_",B23))))</f>
        <v>UQ_A007_927600_N</v>
      </c>
      <c r="F23" s="2" t="s">
        <v>269</v>
      </c>
      <c r="G23" s="167">
        <f t="shared" si="11"/>
        <v>2768</v>
      </c>
      <c r="H23">
        <f t="shared" si="12"/>
        <v>37</v>
      </c>
      <c r="I23" s="2">
        <f t="shared" si="5"/>
        <v>3</v>
      </c>
      <c r="J23" s="2">
        <f t="shared" si="6"/>
        <v>6</v>
      </c>
      <c r="K23" s="13">
        <v>204</v>
      </c>
      <c r="L23" s="2">
        <f t="shared" si="7"/>
        <v>9</v>
      </c>
      <c r="M23" s="2">
        <f t="shared" si="8"/>
        <v>1</v>
      </c>
      <c r="N23" s="2">
        <f t="shared" si="9"/>
        <v>1</v>
      </c>
      <c r="P23" s="168">
        <f t="shared" si="10"/>
        <v>71</v>
      </c>
      <c r="AP23" s="40"/>
      <c r="AQ23" s="40">
        <f>HEX2DEC(AQ22)</f>
        <v>10</v>
      </c>
      <c r="AR23" s="40">
        <f>HEX2DEC(AR22)</f>
        <v>208</v>
      </c>
      <c r="AS23" s="40">
        <f>HEX2DEC(AS22)</f>
        <v>37</v>
      </c>
      <c r="AT23" s="19">
        <v>3</v>
      </c>
      <c r="AU23" s="14">
        <v>6</v>
      </c>
      <c r="AV23" s="27">
        <v>6</v>
      </c>
      <c r="AW23" s="19"/>
      <c r="AX23" s="19"/>
      <c r="AY23" s="19">
        <v>1</v>
      </c>
      <c r="AZ23" s="14">
        <v>1</v>
      </c>
      <c r="BA23" s="27">
        <v>1</v>
      </c>
      <c r="BB23" s="13" t="s">
        <v>269</v>
      </c>
      <c r="BF23" s="2" t="s">
        <v>440</v>
      </c>
      <c r="BG23" s="13"/>
    </row>
    <row r="24" spans="1:59" ht="14.25" x14ac:dyDescent="0.2">
      <c r="A24" t="str">
        <f t="shared" si="0"/>
        <v>A7</v>
      </c>
      <c r="B24" s="2" t="s">
        <v>656</v>
      </c>
      <c r="C24">
        <f t="shared" si="1"/>
        <v>927.6</v>
      </c>
      <c r="D24" t="str">
        <f t="shared" si="2"/>
        <v>UFD</v>
      </c>
      <c r="E24" s="169" t="str">
        <f>IF(OR(A24="",B24="",C24=""),"eine der Spalten BAB, FR, km leer?",CONCATENATE(VLOOKUP(VALUE(I24),[1]Grundlage!$A$1:$B$14,2,0),IF(LEFT(A24,1)="A",IF(VALUE(MID(A24,2,10))&lt;10,"A00"&amp;VALUE(MID(A24,2,10)),IF(VALUE(MID(A24,2,10))&lt;100,"A0"&amp;VALUE(MID(A24,2,10)),IF(VALUE(MID(A24,2,10))&lt;1000,"A"&amp;VALUE(MID(A24,2,10))))),IF(LEFT(A24,1)="B",IF(VALUE(MID(A24,2,10))&lt;10,"B00"&amp;VALUE(MID(A24,2,10)),IF(VALUE(MID(A24,2,10))&lt;100,"B0"&amp;VALUE(MID(A24,2,10)),IF(VALUE(MID(A24,2,10))&lt;1000,"B"&amp;VALUE(MID(A24,2,10))))),A24)),"_",IF(NOT(OR(C24=1000,C24&gt;1000)),MID(TEXT((C24+1000)*1000,0),2,6),"keine Meter in Spalte km!!!"),IF(VALUE(I24)=1,CONCATENATE("_",VLOOKUP(IF(V24&gt;0,V24,J24),[1]Grundlage!$A$20:$B$181,2,0)),CONCATENATE("_",B24))))</f>
        <v>UQ_A007_927600_N</v>
      </c>
      <c r="F24" s="2" t="s">
        <v>270</v>
      </c>
      <c r="G24" s="167">
        <f t="shared" si="11"/>
        <v>2768</v>
      </c>
      <c r="H24">
        <f t="shared" si="12"/>
        <v>37</v>
      </c>
      <c r="I24" s="2">
        <f t="shared" si="5"/>
        <v>3</v>
      </c>
      <c r="J24" s="2">
        <f t="shared" si="6"/>
        <v>11</v>
      </c>
      <c r="K24" s="13">
        <v>204</v>
      </c>
      <c r="L24" s="2">
        <f t="shared" si="7"/>
        <v>9</v>
      </c>
      <c r="M24" s="2">
        <f t="shared" si="8"/>
        <v>1</v>
      </c>
      <c r="N24" s="2">
        <f t="shared" si="9"/>
        <v>2</v>
      </c>
      <c r="P24" s="168">
        <f t="shared" si="10"/>
        <v>70</v>
      </c>
      <c r="AR24" s="13"/>
      <c r="AS24" s="13"/>
      <c r="AT24" s="19">
        <v>3</v>
      </c>
      <c r="AU24" s="14">
        <v>11</v>
      </c>
      <c r="AV24" s="14" t="s">
        <v>78</v>
      </c>
      <c r="AW24" s="13"/>
      <c r="AX24" s="13"/>
      <c r="AY24" s="19">
        <v>1</v>
      </c>
      <c r="AZ24" s="14">
        <v>2</v>
      </c>
      <c r="BA24" s="14">
        <v>2</v>
      </c>
      <c r="BB24" s="13" t="s">
        <v>270</v>
      </c>
      <c r="BF24" s="2" t="s">
        <v>503</v>
      </c>
      <c r="BG24" s="13"/>
    </row>
    <row r="25" spans="1:59" ht="14.25" x14ac:dyDescent="0.2">
      <c r="A25" t="str">
        <f t="shared" si="0"/>
        <v>A7</v>
      </c>
      <c r="B25" s="2" t="s">
        <v>656</v>
      </c>
      <c r="C25">
        <f t="shared" si="1"/>
        <v>927.6</v>
      </c>
      <c r="D25" t="str">
        <f t="shared" si="2"/>
        <v>UFD</v>
      </c>
      <c r="E25" s="169" t="str">
        <f>IF(OR(A25="",B25="",C25=""),"eine der Spalten BAB, FR, km leer?",CONCATENATE(VLOOKUP(VALUE(I25),[1]Grundlage!$A$1:$B$14,2,0),IF(LEFT(A25,1)="A",IF(VALUE(MID(A25,2,10))&lt;10,"A00"&amp;VALUE(MID(A25,2,10)),IF(VALUE(MID(A25,2,10))&lt;100,"A0"&amp;VALUE(MID(A25,2,10)),IF(VALUE(MID(A25,2,10))&lt;1000,"A"&amp;VALUE(MID(A25,2,10))))),IF(LEFT(A25,1)="B",IF(VALUE(MID(A25,2,10))&lt;10,"B00"&amp;VALUE(MID(A25,2,10)),IF(VALUE(MID(A25,2,10))&lt;100,"B0"&amp;VALUE(MID(A25,2,10)),IF(VALUE(MID(A25,2,10))&lt;1000,"B"&amp;VALUE(MID(A25,2,10))))),A25)),"_",IF(NOT(OR(C25=1000,C25&gt;1000)),MID(TEXT((C25+1000)*1000,0),2,6),"keine Meter in Spalte km!!!"),IF(VALUE(I25)=1,CONCATENATE("_",VLOOKUP(IF(V25&gt;0,V25,J25),[1]Grundlage!$A$20:$B$181,2,0)),CONCATENATE("_",B25))))</f>
        <v>UQ_A007_927600_N</v>
      </c>
      <c r="F25" s="2" t="s">
        <v>25</v>
      </c>
      <c r="G25" s="167">
        <f t="shared" si="11"/>
        <v>2768</v>
      </c>
      <c r="H25">
        <f t="shared" si="12"/>
        <v>37</v>
      </c>
      <c r="I25" s="2">
        <f t="shared" si="5"/>
        <v>3</v>
      </c>
      <c r="J25" s="2">
        <f t="shared" si="6"/>
        <v>12</v>
      </c>
      <c r="K25" s="13">
        <v>204</v>
      </c>
      <c r="L25" s="2">
        <f t="shared" si="7"/>
        <v>9</v>
      </c>
      <c r="M25" s="2">
        <f t="shared" si="8"/>
        <v>1</v>
      </c>
      <c r="N25" s="2">
        <f t="shared" si="9"/>
        <v>3</v>
      </c>
      <c r="P25" s="168">
        <f t="shared" si="10"/>
        <v>48</v>
      </c>
      <c r="AR25" s="13"/>
      <c r="AS25" s="13"/>
      <c r="AT25" s="19">
        <v>3</v>
      </c>
      <c r="AU25" s="14">
        <v>12</v>
      </c>
      <c r="AV25" s="14" t="s">
        <v>79</v>
      </c>
      <c r="AW25" s="13"/>
      <c r="AX25" s="13"/>
      <c r="AY25" s="19">
        <v>1</v>
      </c>
      <c r="AZ25" s="14">
        <v>3</v>
      </c>
      <c r="BA25" s="14">
        <v>3</v>
      </c>
      <c r="BB25" s="13" t="s">
        <v>25</v>
      </c>
      <c r="BF25" s="13" t="s">
        <v>441</v>
      </c>
      <c r="BG25" s="13"/>
    </row>
    <row r="26" spans="1:59" ht="14.25" x14ac:dyDescent="0.2">
      <c r="A26" t="str">
        <f t="shared" si="0"/>
        <v>A7</v>
      </c>
      <c r="B26" s="2" t="s">
        <v>656</v>
      </c>
      <c r="C26">
        <f t="shared" si="1"/>
        <v>927.6</v>
      </c>
      <c r="D26" t="str">
        <f t="shared" si="2"/>
        <v>UFD</v>
      </c>
      <c r="E26" s="169" t="str">
        <f>IF(OR(A26="",B26="",C26=""),"eine der Spalten BAB, FR, km leer?",CONCATENATE(VLOOKUP(VALUE(I26),[1]Grundlage!$A$1:$B$14,2,0),IF(LEFT(A26,1)="A",IF(VALUE(MID(A26,2,10))&lt;10,"A00"&amp;VALUE(MID(A26,2,10)),IF(VALUE(MID(A26,2,10))&lt;100,"A0"&amp;VALUE(MID(A26,2,10)),IF(VALUE(MID(A26,2,10))&lt;1000,"A"&amp;VALUE(MID(A26,2,10))))),IF(LEFT(A26,1)="B",IF(VALUE(MID(A26,2,10))&lt;10,"B00"&amp;VALUE(MID(A26,2,10)),IF(VALUE(MID(A26,2,10))&lt;100,"B0"&amp;VALUE(MID(A26,2,10)),IF(VALUE(MID(A26,2,10))&lt;1000,"B"&amp;VALUE(MID(A26,2,10))))),A26)),"_",IF(NOT(OR(C26=1000,C26&gt;1000)),MID(TEXT((C26+1000)*1000,0),2,6),"keine Meter in Spalte km!!!"),IF(VALUE(I26)=1,CONCATENATE("_",VLOOKUP(IF(V26&gt;0,V26,J26),[1]Grundlage!$A$20:$B$181,2,0)),CONCATENATE("_",B26))))</f>
        <v>UQ_A007_927600_N</v>
      </c>
      <c r="F26" s="2" t="s">
        <v>26</v>
      </c>
      <c r="G26" s="167">
        <f t="shared" si="11"/>
        <v>2768</v>
      </c>
      <c r="H26">
        <f t="shared" si="12"/>
        <v>37</v>
      </c>
      <c r="I26" s="2">
        <f t="shared" si="5"/>
        <v>3</v>
      </c>
      <c r="J26" s="2">
        <f t="shared" si="6"/>
        <v>13</v>
      </c>
      <c r="K26" s="13">
        <v>204</v>
      </c>
      <c r="L26" s="2">
        <f t="shared" si="7"/>
        <v>9</v>
      </c>
      <c r="M26" s="2">
        <f t="shared" si="8"/>
        <v>1</v>
      </c>
      <c r="N26" s="2">
        <f t="shared" si="9"/>
        <v>4</v>
      </c>
      <c r="P26" s="168">
        <f t="shared" si="10"/>
        <v>55</v>
      </c>
      <c r="AR26" s="13"/>
      <c r="AS26" s="13"/>
      <c r="AT26" s="19">
        <v>3</v>
      </c>
      <c r="AU26" s="14">
        <v>13</v>
      </c>
      <c r="AV26" s="14" t="s">
        <v>80</v>
      </c>
      <c r="AW26" s="13"/>
      <c r="AX26" s="13"/>
      <c r="AY26" s="19">
        <v>1</v>
      </c>
      <c r="AZ26" s="14">
        <v>4</v>
      </c>
      <c r="BA26" s="14">
        <v>4</v>
      </c>
      <c r="BB26" s="13" t="s">
        <v>26</v>
      </c>
      <c r="BF26" s="13" t="s">
        <v>442</v>
      </c>
      <c r="BG26" s="13"/>
    </row>
    <row r="27" spans="1:59" ht="14.25" x14ac:dyDescent="0.2">
      <c r="A27" t="str">
        <f t="shared" si="0"/>
        <v>A7</v>
      </c>
      <c r="B27" s="2" t="s">
        <v>656</v>
      </c>
      <c r="C27">
        <f t="shared" si="1"/>
        <v>927.6</v>
      </c>
      <c r="D27" t="str">
        <f t="shared" si="2"/>
        <v>UFD</v>
      </c>
      <c r="E27" s="169" t="str">
        <f>IF(OR(A27="",B27="",C27=""),"eine der Spalten BAB, FR, km leer?",CONCATENATE(VLOOKUP(VALUE(I27),[1]Grundlage!$A$1:$B$14,2,0),IF(LEFT(A27,1)="A",IF(VALUE(MID(A27,2,10))&lt;10,"A00"&amp;VALUE(MID(A27,2,10)),IF(VALUE(MID(A27,2,10))&lt;100,"A0"&amp;VALUE(MID(A27,2,10)),IF(VALUE(MID(A27,2,10))&lt;1000,"A"&amp;VALUE(MID(A27,2,10))))),IF(LEFT(A27,1)="B",IF(VALUE(MID(A27,2,10))&lt;10,"B00"&amp;VALUE(MID(A27,2,10)),IF(VALUE(MID(A27,2,10))&lt;100,"B0"&amp;VALUE(MID(A27,2,10)),IF(VALUE(MID(A27,2,10))&lt;1000,"B"&amp;VALUE(MID(A27,2,10))))),A27)),"_",IF(NOT(OR(C27=1000,C27&gt;1000)),MID(TEXT((C27+1000)*1000,0),2,6),"keine Meter in Spalte km!!!"),IF(VALUE(I27)=1,CONCATENATE("_",VLOOKUP(IF(V27&gt;0,V27,J27),[1]Grundlage!$A$20:$B$181,2,0)),CONCATENATE("_",B27))))</f>
        <v>UQ_A007_927600_N</v>
      </c>
      <c r="F27" s="2" t="s">
        <v>27</v>
      </c>
      <c r="G27" s="167">
        <f t="shared" si="11"/>
        <v>2768</v>
      </c>
      <c r="H27">
        <f t="shared" si="12"/>
        <v>37</v>
      </c>
      <c r="I27" s="2">
        <f t="shared" si="5"/>
        <v>3</v>
      </c>
      <c r="J27" s="2">
        <f t="shared" si="6"/>
        <v>14</v>
      </c>
      <c r="K27" s="13">
        <v>204</v>
      </c>
      <c r="L27" s="2">
        <f t="shared" si="7"/>
        <v>9</v>
      </c>
      <c r="M27" s="2">
        <f t="shared" si="8"/>
        <v>1</v>
      </c>
      <c r="N27" s="2">
        <f t="shared" si="9"/>
        <v>5</v>
      </c>
      <c r="P27" s="168">
        <f t="shared" si="10"/>
        <v>66</v>
      </c>
      <c r="AR27" s="13"/>
      <c r="AS27" s="13"/>
      <c r="AT27" s="19">
        <v>3</v>
      </c>
      <c r="AU27" s="14">
        <v>14</v>
      </c>
      <c r="AV27" s="14" t="s">
        <v>81</v>
      </c>
      <c r="AW27" s="13"/>
      <c r="AX27" s="13"/>
      <c r="AY27" s="19">
        <v>1</v>
      </c>
      <c r="AZ27" s="14">
        <v>5</v>
      </c>
      <c r="BA27" s="14">
        <v>5</v>
      </c>
      <c r="BB27" s="13" t="s">
        <v>27</v>
      </c>
      <c r="BF27" s="13" t="s">
        <v>443</v>
      </c>
    </row>
    <row r="28" spans="1:59" ht="12" customHeight="1" x14ac:dyDescent="0.2">
      <c r="A28" t="str">
        <f t="shared" si="0"/>
        <v>A7</v>
      </c>
      <c r="B28" s="2" t="s">
        <v>656</v>
      </c>
      <c r="C28">
        <f t="shared" si="1"/>
        <v>927.6</v>
      </c>
      <c r="D28" t="str">
        <f t="shared" si="2"/>
        <v>UFD</v>
      </c>
      <c r="E28" s="169" t="str">
        <f>IF(OR(A28="",B28="",C28=""),"eine der Spalten BAB, FR, km leer?",CONCATENATE(VLOOKUP(VALUE(I28),[1]Grundlage!$A$1:$B$14,2,0),IF(LEFT(A28,1)="A",IF(VALUE(MID(A28,2,10))&lt;10,"A00"&amp;VALUE(MID(A28,2,10)),IF(VALUE(MID(A28,2,10))&lt;100,"A0"&amp;VALUE(MID(A28,2,10)),IF(VALUE(MID(A28,2,10))&lt;1000,"A"&amp;VALUE(MID(A28,2,10))))),IF(LEFT(A28,1)="B",IF(VALUE(MID(A28,2,10))&lt;10,"B00"&amp;VALUE(MID(A28,2,10)),IF(VALUE(MID(A28,2,10))&lt;100,"B0"&amp;VALUE(MID(A28,2,10)),IF(VALUE(MID(A28,2,10))&lt;1000,"B"&amp;VALUE(MID(A28,2,10))))),A28)),"_",IF(NOT(OR(C28=1000,C28&gt;1000)),MID(TEXT((C28+1000)*1000,0),2,6),"keine Meter in Spalte km!!!"),IF(VALUE(I28)=1,CONCATENATE("_",VLOOKUP(IF(V28&gt;0,V28,J28),[1]Grundlage!$A$20:$B$181,2,0)),CONCATENATE("_",B28))))</f>
        <v>UQ_A007_927600_N</v>
      </c>
      <c r="F28" s="2" t="s">
        <v>28</v>
      </c>
      <c r="G28" s="167">
        <f t="shared" si="11"/>
        <v>2768</v>
      </c>
      <c r="H28">
        <f t="shared" si="12"/>
        <v>37</v>
      </c>
      <c r="I28" s="2">
        <f t="shared" si="5"/>
        <v>3</v>
      </c>
      <c r="J28" s="2">
        <f t="shared" si="6"/>
        <v>15</v>
      </c>
      <c r="K28" s="13">
        <v>204</v>
      </c>
      <c r="L28" s="2">
        <f t="shared" si="7"/>
        <v>9</v>
      </c>
      <c r="M28" s="2">
        <f t="shared" si="8"/>
        <v>1</v>
      </c>
      <c r="N28" s="2">
        <f t="shared" si="9"/>
        <v>6</v>
      </c>
      <c r="P28" s="168">
        <f t="shared" si="10"/>
        <v>65</v>
      </c>
      <c r="AR28" s="13"/>
      <c r="AS28" s="13"/>
      <c r="AT28" s="19">
        <v>3</v>
      </c>
      <c r="AU28" s="14">
        <v>15</v>
      </c>
      <c r="AV28" s="14" t="s">
        <v>82</v>
      </c>
      <c r="AW28" s="13"/>
      <c r="AX28" s="13"/>
      <c r="AY28" s="19">
        <v>1</v>
      </c>
      <c r="AZ28" s="14">
        <v>6</v>
      </c>
      <c r="BA28" s="14">
        <v>6</v>
      </c>
      <c r="BB28" s="13" t="s">
        <v>28</v>
      </c>
      <c r="BF28" s="13" t="s">
        <v>504</v>
      </c>
    </row>
    <row r="29" spans="1:59" ht="14.25" x14ac:dyDescent="0.2">
      <c r="A29" t="str">
        <f t="shared" si="0"/>
        <v>A7</v>
      </c>
      <c r="B29" s="2" t="s">
        <v>656</v>
      </c>
      <c r="C29">
        <f t="shared" si="1"/>
        <v>927.6</v>
      </c>
      <c r="D29" t="str">
        <f t="shared" si="2"/>
        <v>UFD</v>
      </c>
      <c r="E29" s="169" t="str">
        <f>IF(OR(A29="",B29="",C29=""),"eine der Spalten BAB, FR, km leer?",CONCATENATE(VLOOKUP(VALUE(I29),[1]Grundlage!$A$1:$B$14,2,0),IF(LEFT(A29,1)="A",IF(VALUE(MID(A29,2,10))&lt;10,"A00"&amp;VALUE(MID(A29,2,10)),IF(VALUE(MID(A29,2,10))&lt;100,"A0"&amp;VALUE(MID(A29,2,10)),IF(VALUE(MID(A29,2,10))&lt;1000,"A"&amp;VALUE(MID(A29,2,10))))),IF(LEFT(A29,1)="B",IF(VALUE(MID(A29,2,10))&lt;10,"B00"&amp;VALUE(MID(A29,2,10)),IF(VALUE(MID(A29,2,10))&lt;100,"B0"&amp;VALUE(MID(A29,2,10)),IF(VALUE(MID(A29,2,10))&lt;1000,"B"&amp;VALUE(MID(A29,2,10))))),A29)),"_",IF(NOT(OR(C29=1000,C29&gt;1000)),MID(TEXT((C29+1000)*1000,0),2,6),"keine Meter in Spalte km!!!"),IF(VALUE(I29)=1,CONCATENATE("_",VLOOKUP(IF(V29&gt;0,V29,J29),[1]Grundlage!$A$20:$B$181,2,0)),CONCATENATE("_",B29))))</f>
        <v>UQ_A007_927600_N</v>
      </c>
      <c r="F29" s="2" t="s">
        <v>29</v>
      </c>
      <c r="G29" s="167">
        <f t="shared" si="11"/>
        <v>2768</v>
      </c>
      <c r="H29">
        <f t="shared" si="12"/>
        <v>37</v>
      </c>
      <c r="I29" s="2">
        <f t="shared" si="5"/>
        <v>3</v>
      </c>
      <c r="J29" s="2">
        <f t="shared" si="6"/>
        <v>19</v>
      </c>
      <c r="K29" s="13">
        <v>204</v>
      </c>
      <c r="L29" s="2">
        <f t="shared" si="7"/>
        <v>9</v>
      </c>
      <c r="M29" s="2">
        <f t="shared" si="8"/>
        <v>1</v>
      </c>
      <c r="N29" s="2">
        <f t="shared" si="9"/>
        <v>7</v>
      </c>
      <c r="P29" s="168">
        <f t="shared" si="10"/>
        <v>49</v>
      </c>
      <c r="AR29" s="13"/>
      <c r="AS29" s="13"/>
      <c r="AT29" s="19">
        <v>3</v>
      </c>
      <c r="AU29" s="14">
        <v>19</v>
      </c>
      <c r="AV29" s="14">
        <v>13</v>
      </c>
      <c r="AW29" s="13"/>
      <c r="AX29" s="13"/>
      <c r="AY29" s="19">
        <v>1</v>
      </c>
      <c r="AZ29" s="14">
        <v>7</v>
      </c>
      <c r="BA29" s="14">
        <v>7</v>
      </c>
      <c r="BB29" s="13" t="s">
        <v>29</v>
      </c>
      <c r="BF29" s="13" t="s">
        <v>505</v>
      </c>
    </row>
    <row r="30" spans="1:59" ht="14.25" x14ac:dyDescent="0.2">
      <c r="A30" t="str">
        <f t="shared" si="0"/>
        <v>A7</v>
      </c>
      <c r="B30" s="2" t="s">
        <v>656</v>
      </c>
      <c r="C30">
        <f t="shared" si="1"/>
        <v>927.6</v>
      </c>
      <c r="D30" t="str">
        <f t="shared" si="2"/>
        <v>UFD</v>
      </c>
      <c r="E30" s="169" t="str">
        <f>IF(OR(A30="",B30="",C30=""),"eine der Spalten BAB, FR, km leer?",CONCATENATE(VLOOKUP(VALUE(I30),[1]Grundlage!$A$1:$B$14,2,0),IF(LEFT(A30,1)="A",IF(VALUE(MID(A30,2,10))&lt;10,"A00"&amp;VALUE(MID(A30,2,10)),IF(VALUE(MID(A30,2,10))&lt;100,"A0"&amp;VALUE(MID(A30,2,10)),IF(VALUE(MID(A30,2,10))&lt;1000,"A"&amp;VALUE(MID(A30,2,10))))),IF(LEFT(A30,1)="B",IF(VALUE(MID(A30,2,10))&lt;10,"B00"&amp;VALUE(MID(A30,2,10)),IF(VALUE(MID(A30,2,10))&lt;100,"B0"&amp;VALUE(MID(A30,2,10)),IF(VALUE(MID(A30,2,10))&lt;1000,"B"&amp;VALUE(MID(A30,2,10))))),A30)),"_",IF(NOT(OR(C30=1000,C30&gt;1000)),MID(TEXT((C30+1000)*1000,0),2,6),"keine Meter in Spalte km!!!"),IF(VALUE(I30)=1,CONCATENATE("_",VLOOKUP(IF(V30&gt;0,V30,J30),[1]Grundlage!$A$20:$B$181,2,0)),CONCATENATE("_",B30))))</f>
        <v>UQ_A007_927600_N</v>
      </c>
      <c r="F30" s="2" t="s">
        <v>30</v>
      </c>
      <c r="G30" s="167">
        <f t="shared" si="11"/>
        <v>2768</v>
      </c>
      <c r="H30">
        <f t="shared" si="12"/>
        <v>37</v>
      </c>
      <c r="I30" s="2">
        <f t="shared" si="5"/>
        <v>3</v>
      </c>
      <c r="J30" s="2">
        <f t="shared" si="6"/>
        <v>21</v>
      </c>
      <c r="K30" s="13">
        <v>204</v>
      </c>
      <c r="L30" s="2">
        <f t="shared" si="7"/>
        <v>9</v>
      </c>
      <c r="M30" s="2">
        <f t="shared" si="8"/>
        <v>1</v>
      </c>
      <c r="N30" s="2">
        <f t="shared" si="9"/>
        <v>8</v>
      </c>
      <c r="P30" s="168">
        <f t="shared" si="10"/>
        <v>67</v>
      </c>
      <c r="AR30" s="13"/>
      <c r="AS30" s="13"/>
      <c r="AT30" s="19">
        <v>3</v>
      </c>
      <c r="AU30" s="14">
        <v>21</v>
      </c>
      <c r="AV30" s="14">
        <v>15</v>
      </c>
      <c r="AW30" s="13"/>
      <c r="AX30" s="13"/>
      <c r="AY30" s="19">
        <v>1</v>
      </c>
      <c r="AZ30" s="14">
        <v>8</v>
      </c>
      <c r="BA30" s="14">
        <v>8</v>
      </c>
      <c r="BB30" s="13" t="s">
        <v>30</v>
      </c>
      <c r="BF30" s="13" t="s">
        <v>506</v>
      </c>
    </row>
    <row r="31" spans="1:59" ht="14.25" x14ac:dyDescent="0.2">
      <c r="A31" t="str">
        <f t="shared" si="0"/>
        <v>A7</v>
      </c>
      <c r="B31" s="2" t="s">
        <v>656</v>
      </c>
      <c r="C31">
        <f t="shared" si="1"/>
        <v>927.6</v>
      </c>
      <c r="D31" t="str">
        <f t="shared" si="2"/>
        <v>UFD</v>
      </c>
      <c r="E31" s="169" t="str">
        <f>IF(OR(A31="",B31="",C31=""),"eine der Spalten BAB, FR, km leer?",CONCATENATE(VLOOKUP(VALUE(I31),[1]Grundlage!$A$1:$B$14,2,0),IF(LEFT(A31,1)="A",IF(VALUE(MID(A31,2,10))&lt;10,"A00"&amp;VALUE(MID(A31,2,10)),IF(VALUE(MID(A31,2,10))&lt;100,"A0"&amp;VALUE(MID(A31,2,10)),IF(VALUE(MID(A31,2,10))&lt;1000,"A"&amp;VALUE(MID(A31,2,10))))),IF(LEFT(A31,1)="B",IF(VALUE(MID(A31,2,10))&lt;10,"B00"&amp;VALUE(MID(A31,2,10)),IF(VALUE(MID(A31,2,10))&lt;100,"B0"&amp;VALUE(MID(A31,2,10)),IF(VALUE(MID(A31,2,10))&lt;1000,"B"&amp;VALUE(MID(A31,2,10))))),A31)),"_",IF(NOT(OR(C31=1000,C31&gt;1000)),MID(TEXT((C31+1000)*1000,0),2,6),"keine Meter in Spalte km!!!"),IF(VALUE(I31)=1,CONCATENATE("_",VLOOKUP(IF(V31&gt;0,V31,J31),[1]Grundlage!$A$20:$B$181,2,0)),CONCATENATE("_",B31))))</f>
        <v>UQ_A007_927600_N</v>
      </c>
      <c r="F31" s="2" t="s">
        <v>41</v>
      </c>
      <c r="G31" s="167">
        <f t="shared" si="11"/>
        <v>2768</v>
      </c>
      <c r="H31">
        <f t="shared" si="12"/>
        <v>37</v>
      </c>
      <c r="I31" s="2">
        <f t="shared" si="5"/>
        <v>3</v>
      </c>
      <c r="J31" s="2">
        <f t="shared" si="6"/>
        <v>24</v>
      </c>
      <c r="K31" s="13">
        <v>204</v>
      </c>
      <c r="L31" s="2">
        <f t="shared" si="7"/>
        <v>9</v>
      </c>
      <c r="M31" s="2">
        <f t="shared" si="8"/>
        <v>1</v>
      </c>
      <c r="N31" s="2">
        <f t="shared" si="9"/>
        <v>9</v>
      </c>
      <c r="P31" s="168">
        <f t="shared" si="10"/>
        <v>69</v>
      </c>
      <c r="AR31" s="13"/>
      <c r="AS31" s="13"/>
      <c r="AT31" s="19">
        <v>3</v>
      </c>
      <c r="AU31" s="14">
        <v>24</v>
      </c>
      <c r="AV31" s="14">
        <v>18</v>
      </c>
      <c r="AW31" s="13"/>
      <c r="AX31" s="13"/>
      <c r="AY31" s="19">
        <v>1</v>
      </c>
      <c r="AZ31" s="14">
        <v>9</v>
      </c>
      <c r="BA31" s="14">
        <v>9</v>
      </c>
      <c r="BB31" s="13" t="s">
        <v>41</v>
      </c>
      <c r="BF31" s="13" t="s">
        <v>507</v>
      </c>
    </row>
    <row r="32" spans="1:59" ht="14.25" x14ac:dyDescent="0.2">
      <c r="A32" t="str">
        <f t="shared" si="0"/>
        <v>A7</v>
      </c>
      <c r="B32" s="2" t="s">
        <v>656</v>
      </c>
      <c r="C32">
        <f t="shared" si="1"/>
        <v>927.6</v>
      </c>
      <c r="D32" t="str">
        <f t="shared" si="2"/>
        <v>UFD</v>
      </c>
      <c r="E32" s="169" t="str">
        <f>IF(OR(A32="",B32="",C32=""),"eine der Spalten BAB, FR, km leer?",CONCATENATE(VLOOKUP(VALUE(I32),[1]Grundlage!$A$1:$B$14,2,0),IF(LEFT(A32,1)="A",IF(VALUE(MID(A32,2,10))&lt;10,"A00"&amp;VALUE(MID(A32,2,10)),IF(VALUE(MID(A32,2,10))&lt;100,"A0"&amp;VALUE(MID(A32,2,10)),IF(VALUE(MID(A32,2,10))&lt;1000,"A"&amp;VALUE(MID(A32,2,10))))),IF(LEFT(A32,1)="B",IF(VALUE(MID(A32,2,10))&lt;10,"B00"&amp;VALUE(MID(A32,2,10)),IF(VALUE(MID(A32,2,10))&lt;100,"B0"&amp;VALUE(MID(A32,2,10)),IF(VALUE(MID(A32,2,10))&lt;1000,"B"&amp;VALUE(MID(A32,2,10))))),A32)),"_",IF(NOT(OR(C32=1000,C32&gt;1000)),MID(TEXT((C32+1000)*1000,0),2,6),"keine Meter in Spalte km!!!"),IF(VALUE(I32)=1,CONCATENATE("_",VLOOKUP(IF(V32&gt;0,V32,J32),[1]Grundlage!$A$20:$B$181,2,0)),CONCATENATE("_",B32))))</f>
        <v>UQ_A007_927600_N</v>
      </c>
      <c r="F32" s="2" t="s">
        <v>271</v>
      </c>
      <c r="G32" s="167">
        <f t="shared" si="11"/>
        <v>2768</v>
      </c>
      <c r="H32">
        <f t="shared" si="12"/>
        <v>37</v>
      </c>
      <c r="I32" s="2">
        <f t="shared" si="5"/>
        <v>3</v>
      </c>
      <c r="J32" s="2">
        <f t="shared" si="6"/>
        <v>67</v>
      </c>
      <c r="K32" s="13">
        <v>204</v>
      </c>
      <c r="L32" s="2">
        <f t="shared" si="7"/>
        <v>9</v>
      </c>
      <c r="M32" s="2">
        <f t="shared" si="8"/>
        <v>1</v>
      </c>
      <c r="N32" s="2">
        <f t="shared" si="9"/>
        <v>10</v>
      </c>
      <c r="P32" s="168">
        <f t="shared" si="10"/>
        <v>53</v>
      </c>
      <c r="AR32" s="13"/>
      <c r="AS32" s="13"/>
      <c r="AT32" s="19">
        <v>3</v>
      </c>
      <c r="AU32" s="14">
        <v>67</v>
      </c>
      <c r="AV32" s="14">
        <v>43</v>
      </c>
      <c r="AW32" s="13"/>
      <c r="AX32" s="13"/>
      <c r="AY32" s="19">
        <v>1</v>
      </c>
      <c r="AZ32" s="14">
        <v>10</v>
      </c>
      <c r="BA32" s="14" t="s">
        <v>95</v>
      </c>
      <c r="BB32" s="13" t="s">
        <v>271</v>
      </c>
      <c r="BF32" s="13" t="s">
        <v>444</v>
      </c>
    </row>
    <row r="33" spans="1:58" ht="14.25" x14ac:dyDescent="0.2">
      <c r="A33" t="str">
        <f t="shared" si="0"/>
        <v>A7</v>
      </c>
      <c r="B33" s="2" t="s">
        <v>656</v>
      </c>
      <c r="C33">
        <f t="shared" si="1"/>
        <v>927.6</v>
      </c>
      <c r="D33" t="str">
        <f t="shared" si="2"/>
        <v>UFD</v>
      </c>
      <c r="E33" s="169" t="str">
        <f>IF(OR(A33="",B33="",C33=""),"eine der Spalten BAB, FR, km leer?",CONCATENATE(VLOOKUP(VALUE(I33),[1]Grundlage!$A$1:$B$14,2,0),IF(LEFT(A33,1)="A",IF(VALUE(MID(A33,2,10))&lt;10,"A00"&amp;VALUE(MID(A33,2,10)),IF(VALUE(MID(A33,2,10))&lt;100,"A0"&amp;VALUE(MID(A33,2,10)),IF(VALUE(MID(A33,2,10))&lt;1000,"A"&amp;VALUE(MID(A33,2,10))))),IF(LEFT(A33,1)="B",IF(VALUE(MID(A33,2,10))&lt;10,"B00"&amp;VALUE(MID(A33,2,10)),IF(VALUE(MID(A33,2,10))&lt;100,"B0"&amp;VALUE(MID(A33,2,10)),IF(VALUE(MID(A33,2,10))&lt;1000,"B"&amp;VALUE(MID(A33,2,10))))),A33)),"_",IF(NOT(OR(C33=1000,C33&gt;1000)),MID(TEXT((C33+1000)*1000,0),2,6),"keine Meter in Spalte km!!!"),IF(VALUE(I33)=1,CONCATENATE("_",VLOOKUP(IF(V33&gt;0,V33,J33),[1]Grundlage!$A$20:$B$181,2,0)),CONCATENATE("_",B33))))</f>
        <v>UQ_A007_927600_N</v>
      </c>
      <c r="F33" s="2" t="s">
        <v>272</v>
      </c>
      <c r="G33" s="167">
        <f t="shared" si="11"/>
        <v>2768</v>
      </c>
      <c r="H33">
        <f t="shared" si="12"/>
        <v>37</v>
      </c>
      <c r="I33" s="2">
        <f t="shared" si="5"/>
        <v>3</v>
      </c>
      <c r="J33" s="2">
        <f t="shared" si="6"/>
        <v>82</v>
      </c>
      <c r="K33" s="13">
        <v>204</v>
      </c>
      <c r="L33" s="2">
        <f t="shared" si="7"/>
        <v>9</v>
      </c>
      <c r="M33" s="2">
        <f t="shared" si="8"/>
        <v>1</v>
      </c>
      <c r="N33" s="2">
        <f t="shared" si="9"/>
        <v>11</v>
      </c>
      <c r="P33" s="168">
        <f t="shared" si="10"/>
        <v>72</v>
      </c>
      <c r="AR33" s="13"/>
      <c r="AS33" s="13"/>
      <c r="AT33" s="19">
        <v>3</v>
      </c>
      <c r="AU33" s="14">
        <v>82</v>
      </c>
      <c r="AV33" s="14">
        <v>52</v>
      </c>
      <c r="AW33" s="13"/>
      <c r="AX33" s="13"/>
      <c r="AY33" s="19">
        <v>1</v>
      </c>
      <c r="AZ33" s="14">
        <v>11</v>
      </c>
      <c r="BA33" s="14" t="s">
        <v>78</v>
      </c>
      <c r="BB33" s="13" t="s">
        <v>272</v>
      </c>
      <c r="BF33" s="13" t="s">
        <v>508</v>
      </c>
    </row>
    <row r="34" spans="1:58" ht="14.25" x14ac:dyDescent="0.2">
      <c r="A34" t="str">
        <f t="shared" si="0"/>
        <v>A7</v>
      </c>
      <c r="C34">
        <f t="shared" si="1"/>
        <v>927.6</v>
      </c>
      <c r="D34" t="str">
        <f t="shared" si="2"/>
        <v/>
      </c>
      <c r="E34" s="169" t="str">
        <f>IF(OR(A34="",B34="",C34=""),"",CONCATENATE(VLOOKUP(VALUE(I34),[1]Grundlage!$A$1:$B$14,2,0),IF(LEFT(A34,1)="A",IF(VALUE(MID(A34,2,10))&lt;10,"A00"&amp;VALUE(MID(A34,2,10)),IF(VALUE(MID(A34,2,10))&lt;100,"A0"&amp;VALUE(MID(A34,2,10)),IF(VALUE(MID(A34,2,10))&lt;1000,"A"&amp;VALUE(MID(A34,2,10))))),IF(LEFT(A34,1)="B",IF(VALUE(MID(A34,2,10))&lt;10,"B00"&amp;VALUE(MID(A34,2,10)),IF(VALUE(MID(A34,2,10))&lt;100,"B0"&amp;VALUE(MID(A34,2,10)),IF(VALUE(MID(A34,2,10))&lt;1000,"B"&amp;VALUE(MID(A34,2,10))))),A34)),"_",IF(NOT(OR(C34=1000,C34&gt;1000)),MID(TEXT((C34+1000)*1000,0),2,6),"keine Meter in Spalte km!!!"),IF(VALUE(I34)=1,CONCATENATE("_",VLOOKUP(IF(V34&gt;0,V34,J34),[1]Grundlage!$A$20:$B$181,2,0)),CONCATENATE("_",B34))))</f>
        <v/>
      </c>
      <c r="F34" s="2" t="s">
        <v>669</v>
      </c>
      <c r="G34" s="167">
        <f t="shared" si="11"/>
        <v>2768</v>
      </c>
      <c r="H34">
        <f t="shared" si="12"/>
        <v>37</v>
      </c>
      <c r="I34" s="2">
        <f t="shared" si="5"/>
        <v>0</v>
      </c>
      <c r="J34" s="2">
        <f t="shared" si="6"/>
        <v>0</v>
      </c>
      <c r="K34" s="13">
        <v>204</v>
      </c>
      <c r="L34" s="2">
        <f t="shared" si="7"/>
        <v>9</v>
      </c>
      <c r="M34" s="2" t="str">
        <f t="shared" si="8"/>
        <v/>
      </c>
      <c r="N34" s="2" t="str">
        <f t="shared" si="9"/>
        <v/>
      </c>
      <c r="P34" s="168" t="str">
        <f t="shared" si="10"/>
        <v/>
      </c>
      <c r="AR34" s="13"/>
      <c r="AS34" s="13"/>
      <c r="AT34" s="19"/>
      <c r="AU34" s="14"/>
      <c r="AV34" s="14"/>
      <c r="AW34" s="13"/>
      <c r="AX34" s="13"/>
      <c r="AY34" s="19"/>
      <c r="AZ34" s="14"/>
      <c r="BA34" s="14"/>
      <c r="BB34" s="13"/>
      <c r="BF34" s="13"/>
    </row>
    <row r="35" spans="1:58" ht="14.25" x14ac:dyDescent="0.2">
      <c r="A35" t="str">
        <f t="shared" si="0"/>
        <v>A7</v>
      </c>
      <c r="B35" s="2" t="s">
        <v>655</v>
      </c>
      <c r="C35">
        <f t="shared" si="1"/>
        <v>929.6</v>
      </c>
      <c r="D35" t="str">
        <f t="shared" si="2"/>
        <v>SS</v>
      </c>
      <c r="E35" s="169" t="str">
        <f>IF(OR(A35="",B35="",C35=""),"eine der Spalten BAB, FR, km leer?",CONCATENATE(VLOOKUP(VALUE(I35),[1]Grundlage!$A$1:$B$14,2,0),IF(LEFT(A35,1)="A",IF(VALUE(MID(A35,2,10))&lt;10,"A00"&amp;VALUE(MID(A35,2,10)),IF(VALUE(MID(A35,2,10))&lt;100,"A0"&amp;VALUE(MID(A35,2,10)),IF(VALUE(MID(A35,2,10))&lt;1000,"A"&amp;VALUE(MID(A35,2,10))))),IF(LEFT(A35,1)="B",IF(VALUE(MID(A35,2,10))&lt;10,"B00"&amp;VALUE(MID(A35,2,10)),IF(VALUE(MID(A35,2,10))&lt;100,"B0"&amp;VALUE(MID(A35,2,10)),IF(VALUE(MID(A35,2,10))&lt;1000,"B"&amp;VALUE(MID(A35,2,10))))),A35)),"_",IF(NOT(OR(C35=1000,C35&gt;1000)),MID(TEXT((C35+1000)*1000,0),2,6),"keine Meter in Spalte km!!!"),IF(VALUE(I35)=1,CONCATENATE("_",VLOOKUP(IF(V35&gt;0,V35,J35),[1]Grundlage!$A$20:$B$181,2,0)),CONCATENATE("_",B35))))</f>
        <v>SSt_A007_929600_S</v>
      </c>
      <c r="F35" s="2" t="s">
        <v>606</v>
      </c>
      <c r="G35" s="167">
        <f t="shared" si="11"/>
        <v>2808</v>
      </c>
      <c r="H35">
        <f t="shared" si="12"/>
        <v>92</v>
      </c>
      <c r="I35" s="2">
        <f t="shared" si="5"/>
        <v>254</v>
      </c>
      <c r="J35" s="2">
        <f t="shared" si="6"/>
        <v>0</v>
      </c>
      <c r="K35" s="13">
        <v>204</v>
      </c>
      <c r="L35" s="2">
        <f t="shared" si="7"/>
        <v>4</v>
      </c>
      <c r="M35" s="2" t="str">
        <f t="shared" si="8"/>
        <v/>
      </c>
      <c r="N35" s="2" t="str">
        <f t="shared" si="9"/>
        <v/>
      </c>
      <c r="P35" s="168" t="str">
        <f t="shared" si="10"/>
        <v/>
      </c>
      <c r="AI35" s="35">
        <v>929.6</v>
      </c>
      <c r="AJ35" s="36" t="s">
        <v>19</v>
      </c>
      <c r="AK35" s="92" t="s">
        <v>31</v>
      </c>
      <c r="AL35" s="97"/>
      <c r="AM35" s="97"/>
      <c r="AN35" s="97"/>
      <c r="AO35" s="97"/>
      <c r="AP35" s="94">
        <v>718940</v>
      </c>
      <c r="AQ35" s="94" t="s">
        <v>95</v>
      </c>
      <c r="AR35" s="94" t="s">
        <v>604</v>
      </c>
      <c r="AS35" s="94" t="s">
        <v>605</v>
      </c>
      <c r="AT35" s="92"/>
      <c r="AU35" s="92"/>
      <c r="AV35" s="92"/>
      <c r="AW35" s="92"/>
      <c r="AX35" s="92">
        <v>4</v>
      </c>
      <c r="AY35" s="92"/>
      <c r="AZ35" s="92"/>
      <c r="BA35" s="92"/>
      <c r="BB35" s="95" t="s">
        <v>606</v>
      </c>
      <c r="BC35" s="96"/>
      <c r="BD35" s="99" t="s">
        <v>163</v>
      </c>
      <c r="BE35" s="97" t="s">
        <v>35</v>
      </c>
      <c r="BF35" s="2" t="s">
        <v>447</v>
      </c>
    </row>
    <row r="36" spans="1:58" ht="14.25" x14ac:dyDescent="0.2">
      <c r="A36" t="str">
        <f t="shared" si="0"/>
        <v>A7</v>
      </c>
      <c r="B36" s="2" t="s">
        <v>655</v>
      </c>
      <c r="C36">
        <f t="shared" si="1"/>
        <v>929.6</v>
      </c>
      <c r="D36" t="str">
        <f t="shared" si="2"/>
        <v>UFD</v>
      </c>
      <c r="E36" s="169" t="str">
        <f>IF(OR(A36="",B36="",C36=""),"eine der Spalten BAB, FR, km leer?",CONCATENATE(VLOOKUP(VALUE(I36),[1]Grundlage!$A$1:$B$14,2,0),IF(LEFT(A36,1)="A",IF(VALUE(MID(A36,2,10))&lt;10,"A00"&amp;VALUE(MID(A36,2,10)),IF(VALUE(MID(A36,2,10))&lt;100,"A0"&amp;VALUE(MID(A36,2,10)),IF(VALUE(MID(A36,2,10))&lt;1000,"A"&amp;VALUE(MID(A36,2,10))))),IF(LEFT(A36,1)="B",IF(VALUE(MID(A36,2,10))&lt;10,"B00"&amp;VALUE(MID(A36,2,10)),IF(VALUE(MID(A36,2,10))&lt;100,"B0"&amp;VALUE(MID(A36,2,10)),IF(VALUE(MID(A36,2,10))&lt;1000,"B"&amp;VALUE(MID(A36,2,10))))),A36)),"_",IF(NOT(OR(C36=1000,C36&gt;1000)),MID(TEXT((C36+1000)*1000,0),2,6),"keine Meter in Spalte km!!!"),IF(VALUE(I36)=1,CONCATENATE("_",VLOOKUP(IF(V36&gt;0,V36,J36),[1]Grundlage!$A$20:$B$181,2,0)),CONCATENATE("_",B36))))</f>
        <v>UQ_A007_929600_S</v>
      </c>
      <c r="F36" s="2" t="s">
        <v>269</v>
      </c>
      <c r="G36" s="167">
        <f t="shared" si="11"/>
        <v>2808</v>
      </c>
      <c r="H36">
        <f t="shared" si="12"/>
        <v>92</v>
      </c>
      <c r="I36" s="2">
        <f t="shared" si="5"/>
        <v>3</v>
      </c>
      <c r="J36" s="2">
        <f t="shared" si="6"/>
        <v>6</v>
      </c>
      <c r="K36" s="13">
        <v>204</v>
      </c>
      <c r="L36" s="2">
        <f t="shared" si="7"/>
        <v>4</v>
      </c>
      <c r="M36" s="2">
        <f t="shared" si="8"/>
        <v>1</v>
      </c>
      <c r="N36" s="2">
        <f t="shared" si="9"/>
        <v>1</v>
      </c>
      <c r="P36" s="168">
        <f t="shared" si="10"/>
        <v>71</v>
      </c>
      <c r="AP36" s="40"/>
      <c r="AQ36" s="40"/>
      <c r="AR36" s="40"/>
      <c r="AS36" s="143"/>
      <c r="AT36" s="85">
        <v>3</v>
      </c>
      <c r="AU36" s="112">
        <v>6</v>
      </c>
      <c r="AV36" s="113">
        <v>6</v>
      </c>
      <c r="AW36" s="85"/>
      <c r="AX36" s="85"/>
      <c r="AY36" s="85">
        <v>1</v>
      </c>
      <c r="AZ36" s="112">
        <v>1</v>
      </c>
      <c r="BA36" s="113">
        <v>1</v>
      </c>
      <c r="BB36" s="84" t="s">
        <v>269</v>
      </c>
      <c r="BC36" s="140"/>
      <c r="BD36" s="140"/>
      <c r="BE36" s="84"/>
      <c r="BF36" s="84" t="s">
        <v>440</v>
      </c>
    </row>
    <row r="37" spans="1:58" ht="14.25" x14ac:dyDescent="0.2">
      <c r="A37" t="str">
        <f t="shared" si="0"/>
        <v>A7</v>
      </c>
      <c r="B37" s="2" t="s">
        <v>655</v>
      </c>
      <c r="C37">
        <f t="shared" si="1"/>
        <v>929.6</v>
      </c>
      <c r="D37" t="str">
        <f t="shared" si="2"/>
        <v>UFD</v>
      </c>
      <c r="E37" s="169" t="str">
        <f>IF(OR(A37="",B37="",C37=""),"eine der Spalten BAB, FR, km leer?",CONCATENATE(VLOOKUP(VALUE(I37),[1]Grundlage!$A$1:$B$14,2,0),IF(LEFT(A37,1)="A",IF(VALUE(MID(A37,2,10))&lt;10,"A00"&amp;VALUE(MID(A37,2,10)),IF(VALUE(MID(A37,2,10))&lt;100,"A0"&amp;VALUE(MID(A37,2,10)),IF(VALUE(MID(A37,2,10))&lt;1000,"A"&amp;VALUE(MID(A37,2,10))))),IF(LEFT(A37,1)="B",IF(VALUE(MID(A37,2,10))&lt;10,"B00"&amp;VALUE(MID(A37,2,10)),IF(VALUE(MID(A37,2,10))&lt;100,"B0"&amp;VALUE(MID(A37,2,10)),IF(VALUE(MID(A37,2,10))&lt;1000,"B"&amp;VALUE(MID(A37,2,10))))),A37)),"_",IF(NOT(OR(C37=1000,C37&gt;1000)),MID(TEXT((C37+1000)*1000,0),2,6),"keine Meter in Spalte km!!!"),IF(VALUE(I37)=1,CONCATENATE("_",VLOOKUP(IF(V37&gt;0,V37,J37),[1]Grundlage!$A$20:$B$181,2,0)),CONCATENATE("_",B37))))</f>
        <v>UQ_A007_929600_S</v>
      </c>
      <c r="F37" s="2" t="s">
        <v>270</v>
      </c>
      <c r="G37" s="167">
        <f t="shared" si="11"/>
        <v>2808</v>
      </c>
      <c r="H37">
        <f t="shared" si="12"/>
        <v>92</v>
      </c>
      <c r="I37" s="2">
        <f t="shared" si="5"/>
        <v>3</v>
      </c>
      <c r="J37" s="2">
        <f t="shared" si="6"/>
        <v>11</v>
      </c>
      <c r="K37" s="13">
        <v>204</v>
      </c>
      <c r="L37" s="2">
        <f t="shared" si="7"/>
        <v>4</v>
      </c>
      <c r="M37" s="2">
        <f t="shared" si="8"/>
        <v>1</v>
      </c>
      <c r="N37" s="2">
        <f t="shared" si="9"/>
        <v>2</v>
      </c>
      <c r="P37" s="168">
        <f t="shared" si="10"/>
        <v>70</v>
      </c>
      <c r="AS37" s="84"/>
      <c r="AT37" s="85">
        <v>3</v>
      </c>
      <c r="AU37" s="112">
        <v>11</v>
      </c>
      <c r="AV37" s="112" t="s">
        <v>78</v>
      </c>
      <c r="AW37" s="84"/>
      <c r="AX37" s="84"/>
      <c r="AY37" s="85">
        <v>1</v>
      </c>
      <c r="AZ37" s="112">
        <v>2</v>
      </c>
      <c r="BA37" s="112">
        <v>2</v>
      </c>
      <c r="BB37" s="84" t="s">
        <v>270</v>
      </c>
      <c r="BC37" s="140"/>
      <c r="BD37" s="140"/>
      <c r="BE37" s="84"/>
      <c r="BF37" s="84" t="s">
        <v>497</v>
      </c>
    </row>
    <row r="38" spans="1:58" ht="14.25" x14ac:dyDescent="0.2">
      <c r="A38" t="str">
        <f t="shared" si="0"/>
        <v>A7</v>
      </c>
      <c r="B38" s="2" t="s">
        <v>655</v>
      </c>
      <c r="C38">
        <f t="shared" si="1"/>
        <v>929.6</v>
      </c>
      <c r="D38" t="str">
        <f t="shared" si="2"/>
        <v>UFD</v>
      </c>
      <c r="E38" s="169" t="str">
        <f>IF(OR(A38="",B38="",C38=""),"eine der Spalten BAB, FR, km leer?",CONCATENATE(VLOOKUP(VALUE(I38),[1]Grundlage!$A$1:$B$14,2,0),IF(LEFT(A38,1)="A",IF(VALUE(MID(A38,2,10))&lt;10,"A00"&amp;VALUE(MID(A38,2,10)),IF(VALUE(MID(A38,2,10))&lt;100,"A0"&amp;VALUE(MID(A38,2,10)),IF(VALUE(MID(A38,2,10))&lt;1000,"A"&amp;VALUE(MID(A38,2,10))))),IF(LEFT(A38,1)="B",IF(VALUE(MID(A38,2,10))&lt;10,"B00"&amp;VALUE(MID(A38,2,10)),IF(VALUE(MID(A38,2,10))&lt;100,"B0"&amp;VALUE(MID(A38,2,10)),IF(VALUE(MID(A38,2,10))&lt;1000,"B"&amp;VALUE(MID(A38,2,10))))),A38)),"_",IF(NOT(OR(C38=1000,C38&gt;1000)),MID(TEXT((C38+1000)*1000,0),2,6),"keine Meter in Spalte km!!!"),IF(VALUE(I38)=1,CONCATENATE("_",VLOOKUP(IF(V38&gt;0,V38,J38),[1]Grundlage!$A$20:$B$181,2,0)),CONCATENATE("_",B38))))</f>
        <v>UQ_A007_929600_S</v>
      </c>
      <c r="F38" s="2" t="s">
        <v>25</v>
      </c>
      <c r="G38" s="167">
        <f t="shared" si="11"/>
        <v>2808</v>
      </c>
      <c r="H38">
        <f t="shared" si="12"/>
        <v>92</v>
      </c>
      <c r="I38" s="2">
        <f t="shared" si="5"/>
        <v>3</v>
      </c>
      <c r="J38" s="2">
        <f t="shared" si="6"/>
        <v>12</v>
      </c>
      <c r="K38" s="13">
        <v>204</v>
      </c>
      <c r="L38" s="2">
        <f t="shared" si="7"/>
        <v>4</v>
      </c>
      <c r="M38" s="2">
        <f t="shared" si="8"/>
        <v>1</v>
      </c>
      <c r="N38" s="2">
        <f t="shared" si="9"/>
        <v>3</v>
      </c>
      <c r="P38" s="168">
        <f t="shared" si="10"/>
        <v>48</v>
      </c>
      <c r="AS38" s="84"/>
      <c r="AT38" s="85">
        <v>3</v>
      </c>
      <c r="AU38" s="112">
        <v>12</v>
      </c>
      <c r="AV38" s="112" t="s">
        <v>79</v>
      </c>
      <c r="AW38" s="84"/>
      <c r="AX38" s="84"/>
      <c r="AY38" s="85">
        <v>1</v>
      </c>
      <c r="AZ38" s="112">
        <v>3</v>
      </c>
      <c r="BA38" s="112">
        <v>3</v>
      </c>
      <c r="BB38" s="84" t="s">
        <v>25</v>
      </c>
      <c r="BC38" s="140"/>
      <c r="BD38" s="140"/>
      <c r="BE38" s="84"/>
      <c r="BF38" s="84" t="s">
        <v>441</v>
      </c>
    </row>
    <row r="39" spans="1:58" ht="14.25" x14ac:dyDescent="0.2">
      <c r="A39" t="str">
        <f t="shared" si="0"/>
        <v>A7</v>
      </c>
      <c r="B39" s="2" t="s">
        <v>655</v>
      </c>
      <c r="C39">
        <f t="shared" si="1"/>
        <v>929.6</v>
      </c>
      <c r="D39" t="str">
        <f t="shared" si="2"/>
        <v>UFD</v>
      </c>
      <c r="E39" s="169" t="str">
        <f>IF(OR(A39="",B39="",C39=""),"eine der Spalten BAB, FR, km leer?",CONCATENATE(VLOOKUP(VALUE(I39),[1]Grundlage!$A$1:$B$14,2,0),IF(LEFT(A39,1)="A",IF(VALUE(MID(A39,2,10))&lt;10,"A00"&amp;VALUE(MID(A39,2,10)),IF(VALUE(MID(A39,2,10))&lt;100,"A0"&amp;VALUE(MID(A39,2,10)),IF(VALUE(MID(A39,2,10))&lt;1000,"A"&amp;VALUE(MID(A39,2,10))))),IF(LEFT(A39,1)="B",IF(VALUE(MID(A39,2,10))&lt;10,"B00"&amp;VALUE(MID(A39,2,10)),IF(VALUE(MID(A39,2,10))&lt;100,"B0"&amp;VALUE(MID(A39,2,10)),IF(VALUE(MID(A39,2,10))&lt;1000,"B"&amp;VALUE(MID(A39,2,10))))),A39)),"_",IF(NOT(OR(C39=1000,C39&gt;1000)),MID(TEXT((C39+1000)*1000,0),2,6),"keine Meter in Spalte km!!!"),IF(VALUE(I39)=1,CONCATENATE("_",VLOOKUP(IF(V39&gt;0,V39,J39),[1]Grundlage!$A$20:$B$181,2,0)),CONCATENATE("_",B39))))</f>
        <v>UQ_A007_929600_S</v>
      </c>
      <c r="F39" s="2" t="s">
        <v>26</v>
      </c>
      <c r="G39" s="167">
        <f t="shared" ref="G39:G102" si="13">IF(ISBLANK(AP39),G38,INT(AP39/256))</f>
        <v>2808</v>
      </c>
      <c r="H39">
        <f t="shared" ref="H39:H102" si="14">IF(ISBLANK(AP39),H38,MOD(AP39,256))</f>
        <v>92</v>
      </c>
      <c r="I39" s="2">
        <f t="shared" si="5"/>
        <v>3</v>
      </c>
      <c r="J39" s="2">
        <f t="shared" si="6"/>
        <v>13</v>
      </c>
      <c r="K39" s="13">
        <v>204</v>
      </c>
      <c r="L39" s="2">
        <f t="shared" si="7"/>
        <v>4</v>
      </c>
      <c r="M39" s="2">
        <f t="shared" si="8"/>
        <v>1</v>
      </c>
      <c r="N39" s="2">
        <f t="shared" si="9"/>
        <v>4</v>
      </c>
      <c r="P39" s="168">
        <f t="shared" si="10"/>
        <v>55</v>
      </c>
      <c r="AS39" s="84"/>
      <c r="AT39" s="85">
        <v>3</v>
      </c>
      <c r="AU39" s="112">
        <v>13</v>
      </c>
      <c r="AV39" s="112" t="s">
        <v>80</v>
      </c>
      <c r="AW39" s="84"/>
      <c r="AX39" s="84"/>
      <c r="AY39" s="85">
        <v>1</v>
      </c>
      <c r="AZ39" s="112">
        <v>4</v>
      </c>
      <c r="BA39" s="112">
        <v>4</v>
      </c>
      <c r="BB39" s="84" t="s">
        <v>26</v>
      </c>
      <c r="BC39" s="140"/>
      <c r="BD39" s="140"/>
      <c r="BE39" s="84"/>
      <c r="BF39" s="84" t="s">
        <v>442</v>
      </c>
    </row>
    <row r="40" spans="1:58" ht="14.25" x14ac:dyDescent="0.2">
      <c r="A40" t="str">
        <f t="shared" si="0"/>
        <v>A7</v>
      </c>
      <c r="B40" s="2" t="s">
        <v>655</v>
      </c>
      <c r="C40">
        <f t="shared" si="1"/>
        <v>929.6</v>
      </c>
      <c r="D40" t="str">
        <f t="shared" si="2"/>
        <v>UFD</v>
      </c>
      <c r="E40" s="169" t="str">
        <f>IF(OR(A40="",B40="",C40=""),"eine der Spalten BAB, FR, km leer?",CONCATENATE(VLOOKUP(VALUE(I40),[1]Grundlage!$A$1:$B$14,2,0),IF(LEFT(A40,1)="A",IF(VALUE(MID(A40,2,10))&lt;10,"A00"&amp;VALUE(MID(A40,2,10)),IF(VALUE(MID(A40,2,10))&lt;100,"A0"&amp;VALUE(MID(A40,2,10)),IF(VALUE(MID(A40,2,10))&lt;1000,"A"&amp;VALUE(MID(A40,2,10))))),IF(LEFT(A40,1)="B",IF(VALUE(MID(A40,2,10))&lt;10,"B00"&amp;VALUE(MID(A40,2,10)),IF(VALUE(MID(A40,2,10))&lt;100,"B0"&amp;VALUE(MID(A40,2,10)),IF(VALUE(MID(A40,2,10))&lt;1000,"B"&amp;VALUE(MID(A40,2,10))))),A40)),"_",IF(NOT(OR(C40=1000,C40&gt;1000)),MID(TEXT((C40+1000)*1000,0),2,6),"keine Meter in Spalte km!!!"),IF(VALUE(I40)=1,CONCATENATE("_",VLOOKUP(IF(V40&gt;0,V40,J40),[1]Grundlage!$A$20:$B$181,2,0)),CONCATENATE("_",B40))))</f>
        <v>UQ_A007_929600_S</v>
      </c>
      <c r="F40" s="2" t="s">
        <v>27</v>
      </c>
      <c r="G40" s="167">
        <f t="shared" si="13"/>
        <v>2808</v>
      </c>
      <c r="H40">
        <f t="shared" si="14"/>
        <v>92</v>
      </c>
      <c r="I40" s="2">
        <f t="shared" si="5"/>
        <v>3</v>
      </c>
      <c r="J40" s="2">
        <f t="shared" si="6"/>
        <v>14</v>
      </c>
      <c r="K40" s="13">
        <v>204</v>
      </c>
      <c r="L40" s="2">
        <f t="shared" si="7"/>
        <v>4</v>
      </c>
      <c r="M40" s="2">
        <f t="shared" si="8"/>
        <v>1</v>
      </c>
      <c r="N40" s="2">
        <f t="shared" si="9"/>
        <v>5</v>
      </c>
      <c r="P40" s="168">
        <f t="shared" si="10"/>
        <v>66</v>
      </c>
      <c r="AS40" s="84"/>
      <c r="AT40" s="85">
        <v>3</v>
      </c>
      <c r="AU40" s="112">
        <v>14</v>
      </c>
      <c r="AV40" s="112" t="s">
        <v>81</v>
      </c>
      <c r="AW40" s="84"/>
      <c r="AX40" s="84"/>
      <c r="AY40" s="85">
        <v>1</v>
      </c>
      <c r="AZ40" s="112">
        <v>5</v>
      </c>
      <c r="BA40" s="112">
        <v>5</v>
      </c>
      <c r="BB40" s="84" t="s">
        <v>27</v>
      </c>
      <c r="BC40" s="140"/>
      <c r="BD40" s="140"/>
      <c r="BE40" s="84"/>
      <c r="BF40" s="84" t="s">
        <v>443</v>
      </c>
    </row>
    <row r="41" spans="1:58" ht="14.25" x14ac:dyDescent="0.2">
      <c r="A41" t="str">
        <f t="shared" si="0"/>
        <v>A7</v>
      </c>
      <c r="B41" s="2" t="s">
        <v>655</v>
      </c>
      <c r="C41">
        <f t="shared" si="1"/>
        <v>929.6</v>
      </c>
      <c r="D41" t="str">
        <f t="shared" si="2"/>
        <v>UFD</v>
      </c>
      <c r="E41" s="169" t="str">
        <f>IF(OR(A41="",B41="",C41=""),"eine der Spalten BAB, FR, km leer?",CONCATENATE(VLOOKUP(VALUE(I41),[1]Grundlage!$A$1:$B$14,2,0),IF(LEFT(A41,1)="A",IF(VALUE(MID(A41,2,10))&lt;10,"A00"&amp;VALUE(MID(A41,2,10)),IF(VALUE(MID(A41,2,10))&lt;100,"A0"&amp;VALUE(MID(A41,2,10)),IF(VALUE(MID(A41,2,10))&lt;1000,"A"&amp;VALUE(MID(A41,2,10))))),IF(LEFT(A41,1)="B",IF(VALUE(MID(A41,2,10))&lt;10,"B00"&amp;VALUE(MID(A41,2,10)),IF(VALUE(MID(A41,2,10))&lt;100,"B0"&amp;VALUE(MID(A41,2,10)),IF(VALUE(MID(A41,2,10))&lt;1000,"B"&amp;VALUE(MID(A41,2,10))))),A41)),"_",IF(NOT(OR(C41=1000,C41&gt;1000)),MID(TEXT((C41+1000)*1000,0),2,6),"keine Meter in Spalte km!!!"),IF(VALUE(I41)=1,CONCATENATE("_",VLOOKUP(IF(V41&gt;0,V41,J41),[1]Grundlage!$A$20:$B$181,2,0)),CONCATENATE("_",B41))))</f>
        <v>UQ_A007_929600_S</v>
      </c>
      <c r="F41" s="2" t="s">
        <v>28</v>
      </c>
      <c r="G41" s="167">
        <f t="shared" si="13"/>
        <v>2808</v>
      </c>
      <c r="H41">
        <f t="shared" si="14"/>
        <v>92</v>
      </c>
      <c r="I41" s="2">
        <f t="shared" si="5"/>
        <v>3</v>
      </c>
      <c r="J41" s="2">
        <f t="shared" si="6"/>
        <v>15</v>
      </c>
      <c r="K41" s="13">
        <v>204</v>
      </c>
      <c r="L41" s="2">
        <f t="shared" si="7"/>
        <v>4</v>
      </c>
      <c r="M41" s="2">
        <f t="shared" si="8"/>
        <v>1</v>
      </c>
      <c r="N41" s="2">
        <f t="shared" si="9"/>
        <v>6</v>
      </c>
      <c r="P41" s="168">
        <f t="shared" si="10"/>
        <v>65</v>
      </c>
      <c r="AS41" s="84"/>
      <c r="AT41" s="85">
        <v>3</v>
      </c>
      <c r="AU41" s="112">
        <v>15</v>
      </c>
      <c r="AV41" s="112" t="s">
        <v>82</v>
      </c>
      <c r="AW41" s="84"/>
      <c r="AX41" s="84"/>
      <c r="AY41" s="85">
        <v>1</v>
      </c>
      <c r="AZ41" s="112">
        <v>6</v>
      </c>
      <c r="BA41" s="112">
        <v>6</v>
      </c>
      <c r="BB41" s="84" t="s">
        <v>28</v>
      </c>
      <c r="BC41" s="140"/>
      <c r="BD41" s="140"/>
      <c r="BE41" s="84"/>
      <c r="BF41" s="84" t="s">
        <v>498</v>
      </c>
    </row>
    <row r="42" spans="1:58" ht="14.25" x14ac:dyDescent="0.2">
      <c r="A42" t="str">
        <f t="shared" si="0"/>
        <v>A7</v>
      </c>
      <c r="B42" s="2" t="s">
        <v>655</v>
      </c>
      <c r="C42">
        <f t="shared" si="1"/>
        <v>929.6</v>
      </c>
      <c r="D42" t="str">
        <f t="shared" si="2"/>
        <v>UFD</v>
      </c>
      <c r="E42" s="169" t="str">
        <f>IF(OR(A42="",B42="",C42=""),"eine der Spalten BAB, FR, km leer?",CONCATENATE(VLOOKUP(VALUE(I42),[1]Grundlage!$A$1:$B$14,2,0),IF(LEFT(A42,1)="A",IF(VALUE(MID(A42,2,10))&lt;10,"A00"&amp;VALUE(MID(A42,2,10)),IF(VALUE(MID(A42,2,10))&lt;100,"A0"&amp;VALUE(MID(A42,2,10)),IF(VALUE(MID(A42,2,10))&lt;1000,"A"&amp;VALUE(MID(A42,2,10))))),IF(LEFT(A42,1)="B",IF(VALUE(MID(A42,2,10))&lt;10,"B00"&amp;VALUE(MID(A42,2,10)),IF(VALUE(MID(A42,2,10))&lt;100,"B0"&amp;VALUE(MID(A42,2,10)),IF(VALUE(MID(A42,2,10))&lt;1000,"B"&amp;VALUE(MID(A42,2,10))))),A42)),"_",IF(NOT(OR(C42=1000,C42&gt;1000)),MID(TEXT((C42+1000)*1000,0),2,6),"keine Meter in Spalte km!!!"),IF(VALUE(I42)=1,CONCATENATE("_",VLOOKUP(IF(V42&gt;0,V42,J42),[1]Grundlage!$A$20:$B$181,2,0)),CONCATENATE("_",B42))))</f>
        <v>UQ_A007_929600_S</v>
      </c>
      <c r="F42" s="2" t="s">
        <v>29</v>
      </c>
      <c r="G42" s="167">
        <f t="shared" si="13"/>
        <v>2808</v>
      </c>
      <c r="H42">
        <f t="shared" si="14"/>
        <v>92</v>
      </c>
      <c r="I42" s="2">
        <f t="shared" si="5"/>
        <v>3</v>
      </c>
      <c r="J42" s="2">
        <f t="shared" si="6"/>
        <v>19</v>
      </c>
      <c r="K42" s="13">
        <v>204</v>
      </c>
      <c r="L42" s="2">
        <f t="shared" si="7"/>
        <v>4</v>
      </c>
      <c r="M42" s="2">
        <f t="shared" si="8"/>
        <v>1</v>
      </c>
      <c r="N42" s="2">
        <f t="shared" si="9"/>
        <v>7</v>
      </c>
      <c r="P42" s="168">
        <f t="shared" si="10"/>
        <v>49</v>
      </c>
      <c r="AS42" s="84"/>
      <c r="AT42" s="85">
        <v>3</v>
      </c>
      <c r="AU42" s="112">
        <v>19</v>
      </c>
      <c r="AV42" s="112">
        <v>13</v>
      </c>
      <c r="AW42" s="84"/>
      <c r="AX42" s="84"/>
      <c r="AY42" s="85">
        <v>1</v>
      </c>
      <c r="AZ42" s="112">
        <v>7</v>
      </c>
      <c r="BA42" s="112">
        <v>7</v>
      </c>
      <c r="BB42" s="84" t="s">
        <v>29</v>
      </c>
      <c r="BC42" s="140"/>
      <c r="BD42" s="140"/>
      <c r="BE42" s="84"/>
      <c r="BF42" s="84" t="s">
        <v>499</v>
      </c>
    </row>
    <row r="43" spans="1:58" ht="14.25" x14ac:dyDescent="0.2">
      <c r="A43" t="str">
        <f t="shared" si="0"/>
        <v>A7</v>
      </c>
      <c r="B43" s="2" t="s">
        <v>655</v>
      </c>
      <c r="C43">
        <f t="shared" si="1"/>
        <v>929.6</v>
      </c>
      <c r="D43" t="str">
        <f t="shared" si="2"/>
        <v>UFD</v>
      </c>
      <c r="E43" s="169" t="str">
        <f>IF(OR(A43="",B43="",C43=""),"eine der Spalten BAB, FR, km leer?",CONCATENATE(VLOOKUP(VALUE(I43),[1]Grundlage!$A$1:$B$14,2,0),IF(LEFT(A43,1)="A",IF(VALUE(MID(A43,2,10))&lt;10,"A00"&amp;VALUE(MID(A43,2,10)),IF(VALUE(MID(A43,2,10))&lt;100,"A0"&amp;VALUE(MID(A43,2,10)),IF(VALUE(MID(A43,2,10))&lt;1000,"A"&amp;VALUE(MID(A43,2,10))))),IF(LEFT(A43,1)="B",IF(VALUE(MID(A43,2,10))&lt;10,"B00"&amp;VALUE(MID(A43,2,10)),IF(VALUE(MID(A43,2,10))&lt;100,"B0"&amp;VALUE(MID(A43,2,10)),IF(VALUE(MID(A43,2,10))&lt;1000,"B"&amp;VALUE(MID(A43,2,10))))),A43)),"_",IF(NOT(OR(C43=1000,C43&gt;1000)),MID(TEXT((C43+1000)*1000,0),2,6),"keine Meter in Spalte km!!!"),IF(VALUE(I43)=1,CONCATENATE("_",VLOOKUP(IF(V43&gt;0,V43,J43),[1]Grundlage!$A$20:$B$181,2,0)),CONCATENATE("_",B43))))</f>
        <v>UQ_A007_929600_S</v>
      </c>
      <c r="F43" s="2" t="s">
        <v>30</v>
      </c>
      <c r="G43" s="167">
        <f t="shared" si="13"/>
        <v>2808</v>
      </c>
      <c r="H43">
        <f t="shared" si="14"/>
        <v>92</v>
      </c>
      <c r="I43" s="2">
        <f t="shared" si="5"/>
        <v>3</v>
      </c>
      <c r="J43" s="2">
        <f t="shared" si="6"/>
        <v>21</v>
      </c>
      <c r="K43" s="13">
        <v>204</v>
      </c>
      <c r="L43" s="2">
        <f t="shared" si="7"/>
        <v>4</v>
      </c>
      <c r="M43" s="2">
        <f t="shared" si="8"/>
        <v>1</v>
      </c>
      <c r="N43" s="2">
        <f t="shared" si="9"/>
        <v>8</v>
      </c>
      <c r="P43" s="168">
        <f t="shared" si="10"/>
        <v>67</v>
      </c>
      <c r="AS43" s="84"/>
      <c r="AT43" s="85">
        <v>3</v>
      </c>
      <c r="AU43" s="112">
        <v>21</v>
      </c>
      <c r="AV43" s="112">
        <v>15</v>
      </c>
      <c r="AW43" s="84"/>
      <c r="AX43" s="84"/>
      <c r="AY43" s="85">
        <v>1</v>
      </c>
      <c r="AZ43" s="112">
        <v>8</v>
      </c>
      <c r="BA43" s="112">
        <v>8</v>
      </c>
      <c r="BB43" s="84" t="s">
        <v>30</v>
      </c>
      <c r="BC43" s="140"/>
      <c r="BD43" s="140"/>
      <c r="BE43" s="84"/>
      <c r="BF43" s="84" t="s">
        <v>500</v>
      </c>
    </row>
    <row r="44" spans="1:58" ht="14.25" x14ac:dyDescent="0.2">
      <c r="A44" t="str">
        <f t="shared" si="0"/>
        <v>A7</v>
      </c>
      <c r="B44" s="2" t="s">
        <v>655</v>
      </c>
      <c r="C44">
        <f t="shared" si="1"/>
        <v>929.6</v>
      </c>
      <c r="D44" t="str">
        <f t="shared" si="2"/>
        <v>UFD</v>
      </c>
      <c r="E44" s="169" t="str">
        <f>IF(OR(A44="",B44="",C44=""),"eine der Spalten BAB, FR, km leer?",CONCATENATE(VLOOKUP(VALUE(I44),[1]Grundlage!$A$1:$B$14,2,0),IF(LEFT(A44,1)="A",IF(VALUE(MID(A44,2,10))&lt;10,"A00"&amp;VALUE(MID(A44,2,10)),IF(VALUE(MID(A44,2,10))&lt;100,"A0"&amp;VALUE(MID(A44,2,10)),IF(VALUE(MID(A44,2,10))&lt;1000,"A"&amp;VALUE(MID(A44,2,10))))),IF(LEFT(A44,1)="B",IF(VALUE(MID(A44,2,10))&lt;10,"B00"&amp;VALUE(MID(A44,2,10)),IF(VALUE(MID(A44,2,10))&lt;100,"B0"&amp;VALUE(MID(A44,2,10)),IF(VALUE(MID(A44,2,10))&lt;1000,"B"&amp;VALUE(MID(A44,2,10))))),A44)),"_",IF(NOT(OR(C44=1000,C44&gt;1000)),MID(TEXT((C44+1000)*1000,0),2,6),"keine Meter in Spalte km!!!"),IF(VALUE(I44)=1,CONCATENATE("_",VLOOKUP(IF(V44&gt;0,V44,J44),[1]Grundlage!$A$20:$B$181,2,0)),CONCATENATE("_",B44))))</f>
        <v>UQ_A007_929600_S</v>
      </c>
      <c r="F44" s="2" t="s">
        <v>271</v>
      </c>
      <c r="G44" s="167">
        <f t="shared" si="13"/>
        <v>2808</v>
      </c>
      <c r="H44">
        <f t="shared" si="14"/>
        <v>92</v>
      </c>
      <c r="I44" s="2">
        <f t="shared" si="5"/>
        <v>3</v>
      </c>
      <c r="J44" s="2">
        <f t="shared" si="6"/>
        <v>67</v>
      </c>
      <c r="K44" s="13">
        <v>204</v>
      </c>
      <c r="L44" s="2">
        <f t="shared" si="7"/>
        <v>4</v>
      </c>
      <c r="M44" s="2">
        <f t="shared" si="8"/>
        <v>1</v>
      </c>
      <c r="N44" s="2">
        <f t="shared" si="9"/>
        <v>9</v>
      </c>
      <c r="P44" s="168">
        <f t="shared" si="10"/>
        <v>53</v>
      </c>
      <c r="AS44" s="84"/>
      <c r="AT44" s="85">
        <v>3</v>
      </c>
      <c r="AU44" s="112">
        <v>67</v>
      </c>
      <c r="AV44" s="112">
        <v>43</v>
      </c>
      <c r="AW44" s="84"/>
      <c r="AX44" s="84"/>
      <c r="AY44" s="85">
        <v>1</v>
      </c>
      <c r="AZ44" s="112">
        <v>9</v>
      </c>
      <c r="BA44" s="112">
        <v>9</v>
      </c>
      <c r="BB44" s="84" t="s">
        <v>271</v>
      </c>
      <c r="BC44" s="140"/>
      <c r="BD44" s="140"/>
      <c r="BE44" s="84"/>
      <c r="BF44" s="84" t="s">
        <v>444</v>
      </c>
    </row>
    <row r="45" spans="1:58" ht="14.25" x14ac:dyDescent="0.2">
      <c r="A45" t="str">
        <f t="shared" si="0"/>
        <v>A7</v>
      </c>
      <c r="B45" s="2" t="s">
        <v>655</v>
      </c>
      <c r="C45">
        <f t="shared" si="1"/>
        <v>929.6</v>
      </c>
      <c r="D45" t="str">
        <f t="shared" si="2"/>
        <v>UFD</v>
      </c>
      <c r="E45" s="169" t="str">
        <f>IF(OR(A45="",B45="",C45=""),"eine der Spalten BAB, FR, km leer?",CONCATENATE(VLOOKUP(VALUE(I45),[1]Grundlage!$A$1:$B$14,2,0),IF(LEFT(A45,1)="A",IF(VALUE(MID(A45,2,10))&lt;10,"A00"&amp;VALUE(MID(A45,2,10)),IF(VALUE(MID(A45,2,10))&lt;100,"A0"&amp;VALUE(MID(A45,2,10)),IF(VALUE(MID(A45,2,10))&lt;1000,"A"&amp;VALUE(MID(A45,2,10))))),IF(LEFT(A45,1)="B",IF(VALUE(MID(A45,2,10))&lt;10,"B00"&amp;VALUE(MID(A45,2,10)),IF(VALUE(MID(A45,2,10))&lt;100,"B0"&amp;VALUE(MID(A45,2,10)),IF(VALUE(MID(A45,2,10))&lt;1000,"B"&amp;VALUE(MID(A45,2,10))))),A45)),"_",IF(NOT(OR(C45=1000,C45&gt;1000)),MID(TEXT((C45+1000)*1000,0),2,6),"keine Meter in Spalte km!!!"),IF(VALUE(I45)=1,CONCATENATE("_",VLOOKUP(IF(V45&gt;0,V45,J45),[1]Grundlage!$A$20:$B$181,2,0)),CONCATENATE("_",B45))))</f>
        <v>UQ_A007_929600_S</v>
      </c>
      <c r="F45" s="2" t="s">
        <v>272</v>
      </c>
      <c r="G45" s="167">
        <f t="shared" si="13"/>
        <v>2808</v>
      </c>
      <c r="H45">
        <f t="shared" si="14"/>
        <v>92</v>
      </c>
      <c r="I45" s="2">
        <f t="shared" si="5"/>
        <v>3</v>
      </c>
      <c r="J45" s="2">
        <f t="shared" si="6"/>
        <v>82</v>
      </c>
      <c r="K45" s="13">
        <v>204</v>
      </c>
      <c r="L45" s="2">
        <f t="shared" si="7"/>
        <v>4</v>
      </c>
      <c r="M45" s="2">
        <f t="shared" si="8"/>
        <v>1</v>
      </c>
      <c r="N45" s="2">
        <f t="shared" si="9"/>
        <v>10</v>
      </c>
      <c r="P45" s="168">
        <f t="shared" si="10"/>
        <v>72</v>
      </c>
      <c r="AS45" s="84"/>
      <c r="AT45" s="85">
        <v>3</v>
      </c>
      <c r="AU45" s="112">
        <v>82</v>
      </c>
      <c r="AV45" s="112">
        <v>52</v>
      </c>
      <c r="AW45" s="84"/>
      <c r="AX45" s="84"/>
      <c r="AY45" s="85">
        <v>1</v>
      </c>
      <c r="AZ45" s="112">
        <v>10</v>
      </c>
      <c r="BA45" s="112" t="s">
        <v>95</v>
      </c>
      <c r="BB45" s="84" t="s">
        <v>272</v>
      </c>
      <c r="BC45" s="140"/>
      <c r="BD45" s="140"/>
      <c r="BE45" s="84"/>
      <c r="BF45" s="84" t="s">
        <v>502</v>
      </c>
    </row>
    <row r="46" spans="1:58" ht="14.25" x14ac:dyDescent="0.2">
      <c r="A46" t="str">
        <f t="shared" si="0"/>
        <v>A7</v>
      </c>
      <c r="C46">
        <f t="shared" si="1"/>
        <v>929.6</v>
      </c>
      <c r="D46" t="str">
        <f t="shared" si="2"/>
        <v/>
      </c>
      <c r="E46" s="169" t="str">
        <f>IF(OR(A46="",B46="",C46=""),"",CONCATENATE(VLOOKUP(VALUE(I46),[1]Grundlage!$A$1:$B$14,2,0),IF(LEFT(A46,1)="A",IF(VALUE(MID(A46,2,10))&lt;10,"A00"&amp;VALUE(MID(A46,2,10)),IF(VALUE(MID(A46,2,10))&lt;100,"A0"&amp;VALUE(MID(A46,2,10)),IF(VALUE(MID(A46,2,10))&lt;1000,"A"&amp;VALUE(MID(A46,2,10))))),IF(LEFT(A46,1)="B",IF(VALUE(MID(A46,2,10))&lt;10,"B00"&amp;VALUE(MID(A46,2,10)),IF(VALUE(MID(A46,2,10))&lt;100,"B0"&amp;VALUE(MID(A46,2,10)),IF(VALUE(MID(A46,2,10))&lt;1000,"B"&amp;VALUE(MID(A46,2,10))))),A46)),"_",IF(NOT(OR(C46=1000,C46&gt;1000)),MID(TEXT((C46+1000)*1000,0),2,6),"keine Meter in Spalte km!!!"),IF(VALUE(I46)=1,CONCATENATE("_",VLOOKUP(IF(V46&gt;0,V46,J46),[1]Grundlage!$A$20:$B$181,2,0)),CONCATENATE("_",B46))))</f>
        <v/>
      </c>
      <c r="F46" s="2" t="s">
        <v>669</v>
      </c>
      <c r="G46" s="167">
        <f t="shared" si="13"/>
        <v>2808</v>
      </c>
      <c r="H46">
        <f t="shared" si="14"/>
        <v>92</v>
      </c>
      <c r="I46" s="2">
        <f t="shared" si="5"/>
        <v>0</v>
      </c>
      <c r="J46" s="2">
        <f t="shared" si="6"/>
        <v>0</v>
      </c>
      <c r="K46" s="13">
        <v>204</v>
      </c>
      <c r="L46" s="2">
        <f t="shared" si="7"/>
        <v>4</v>
      </c>
      <c r="M46" s="2" t="str">
        <f t="shared" si="8"/>
        <v/>
      </c>
      <c r="N46" s="2" t="str">
        <f t="shared" si="9"/>
        <v/>
      </c>
      <c r="P46" s="168" t="str">
        <f t="shared" si="10"/>
        <v/>
      </c>
      <c r="AR46" s="13"/>
      <c r="AS46" s="13"/>
      <c r="AT46" s="19"/>
      <c r="AU46" s="14"/>
      <c r="AV46" s="14"/>
      <c r="AW46" s="13"/>
      <c r="AX46" s="13"/>
      <c r="AY46" s="19"/>
      <c r="AZ46" s="14"/>
      <c r="BA46" s="14"/>
      <c r="BB46" s="13"/>
      <c r="BF46" s="13"/>
    </row>
    <row r="47" spans="1:58" ht="14.25" x14ac:dyDescent="0.2">
      <c r="A47" t="str">
        <f t="shared" si="0"/>
        <v>A980</v>
      </c>
      <c r="B47" s="2" t="s">
        <v>657</v>
      </c>
      <c r="C47">
        <f t="shared" si="1"/>
        <v>3.6</v>
      </c>
      <c r="D47" t="str">
        <f t="shared" si="2"/>
        <v>SS</v>
      </c>
      <c r="E47" s="169" t="str">
        <f>IF(OR(A47="",B47="",C47=""),"eine der Spalten BAB, FR, km leer?",CONCATENATE(VLOOKUP(VALUE(I47),[1]Grundlage!$A$1:$B$14,2,0),IF(LEFT(A47,1)="A",IF(VALUE(MID(A47,2,10))&lt;10,"A00"&amp;VALUE(MID(A47,2,10)),IF(VALUE(MID(A47,2,10))&lt;100,"A0"&amp;VALUE(MID(A47,2,10)),IF(VALUE(MID(A47,2,10))&lt;1000,"A"&amp;VALUE(MID(A47,2,10))))),IF(LEFT(A47,1)="B",IF(VALUE(MID(A47,2,10))&lt;10,"B00"&amp;VALUE(MID(A47,2,10)),IF(VALUE(MID(A47,2,10))&lt;100,"B0"&amp;VALUE(MID(A47,2,10)),IF(VALUE(MID(A47,2,10))&lt;1000,"B"&amp;VALUE(MID(A47,2,10))))),A47)),"_",IF(NOT(OR(C47=1000,C47&gt;1000)),MID(TEXT((C47+1000)*1000,0),2,6),"keine Meter in Spalte km!!!"),IF(VALUE(I47)=1,CONCATENATE("_",VLOOKUP(IF(V47&gt;0,V47,J47),[1]Grundlage!$A$20:$B$181,2,0)),CONCATENATE("_",B47))))</f>
        <v>SSt_A980_003600_W</v>
      </c>
      <c r="F47" s="2" t="s">
        <v>37</v>
      </c>
      <c r="G47" s="167">
        <f t="shared" si="13"/>
        <v>38309</v>
      </c>
      <c r="H47">
        <f t="shared" si="14"/>
        <v>17</v>
      </c>
      <c r="I47" s="2">
        <f t="shared" si="5"/>
        <v>254</v>
      </c>
      <c r="J47" s="2">
        <f t="shared" si="6"/>
        <v>0</v>
      </c>
      <c r="K47" s="13">
        <v>204</v>
      </c>
      <c r="L47" s="2">
        <f t="shared" si="7"/>
        <v>5</v>
      </c>
      <c r="M47" s="2" t="str">
        <f t="shared" si="8"/>
        <v/>
      </c>
      <c r="N47" s="2" t="str">
        <f t="shared" si="9"/>
        <v/>
      </c>
      <c r="P47" s="168" t="str">
        <f t="shared" si="10"/>
        <v/>
      </c>
      <c r="AI47" s="35">
        <v>3.6</v>
      </c>
      <c r="AJ47" s="36" t="s">
        <v>19</v>
      </c>
      <c r="AK47" s="36" t="s">
        <v>36</v>
      </c>
      <c r="AL47" s="36"/>
      <c r="AM47" s="36"/>
      <c r="AN47" s="36"/>
      <c r="AO47" s="36"/>
      <c r="AP47" s="42">
        <v>9807121</v>
      </c>
      <c r="AQ47" s="42">
        <v>95</v>
      </c>
      <c r="AR47" s="42" t="s">
        <v>214</v>
      </c>
      <c r="AS47" s="42">
        <v>11</v>
      </c>
      <c r="AT47" s="36"/>
      <c r="AU47" s="36"/>
      <c r="AV47" s="36"/>
      <c r="AW47" s="36"/>
      <c r="AX47" s="36">
        <v>5</v>
      </c>
      <c r="AY47" s="36"/>
      <c r="AZ47" s="36"/>
      <c r="BA47" s="36"/>
      <c r="BB47" s="37" t="s">
        <v>37</v>
      </c>
      <c r="BC47" s="45"/>
      <c r="BD47" s="99" t="s">
        <v>163</v>
      </c>
      <c r="BE47" s="39" t="s">
        <v>35</v>
      </c>
      <c r="BF47" s="2" t="s">
        <v>449</v>
      </c>
    </row>
    <row r="48" spans="1:58" ht="14.25" x14ac:dyDescent="0.2">
      <c r="A48" t="str">
        <f t="shared" si="0"/>
        <v>A980</v>
      </c>
      <c r="B48" s="2" t="s">
        <v>657</v>
      </c>
      <c r="C48">
        <f t="shared" si="1"/>
        <v>3.6</v>
      </c>
      <c r="D48" t="str">
        <f t="shared" si="2"/>
        <v>UFD</v>
      </c>
      <c r="E48" s="169" t="str">
        <f>IF(OR(A48="",B48="",C48=""),"eine der Spalten BAB, FR, km leer?",CONCATENATE(VLOOKUP(VALUE(I48),[1]Grundlage!$A$1:$B$14,2,0),IF(LEFT(A48,1)="A",IF(VALUE(MID(A48,2,10))&lt;10,"A00"&amp;VALUE(MID(A48,2,10)),IF(VALUE(MID(A48,2,10))&lt;100,"A0"&amp;VALUE(MID(A48,2,10)),IF(VALUE(MID(A48,2,10))&lt;1000,"A"&amp;VALUE(MID(A48,2,10))))),IF(LEFT(A48,1)="B",IF(VALUE(MID(A48,2,10))&lt;10,"B00"&amp;VALUE(MID(A48,2,10)),IF(VALUE(MID(A48,2,10))&lt;100,"B0"&amp;VALUE(MID(A48,2,10)),IF(VALUE(MID(A48,2,10))&lt;1000,"B"&amp;VALUE(MID(A48,2,10))))),A48)),"_",IF(NOT(OR(C48=1000,C48&gt;1000)),MID(TEXT((C48+1000)*1000,0),2,6),"keine Meter in Spalte km!!!"),IF(VALUE(I48)=1,CONCATENATE("_",VLOOKUP(IF(V48&gt;0,V48,J48),[1]Grundlage!$A$20:$B$181,2,0)),CONCATENATE("_",B48))))</f>
        <v>UQ_A980_003600_W</v>
      </c>
      <c r="F48" s="2" t="s">
        <v>269</v>
      </c>
      <c r="G48" s="167">
        <f t="shared" si="13"/>
        <v>38309</v>
      </c>
      <c r="H48">
        <f t="shared" si="14"/>
        <v>17</v>
      </c>
      <c r="I48" s="2">
        <f t="shared" si="5"/>
        <v>3</v>
      </c>
      <c r="J48" s="2">
        <f t="shared" si="6"/>
        <v>6</v>
      </c>
      <c r="K48" s="13">
        <v>204</v>
      </c>
      <c r="L48" s="2">
        <f t="shared" si="7"/>
        <v>5</v>
      </c>
      <c r="M48" s="2">
        <f t="shared" si="8"/>
        <v>1</v>
      </c>
      <c r="N48" s="2">
        <f t="shared" si="9"/>
        <v>1</v>
      </c>
      <c r="P48" s="168">
        <f t="shared" si="10"/>
        <v>71</v>
      </c>
      <c r="AP48" s="40"/>
      <c r="AQ48" s="40"/>
      <c r="AR48" s="40"/>
      <c r="AS48" s="77"/>
      <c r="AT48" s="19">
        <v>3</v>
      </c>
      <c r="AU48" s="14">
        <v>6</v>
      </c>
      <c r="AV48" s="27">
        <v>6</v>
      </c>
      <c r="AW48" s="19"/>
      <c r="AX48" s="19"/>
      <c r="AY48" s="19">
        <v>1</v>
      </c>
      <c r="AZ48" s="14">
        <v>1</v>
      </c>
      <c r="BA48" s="27">
        <v>1</v>
      </c>
      <c r="BB48" s="13" t="s">
        <v>269</v>
      </c>
      <c r="BC48" s="30"/>
      <c r="BD48" s="30"/>
      <c r="BF48" s="2" t="s">
        <v>440</v>
      </c>
    </row>
    <row r="49" spans="1:58" ht="14.25" x14ac:dyDescent="0.2">
      <c r="A49" t="str">
        <f t="shared" si="0"/>
        <v>A980</v>
      </c>
      <c r="B49" s="2" t="s">
        <v>657</v>
      </c>
      <c r="C49">
        <f t="shared" si="1"/>
        <v>3.6</v>
      </c>
      <c r="D49" t="str">
        <f t="shared" si="2"/>
        <v>UFD</v>
      </c>
      <c r="E49" s="169" t="str">
        <f>IF(OR(A49="",B49="",C49=""),"eine der Spalten BAB, FR, km leer?",CONCATENATE(VLOOKUP(VALUE(I49),[1]Grundlage!$A$1:$B$14,2,0),IF(LEFT(A49,1)="A",IF(VALUE(MID(A49,2,10))&lt;10,"A00"&amp;VALUE(MID(A49,2,10)),IF(VALUE(MID(A49,2,10))&lt;100,"A0"&amp;VALUE(MID(A49,2,10)),IF(VALUE(MID(A49,2,10))&lt;1000,"A"&amp;VALUE(MID(A49,2,10))))),IF(LEFT(A49,1)="B",IF(VALUE(MID(A49,2,10))&lt;10,"B00"&amp;VALUE(MID(A49,2,10)),IF(VALUE(MID(A49,2,10))&lt;100,"B0"&amp;VALUE(MID(A49,2,10)),IF(VALUE(MID(A49,2,10))&lt;1000,"B"&amp;VALUE(MID(A49,2,10))))),A49)),"_",IF(NOT(OR(C49=1000,C49&gt;1000)),MID(TEXT((C49+1000)*1000,0),2,6),"keine Meter in Spalte km!!!"),IF(VALUE(I49)=1,CONCATENATE("_",VLOOKUP(IF(V49&gt;0,V49,J49),[1]Grundlage!$A$20:$B$181,2,0)),CONCATENATE("_",B49))))</f>
        <v>UQ_A980_003600_W</v>
      </c>
      <c r="F49" s="2" t="s">
        <v>270</v>
      </c>
      <c r="G49" s="167">
        <f t="shared" si="13"/>
        <v>38309</v>
      </c>
      <c r="H49">
        <f t="shared" si="14"/>
        <v>17</v>
      </c>
      <c r="I49" s="2">
        <f t="shared" si="5"/>
        <v>3</v>
      </c>
      <c r="J49" s="2">
        <f t="shared" si="6"/>
        <v>11</v>
      </c>
      <c r="K49" s="13">
        <v>204</v>
      </c>
      <c r="L49" s="2">
        <f t="shared" si="7"/>
        <v>5</v>
      </c>
      <c r="M49" s="2">
        <f t="shared" si="8"/>
        <v>1</v>
      </c>
      <c r="N49" s="2">
        <f t="shared" si="9"/>
        <v>2</v>
      </c>
      <c r="P49" s="168">
        <f t="shared" si="10"/>
        <v>70</v>
      </c>
      <c r="AS49" s="13"/>
      <c r="AT49" s="19">
        <v>3</v>
      </c>
      <c r="AU49" s="14">
        <v>11</v>
      </c>
      <c r="AV49" s="14" t="s">
        <v>78</v>
      </c>
      <c r="AW49" s="13"/>
      <c r="AX49" s="13"/>
      <c r="AY49" s="19">
        <v>1</v>
      </c>
      <c r="AZ49" s="14">
        <v>2</v>
      </c>
      <c r="BA49" s="14">
        <v>2</v>
      </c>
      <c r="BB49" s="13" t="s">
        <v>270</v>
      </c>
      <c r="BF49" s="2" t="s">
        <v>509</v>
      </c>
    </row>
    <row r="50" spans="1:58" ht="14.25" x14ac:dyDescent="0.2">
      <c r="A50" t="str">
        <f t="shared" si="0"/>
        <v>A980</v>
      </c>
      <c r="B50" s="2" t="s">
        <v>657</v>
      </c>
      <c r="C50">
        <f t="shared" si="1"/>
        <v>3.6</v>
      </c>
      <c r="D50" t="str">
        <f t="shared" si="2"/>
        <v>UFD</v>
      </c>
      <c r="E50" s="169" t="str">
        <f>IF(OR(A50="",B50="",C50=""),"eine der Spalten BAB, FR, km leer?",CONCATENATE(VLOOKUP(VALUE(I50),[1]Grundlage!$A$1:$B$14,2,0),IF(LEFT(A50,1)="A",IF(VALUE(MID(A50,2,10))&lt;10,"A00"&amp;VALUE(MID(A50,2,10)),IF(VALUE(MID(A50,2,10))&lt;100,"A0"&amp;VALUE(MID(A50,2,10)),IF(VALUE(MID(A50,2,10))&lt;1000,"A"&amp;VALUE(MID(A50,2,10))))),IF(LEFT(A50,1)="B",IF(VALUE(MID(A50,2,10))&lt;10,"B00"&amp;VALUE(MID(A50,2,10)),IF(VALUE(MID(A50,2,10))&lt;100,"B0"&amp;VALUE(MID(A50,2,10)),IF(VALUE(MID(A50,2,10))&lt;1000,"B"&amp;VALUE(MID(A50,2,10))))),A50)),"_",IF(NOT(OR(C50=1000,C50&gt;1000)),MID(TEXT((C50+1000)*1000,0),2,6),"keine Meter in Spalte km!!!"),IF(VALUE(I50)=1,CONCATENATE("_",VLOOKUP(IF(V50&gt;0,V50,J50),[1]Grundlage!$A$20:$B$181,2,0)),CONCATENATE("_",B50))))</f>
        <v>UQ_A980_003600_W</v>
      </c>
      <c r="F50" s="2" t="s">
        <v>25</v>
      </c>
      <c r="G50" s="167">
        <f t="shared" si="13"/>
        <v>38309</v>
      </c>
      <c r="H50">
        <f t="shared" si="14"/>
        <v>17</v>
      </c>
      <c r="I50" s="2">
        <f t="shared" si="5"/>
        <v>3</v>
      </c>
      <c r="J50" s="2">
        <f t="shared" si="6"/>
        <v>12</v>
      </c>
      <c r="K50" s="13">
        <v>204</v>
      </c>
      <c r="L50" s="2">
        <f t="shared" si="7"/>
        <v>5</v>
      </c>
      <c r="M50" s="2">
        <f t="shared" si="8"/>
        <v>63</v>
      </c>
      <c r="N50" s="2">
        <f t="shared" si="9"/>
        <v>3</v>
      </c>
      <c r="P50" s="168">
        <f t="shared" si="10"/>
        <v>48</v>
      </c>
      <c r="AS50" s="13"/>
      <c r="AT50" s="19">
        <v>3</v>
      </c>
      <c r="AU50" s="14">
        <v>12</v>
      </c>
      <c r="AV50" s="14" t="s">
        <v>79</v>
      </c>
      <c r="AW50" s="13"/>
      <c r="AX50" s="13"/>
      <c r="AY50" s="19">
        <v>63</v>
      </c>
      <c r="AZ50" s="34">
        <v>3</v>
      </c>
      <c r="BA50" s="104" t="s">
        <v>278</v>
      </c>
      <c r="BB50" s="13" t="s">
        <v>25</v>
      </c>
      <c r="BF50" s="13" t="s">
        <v>441</v>
      </c>
    </row>
    <row r="51" spans="1:58" ht="14.25" x14ac:dyDescent="0.2">
      <c r="A51" t="str">
        <f t="shared" si="0"/>
        <v>A980</v>
      </c>
      <c r="B51" s="2" t="s">
        <v>657</v>
      </c>
      <c r="C51">
        <f t="shared" si="1"/>
        <v>3.6</v>
      </c>
      <c r="D51" t="str">
        <f t="shared" si="2"/>
        <v>UFD</v>
      </c>
      <c r="E51" s="169" t="str">
        <f>IF(OR(A51="",B51="",C51=""),"eine der Spalten BAB, FR, km leer?",CONCATENATE(VLOOKUP(VALUE(I51),[1]Grundlage!$A$1:$B$14,2,0),IF(LEFT(A51,1)="A",IF(VALUE(MID(A51,2,10))&lt;10,"A00"&amp;VALUE(MID(A51,2,10)),IF(VALUE(MID(A51,2,10))&lt;100,"A0"&amp;VALUE(MID(A51,2,10)),IF(VALUE(MID(A51,2,10))&lt;1000,"A"&amp;VALUE(MID(A51,2,10))))),IF(LEFT(A51,1)="B",IF(VALUE(MID(A51,2,10))&lt;10,"B00"&amp;VALUE(MID(A51,2,10)),IF(VALUE(MID(A51,2,10))&lt;100,"B0"&amp;VALUE(MID(A51,2,10)),IF(VALUE(MID(A51,2,10))&lt;1000,"B"&amp;VALUE(MID(A51,2,10))))),A51)),"_",IF(NOT(OR(C51=1000,C51&gt;1000)),MID(TEXT((C51+1000)*1000,0),2,6),"keine Meter in Spalte km!!!"),IF(VALUE(I51)=1,CONCATENATE("_",VLOOKUP(IF(V51&gt;0,V51,J51),[1]Grundlage!$A$20:$B$181,2,0)),CONCATENATE("_",B51))))</f>
        <v>UQ_A980_003600_W</v>
      </c>
      <c r="F51" s="2" t="s">
        <v>26</v>
      </c>
      <c r="G51" s="167">
        <f t="shared" si="13"/>
        <v>38309</v>
      </c>
      <c r="H51">
        <f t="shared" si="14"/>
        <v>17</v>
      </c>
      <c r="I51" s="2">
        <f t="shared" si="5"/>
        <v>3</v>
      </c>
      <c r="J51" s="2">
        <f t="shared" si="6"/>
        <v>13</v>
      </c>
      <c r="K51" s="13">
        <v>204</v>
      </c>
      <c r="L51" s="2">
        <f t="shared" si="7"/>
        <v>5</v>
      </c>
      <c r="M51" s="2">
        <f t="shared" si="8"/>
        <v>63</v>
      </c>
      <c r="N51" s="2">
        <f t="shared" si="9"/>
        <v>4</v>
      </c>
      <c r="P51" s="168">
        <f t="shared" si="10"/>
        <v>55</v>
      </c>
      <c r="AS51" s="13"/>
      <c r="AT51" s="19">
        <v>3</v>
      </c>
      <c r="AU51" s="14">
        <v>13</v>
      </c>
      <c r="AV51" s="14" t="s">
        <v>80</v>
      </c>
      <c r="AW51" s="13"/>
      <c r="AX51" s="13"/>
      <c r="AY51" s="19">
        <v>63</v>
      </c>
      <c r="AZ51" s="34">
        <v>4</v>
      </c>
      <c r="BA51" s="104" t="s">
        <v>277</v>
      </c>
      <c r="BB51" s="13" t="s">
        <v>26</v>
      </c>
      <c r="BF51" s="13" t="s">
        <v>442</v>
      </c>
    </row>
    <row r="52" spans="1:58" ht="14.25" x14ac:dyDescent="0.2">
      <c r="A52" t="str">
        <f t="shared" si="0"/>
        <v>A980</v>
      </c>
      <c r="B52" s="2" t="s">
        <v>657</v>
      </c>
      <c r="C52">
        <f t="shared" si="1"/>
        <v>3.6</v>
      </c>
      <c r="D52" t="str">
        <f t="shared" si="2"/>
        <v>UFD</v>
      </c>
      <c r="E52" s="169" t="str">
        <f>IF(OR(A52="",B52="",C52=""),"eine der Spalten BAB, FR, km leer?",CONCATENATE(VLOOKUP(VALUE(I52),[1]Grundlage!$A$1:$B$14,2,0),IF(LEFT(A52,1)="A",IF(VALUE(MID(A52,2,10))&lt;10,"A00"&amp;VALUE(MID(A52,2,10)),IF(VALUE(MID(A52,2,10))&lt;100,"A0"&amp;VALUE(MID(A52,2,10)),IF(VALUE(MID(A52,2,10))&lt;1000,"A"&amp;VALUE(MID(A52,2,10))))),IF(LEFT(A52,1)="B",IF(VALUE(MID(A52,2,10))&lt;10,"B00"&amp;VALUE(MID(A52,2,10)),IF(VALUE(MID(A52,2,10))&lt;100,"B0"&amp;VALUE(MID(A52,2,10)),IF(VALUE(MID(A52,2,10))&lt;1000,"B"&amp;VALUE(MID(A52,2,10))))),A52)),"_",IF(NOT(OR(C52=1000,C52&gt;1000)),MID(TEXT((C52+1000)*1000,0),2,6),"keine Meter in Spalte km!!!"),IF(VALUE(I52)=1,CONCATENATE("_",VLOOKUP(IF(V52&gt;0,V52,J52),[1]Grundlage!$A$20:$B$181,2,0)),CONCATENATE("_",B52))))</f>
        <v>UQ_A980_003600_W</v>
      </c>
      <c r="F52" s="2" t="s">
        <v>27</v>
      </c>
      <c r="G52" s="167">
        <f t="shared" si="13"/>
        <v>38309</v>
      </c>
      <c r="H52">
        <f t="shared" si="14"/>
        <v>17</v>
      </c>
      <c r="I52" s="2">
        <f t="shared" si="5"/>
        <v>3</v>
      </c>
      <c r="J52" s="2">
        <f t="shared" si="6"/>
        <v>14</v>
      </c>
      <c r="K52" s="13">
        <v>204</v>
      </c>
      <c r="L52" s="2">
        <f t="shared" si="7"/>
        <v>5</v>
      </c>
      <c r="M52" s="2">
        <f t="shared" si="8"/>
        <v>63</v>
      </c>
      <c r="N52" s="2">
        <f t="shared" si="9"/>
        <v>5</v>
      </c>
      <c r="P52" s="168">
        <f t="shared" si="10"/>
        <v>66</v>
      </c>
      <c r="AS52" s="13"/>
      <c r="AT52" s="19">
        <v>3</v>
      </c>
      <c r="AU52" s="14">
        <v>14</v>
      </c>
      <c r="AV52" s="14" t="s">
        <v>81</v>
      </c>
      <c r="AW52" s="13"/>
      <c r="AX52" s="13"/>
      <c r="AY52" s="19">
        <v>63</v>
      </c>
      <c r="AZ52" s="34">
        <v>5</v>
      </c>
      <c r="BA52" s="104" t="s">
        <v>279</v>
      </c>
      <c r="BB52" s="13" t="s">
        <v>27</v>
      </c>
      <c r="BF52" s="13" t="s">
        <v>443</v>
      </c>
    </row>
    <row r="53" spans="1:58" ht="14.25" x14ac:dyDescent="0.2">
      <c r="A53" t="str">
        <f t="shared" si="0"/>
        <v>A980</v>
      </c>
      <c r="B53" s="2" t="s">
        <v>657</v>
      </c>
      <c r="C53">
        <f t="shared" si="1"/>
        <v>3.6</v>
      </c>
      <c r="D53" t="str">
        <f t="shared" si="2"/>
        <v>UFD</v>
      </c>
      <c r="E53" s="169" t="str">
        <f>IF(OR(A53="",B53="",C53=""),"eine der Spalten BAB, FR, km leer?",CONCATENATE(VLOOKUP(VALUE(I53),[1]Grundlage!$A$1:$B$14,2,0),IF(LEFT(A53,1)="A",IF(VALUE(MID(A53,2,10))&lt;10,"A00"&amp;VALUE(MID(A53,2,10)),IF(VALUE(MID(A53,2,10))&lt;100,"A0"&amp;VALUE(MID(A53,2,10)),IF(VALUE(MID(A53,2,10))&lt;1000,"A"&amp;VALUE(MID(A53,2,10))))),IF(LEFT(A53,1)="B",IF(VALUE(MID(A53,2,10))&lt;10,"B00"&amp;VALUE(MID(A53,2,10)),IF(VALUE(MID(A53,2,10))&lt;100,"B0"&amp;VALUE(MID(A53,2,10)),IF(VALUE(MID(A53,2,10))&lt;1000,"B"&amp;VALUE(MID(A53,2,10))))),A53)),"_",IF(NOT(OR(C53=1000,C53&gt;1000)),MID(TEXT((C53+1000)*1000,0),2,6),"keine Meter in Spalte km!!!"),IF(VALUE(I53)=1,CONCATENATE("_",VLOOKUP(IF(V53&gt;0,V53,J53),[1]Grundlage!$A$20:$B$181,2,0)),CONCATENATE("_",B53))))</f>
        <v>UQ_A980_003600_W</v>
      </c>
      <c r="F53" s="2" t="s">
        <v>28</v>
      </c>
      <c r="G53" s="167">
        <f t="shared" si="13"/>
        <v>38309</v>
      </c>
      <c r="H53">
        <f t="shared" si="14"/>
        <v>17</v>
      </c>
      <c r="I53" s="2">
        <f t="shared" si="5"/>
        <v>3</v>
      </c>
      <c r="J53" s="2">
        <f t="shared" si="6"/>
        <v>15</v>
      </c>
      <c r="K53" s="13">
        <v>204</v>
      </c>
      <c r="L53" s="2">
        <f t="shared" si="7"/>
        <v>5</v>
      </c>
      <c r="M53" s="2">
        <f t="shared" si="8"/>
        <v>63</v>
      </c>
      <c r="N53" s="2">
        <f t="shared" si="9"/>
        <v>6</v>
      </c>
      <c r="P53" s="168">
        <f t="shared" si="10"/>
        <v>65</v>
      </c>
      <c r="AS53" s="13"/>
      <c r="AT53" s="19">
        <v>3</v>
      </c>
      <c r="AU53" s="14">
        <v>15</v>
      </c>
      <c r="AV53" s="14" t="s">
        <v>82</v>
      </c>
      <c r="AW53" s="13"/>
      <c r="AX53" s="13"/>
      <c r="AY53" s="19">
        <v>63</v>
      </c>
      <c r="AZ53" s="34">
        <v>6</v>
      </c>
      <c r="BA53" s="104" t="s">
        <v>280</v>
      </c>
      <c r="BB53" s="13" t="s">
        <v>28</v>
      </c>
      <c r="BF53" s="13" t="s">
        <v>510</v>
      </c>
    </row>
    <row r="54" spans="1:58" ht="14.25" x14ac:dyDescent="0.2">
      <c r="A54" t="str">
        <f t="shared" si="0"/>
        <v>A980</v>
      </c>
      <c r="B54" s="2" t="s">
        <v>657</v>
      </c>
      <c r="C54">
        <f t="shared" si="1"/>
        <v>3.6</v>
      </c>
      <c r="D54" t="str">
        <f t="shared" si="2"/>
        <v>UFD</v>
      </c>
      <c r="E54" s="169" t="str">
        <f>IF(OR(A54="",B54="",C54=""),"eine der Spalten BAB, FR, km leer?",CONCATENATE(VLOOKUP(VALUE(I54),[1]Grundlage!$A$1:$B$14,2,0),IF(LEFT(A54,1)="A",IF(VALUE(MID(A54,2,10))&lt;10,"A00"&amp;VALUE(MID(A54,2,10)),IF(VALUE(MID(A54,2,10))&lt;100,"A0"&amp;VALUE(MID(A54,2,10)),IF(VALUE(MID(A54,2,10))&lt;1000,"A"&amp;VALUE(MID(A54,2,10))))),IF(LEFT(A54,1)="B",IF(VALUE(MID(A54,2,10))&lt;10,"B00"&amp;VALUE(MID(A54,2,10)),IF(VALUE(MID(A54,2,10))&lt;100,"B0"&amp;VALUE(MID(A54,2,10)),IF(VALUE(MID(A54,2,10))&lt;1000,"B"&amp;VALUE(MID(A54,2,10))))),A54)),"_",IF(NOT(OR(C54=1000,C54&gt;1000)),MID(TEXT((C54+1000)*1000,0),2,6),"keine Meter in Spalte km!!!"),IF(VALUE(I54)=1,CONCATENATE("_",VLOOKUP(IF(V54&gt;0,V54,J54),[1]Grundlage!$A$20:$B$181,2,0)),CONCATENATE("_",B54))))</f>
        <v>UQ_A980_003600_W</v>
      </c>
      <c r="F54" s="2" t="s">
        <v>29</v>
      </c>
      <c r="G54" s="167">
        <f t="shared" si="13"/>
        <v>38309</v>
      </c>
      <c r="H54">
        <f t="shared" si="14"/>
        <v>17</v>
      </c>
      <c r="I54" s="2">
        <f t="shared" si="5"/>
        <v>3</v>
      </c>
      <c r="J54" s="2">
        <f t="shared" si="6"/>
        <v>19</v>
      </c>
      <c r="K54" s="13">
        <v>204</v>
      </c>
      <c r="L54" s="2">
        <f t="shared" si="7"/>
        <v>5</v>
      </c>
      <c r="M54" s="2">
        <f t="shared" si="8"/>
        <v>63</v>
      </c>
      <c r="N54" s="2">
        <f t="shared" si="9"/>
        <v>7</v>
      </c>
      <c r="P54" s="168">
        <f t="shared" si="10"/>
        <v>49</v>
      </c>
      <c r="AS54" s="13"/>
      <c r="AT54" s="19">
        <v>3</v>
      </c>
      <c r="AU54" s="14">
        <v>19</v>
      </c>
      <c r="AV54" s="14">
        <v>13</v>
      </c>
      <c r="AW54" s="13"/>
      <c r="AX54" s="13"/>
      <c r="AY54" s="19">
        <v>63</v>
      </c>
      <c r="AZ54" s="34">
        <v>7</v>
      </c>
      <c r="BA54" s="104" t="s">
        <v>281</v>
      </c>
      <c r="BB54" s="13" t="s">
        <v>29</v>
      </c>
      <c r="BF54" s="13" t="s">
        <v>511</v>
      </c>
    </row>
    <row r="55" spans="1:58" ht="14.25" x14ac:dyDescent="0.2">
      <c r="A55" t="str">
        <f t="shared" si="0"/>
        <v>A980</v>
      </c>
      <c r="B55" s="2" t="s">
        <v>657</v>
      </c>
      <c r="C55">
        <f t="shared" si="1"/>
        <v>3.6</v>
      </c>
      <c r="D55" t="str">
        <f t="shared" si="2"/>
        <v>UFD</v>
      </c>
      <c r="E55" s="169" t="str">
        <f>IF(OR(A55="",B55="",C55=""),"eine der Spalten BAB, FR, km leer?",CONCATENATE(VLOOKUP(VALUE(I55),[1]Grundlage!$A$1:$B$14,2,0),IF(LEFT(A55,1)="A",IF(VALUE(MID(A55,2,10))&lt;10,"A00"&amp;VALUE(MID(A55,2,10)),IF(VALUE(MID(A55,2,10))&lt;100,"A0"&amp;VALUE(MID(A55,2,10)),IF(VALUE(MID(A55,2,10))&lt;1000,"A"&amp;VALUE(MID(A55,2,10))))),IF(LEFT(A55,1)="B",IF(VALUE(MID(A55,2,10))&lt;10,"B00"&amp;VALUE(MID(A55,2,10)),IF(VALUE(MID(A55,2,10))&lt;100,"B0"&amp;VALUE(MID(A55,2,10)),IF(VALUE(MID(A55,2,10))&lt;1000,"B"&amp;VALUE(MID(A55,2,10))))),A55)),"_",IF(NOT(OR(C55=1000,C55&gt;1000)),MID(TEXT((C55+1000)*1000,0),2,6),"keine Meter in Spalte km!!!"),IF(VALUE(I55)=1,CONCATENATE("_",VLOOKUP(IF(V55&gt;0,V55,J55),[1]Grundlage!$A$20:$B$181,2,0)),CONCATENATE("_",B55))))</f>
        <v>UQ_A980_003600_W</v>
      </c>
      <c r="F55" s="2" t="s">
        <v>30</v>
      </c>
      <c r="G55" s="167">
        <f t="shared" si="13"/>
        <v>38309</v>
      </c>
      <c r="H55">
        <f t="shared" si="14"/>
        <v>17</v>
      </c>
      <c r="I55" s="2">
        <f t="shared" si="5"/>
        <v>3</v>
      </c>
      <c r="J55" s="2">
        <f t="shared" si="6"/>
        <v>21</v>
      </c>
      <c r="K55" s="13">
        <v>204</v>
      </c>
      <c r="L55" s="2">
        <f t="shared" si="7"/>
        <v>5</v>
      </c>
      <c r="M55" s="2">
        <f t="shared" si="8"/>
        <v>63</v>
      </c>
      <c r="N55" s="2">
        <f t="shared" si="9"/>
        <v>8</v>
      </c>
      <c r="P55" s="168">
        <f t="shared" si="10"/>
        <v>67</v>
      </c>
      <c r="AS55" s="13"/>
      <c r="AT55" s="19">
        <v>3</v>
      </c>
      <c r="AU55" s="14">
        <v>21</v>
      </c>
      <c r="AV55" s="14">
        <v>15</v>
      </c>
      <c r="AW55" s="13"/>
      <c r="AX55" s="13"/>
      <c r="AY55" s="19">
        <v>63</v>
      </c>
      <c r="AZ55" s="34">
        <v>8</v>
      </c>
      <c r="BA55" s="104" t="s">
        <v>282</v>
      </c>
      <c r="BB55" s="13" t="s">
        <v>30</v>
      </c>
      <c r="BF55" s="13" t="s">
        <v>512</v>
      </c>
    </row>
    <row r="56" spans="1:58" ht="14.25" x14ac:dyDescent="0.2">
      <c r="A56" t="str">
        <f t="shared" si="0"/>
        <v>A980</v>
      </c>
      <c r="B56" s="2" t="s">
        <v>657</v>
      </c>
      <c r="C56">
        <f t="shared" si="1"/>
        <v>3.6</v>
      </c>
      <c r="D56" t="str">
        <f t="shared" si="2"/>
        <v>UFD</v>
      </c>
      <c r="E56" s="169" t="str">
        <f>IF(OR(A56="",B56="",C56=""),"eine der Spalten BAB, FR, km leer?",CONCATENATE(VLOOKUP(VALUE(I56),[1]Grundlage!$A$1:$B$14,2,0),IF(LEFT(A56,1)="A",IF(VALUE(MID(A56,2,10))&lt;10,"A00"&amp;VALUE(MID(A56,2,10)),IF(VALUE(MID(A56,2,10))&lt;100,"A0"&amp;VALUE(MID(A56,2,10)),IF(VALUE(MID(A56,2,10))&lt;1000,"A"&amp;VALUE(MID(A56,2,10))))),IF(LEFT(A56,1)="B",IF(VALUE(MID(A56,2,10))&lt;10,"B00"&amp;VALUE(MID(A56,2,10)),IF(VALUE(MID(A56,2,10))&lt;100,"B0"&amp;VALUE(MID(A56,2,10)),IF(VALUE(MID(A56,2,10))&lt;1000,"B"&amp;VALUE(MID(A56,2,10))))),A56)),"_",IF(NOT(OR(C56=1000,C56&gt;1000)),MID(TEXT((C56+1000)*1000,0),2,6),"keine Meter in Spalte km!!!"),IF(VALUE(I56)=1,CONCATENATE("_",VLOOKUP(IF(V56&gt;0,V56,J56),[1]Grundlage!$A$20:$B$181,2,0)),CONCATENATE("_",B56))))</f>
        <v>UQ_A980_003600_W</v>
      </c>
      <c r="F56" s="2" t="s">
        <v>271</v>
      </c>
      <c r="G56" s="167">
        <f t="shared" si="13"/>
        <v>38309</v>
      </c>
      <c r="H56">
        <f t="shared" si="14"/>
        <v>17</v>
      </c>
      <c r="I56" s="2">
        <f t="shared" si="5"/>
        <v>3</v>
      </c>
      <c r="J56" s="2">
        <f t="shared" si="6"/>
        <v>67</v>
      </c>
      <c r="K56" s="13">
        <v>204</v>
      </c>
      <c r="L56" s="2">
        <f t="shared" si="7"/>
        <v>5</v>
      </c>
      <c r="M56" s="2">
        <f t="shared" si="8"/>
        <v>1</v>
      </c>
      <c r="N56" s="2">
        <f t="shared" si="9"/>
        <v>9</v>
      </c>
      <c r="P56" s="168">
        <f t="shared" si="10"/>
        <v>53</v>
      </c>
      <c r="AS56" s="13"/>
      <c r="AT56" s="19">
        <v>3</v>
      </c>
      <c r="AU56" s="14">
        <v>67</v>
      </c>
      <c r="AV56" s="14">
        <v>43</v>
      </c>
      <c r="AW56" s="13"/>
      <c r="AX56" s="13"/>
      <c r="AY56" s="19">
        <v>1</v>
      </c>
      <c r="AZ56" s="14">
        <v>9</v>
      </c>
      <c r="BA56" s="14">
        <v>9</v>
      </c>
      <c r="BB56" s="13" t="s">
        <v>271</v>
      </c>
      <c r="BF56" s="13" t="s">
        <v>444</v>
      </c>
    </row>
    <row r="57" spans="1:58" ht="14.25" x14ac:dyDescent="0.2">
      <c r="A57" t="str">
        <f t="shared" si="0"/>
        <v>A980</v>
      </c>
      <c r="B57" s="2" t="s">
        <v>657</v>
      </c>
      <c r="C57">
        <f t="shared" si="1"/>
        <v>3.6</v>
      </c>
      <c r="D57" t="str">
        <f t="shared" si="2"/>
        <v>UFD</v>
      </c>
      <c r="E57" s="169" t="str">
        <f>IF(OR(A57="",B57="",C57=""),"eine der Spalten BAB, FR, km leer?",CONCATENATE(VLOOKUP(VALUE(I57),[1]Grundlage!$A$1:$B$14,2,0),IF(LEFT(A57,1)="A",IF(VALUE(MID(A57,2,10))&lt;10,"A00"&amp;VALUE(MID(A57,2,10)),IF(VALUE(MID(A57,2,10))&lt;100,"A0"&amp;VALUE(MID(A57,2,10)),IF(VALUE(MID(A57,2,10))&lt;1000,"A"&amp;VALUE(MID(A57,2,10))))),IF(LEFT(A57,1)="B",IF(VALUE(MID(A57,2,10))&lt;10,"B00"&amp;VALUE(MID(A57,2,10)),IF(VALUE(MID(A57,2,10))&lt;100,"B0"&amp;VALUE(MID(A57,2,10)),IF(VALUE(MID(A57,2,10))&lt;1000,"B"&amp;VALUE(MID(A57,2,10))))),A57)),"_",IF(NOT(OR(C57=1000,C57&gt;1000)),MID(TEXT((C57+1000)*1000,0),2,6),"keine Meter in Spalte km!!!"),IF(VALUE(I57)=1,CONCATENATE("_",VLOOKUP(IF(V57&gt;0,V57,J57),[1]Grundlage!$A$20:$B$181,2,0)),CONCATENATE("_",B57))))</f>
        <v>UQ_A980_003600_W</v>
      </c>
      <c r="F57" s="2" t="s">
        <v>272</v>
      </c>
      <c r="G57" s="167">
        <f t="shared" si="13"/>
        <v>38309</v>
      </c>
      <c r="H57">
        <f t="shared" si="14"/>
        <v>17</v>
      </c>
      <c r="I57" s="2">
        <f t="shared" si="5"/>
        <v>3</v>
      </c>
      <c r="J57" s="2">
        <f t="shared" si="6"/>
        <v>82</v>
      </c>
      <c r="K57" s="13">
        <v>204</v>
      </c>
      <c r="L57" s="2">
        <f t="shared" si="7"/>
        <v>5</v>
      </c>
      <c r="M57" s="2">
        <f t="shared" si="8"/>
        <v>1</v>
      </c>
      <c r="N57" s="2">
        <f t="shared" si="9"/>
        <v>10</v>
      </c>
      <c r="P57" s="168">
        <f t="shared" si="10"/>
        <v>72</v>
      </c>
      <c r="AS57" s="13"/>
      <c r="AT57" s="19">
        <v>3</v>
      </c>
      <c r="AU57" s="14">
        <v>82</v>
      </c>
      <c r="AV57" s="14">
        <v>52</v>
      </c>
      <c r="AW57" s="13"/>
      <c r="AX57" s="13"/>
      <c r="AY57" s="19">
        <v>1</v>
      </c>
      <c r="AZ57" s="14">
        <v>10</v>
      </c>
      <c r="BA57" s="14" t="s">
        <v>95</v>
      </c>
      <c r="BB57" s="13" t="s">
        <v>272</v>
      </c>
      <c r="BF57" s="13" t="s">
        <v>513</v>
      </c>
    </row>
    <row r="58" spans="1:58" ht="14.25" x14ac:dyDescent="0.2">
      <c r="A58" t="str">
        <f t="shared" si="0"/>
        <v>A980</v>
      </c>
      <c r="C58">
        <f t="shared" si="1"/>
        <v>3.6</v>
      </c>
      <c r="D58" t="str">
        <f t="shared" si="2"/>
        <v/>
      </c>
      <c r="E58" s="169" t="str">
        <f>IF(OR(A58="",B58="",C58=""),"",CONCATENATE(VLOOKUP(VALUE(I58),[1]Grundlage!$A$1:$B$14,2,0),IF(LEFT(A58,1)="A",IF(VALUE(MID(A58,2,10))&lt;10,"A00"&amp;VALUE(MID(A58,2,10)),IF(VALUE(MID(A58,2,10))&lt;100,"A0"&amp;VALUE(MID(A58,2,10)),IF(VALUE(MID(A58,2,10))&lt;1000,"A"&amp;VALUE(MID(A58,2,10))))),IF(LEFT(A58,1)="B",IF(VALUE(MID(A58,2,10))&lt;10,"B00"&amp;VALUE(MID(A58,2,10)),IF(VALUE(MID(A58,2,10))&lt;100,"B0"&amp;VALUE(MID(A58,2,10)),IF(VALUE(MID(A58,2,10))&lt;1000,"B"&amp;VALUE(MID(A58,2,10))))),A58)),"_",IF(NOT(OR(C58=1000,C58&gt;1000)),MID(TEXT((C58+1000)*1000,0),2,6),"keine Meter in Spalte km!!!"),IF(VALUE(I58)=1,CONCATENATE("_",VLOOKUP(IF(V58&gt;0,V58,J58),[1]Grundlage!$A$20:$B$181,2,0)),CONCATENATE("_",B58))))</f>
        <v/>
      </c>
      <c r="F58" s="2" t="s">
        <v>669</v>
      </c>
      <c r="G58" s="167">
        <f t="shared" si="13"/>
        <v>38309</v>
      </c>
      <c r="H58">
        <f t="shared" si="14"/>
        <v>17</v>
      </c>
      <c r="I58" s="2">
        <f t="shared" si="5"/>
        <v>0</v>
      </c>
      <c r="J58" s="2">
        <f t="shared" si="6"/>
        <v>0</v>
      </c>
      <c r="K58" s="13">
        <v>204</v>
      </c>
      <c r="L58" s="2">
        <f t="shared" si="7"/>
        <v>5</v>
      </c>
      <c r="M58" s="2" t="str">
        <f t="shared" si="8"/>
        <v/>
      </c>
      <c r="N58" s="2" t="str">
        <f t="shared" si="9"/>
        <v/>
      </c>
      <c r="P58" s="168" t="str">
        <f t="shared" si="10"/>
        <v/>
      </c>
      <c r="AT58" s="1"/>
      <c r="AU58" s="11"/>
      <c r="AV58" s="11"/>
      <c r="AZ58" s="31"/>
      <c r="BA58" s="32"/>
    </row>
    <row r="59" spans="1:58" ht="14.25" x14ac:dyDescent="0.2">
      <c r="A59" t="str">
        <f t="shared" si="0"/>
        <v>A980</v>
      </c>
      <c r="B59" s="2" t="s">
        <v>657</v>
      </c>
      <c r="C59">
        <f t="shared" si="1"/>
        <v>8.9</v>
      </c>
      <c r="D59" t="str">
        <f t="shared" si="2"/>
        <v>SS</v>
      </c>
      <c r="E59" s="169" t="str">
        <f>IF(OR(A59="",B59="",C59=""),"eine der Spalten BAB, FR, km leer?",CONCATENATE(VLOOKUP(VALUE(I59),[1]Grundlage!$A$1:$B$14,2,0),IF(LEFT(A59,1)="A",IF(VALUE(MID(A59,2,10))&lt;10,"A00"&amp;VALUE(MID(A59,2,10)),IF(VALUE(MID(A59,2,10))&lt;100,"A0"&amp;VALUE(MID(A59,2,10)),IF(VALUE(MID(A59,2,10))&lt;1000,"A"&amp;VALUE(MID(A59,2,10))))),IF(LEFT(A59,1)="B",IF(VALUE(MID(A59,2,10))&lt;10,"B00"&amp;VALUE(MID(A59,2,10)),IF(VALUE(MID(A59,2,10))&lt;100,"B0"&amp;VALUE(MID(A59,2,10)),IF(VALUE(MID(A59,2,10))&lt;1000,"B"&amp;VALUE(MID(A59,2,10))))),A59)),"_",IF(NOT(OR(C59=1000,C59&gt;1000)),MID(TEXT((C59+1000)*1000,0),2,6),"keine Meter in Spalte km!!!"),IF(VALUE(I59)=1,CONCATENATE("_",VLOOKUP(IF(V59&gt;0,V59,J59),[1]Grundlage!$A$20:$B$181,2,0)),CONCATENATE("_",B59))))</f>
        <v>SSt_A980_008900_W</v>
      </c>
      <c r="F59" s="2" t="s">
        <v>38</v>
      </c>
      <c r="G59" s="167">
        <f t="shared" si="13"/>
        <v>38315</v>
      </c>
      <c r="H59">
        <f t="shared" si="14"/>
        <v>130</v>
      </c>
      <c r="I59" s="2">
        <f t="shared" si="5"/>
        <v>254</v>
      </c>
      <c r="J59" s="2">
        <f t="shared" si="6"/>
        <v>0</v>
      </c>
      <c r="K59" s="13">
        <v>204</v>
      </c>
      <c r="L59" s="2">
        <f t="shared" si="7"/>
        <v>6</v>
      </c>
      <c r="M59" s="2" t="str">
        <f t="shared" si="8"/>
        <v/>
      </c>
      <c r="N59" s="2" t="str">
        <f t="shared" si="9"/>
        <v/>
      </c>
      <c r="P59" s="168" t="str">
        <f t="shared" si="10"/>
        <v/>
      </c>
      <c r="AI59" s="35">
        <v>8.9</v>
      </c>
      <c r="AJ59" s="36" t="s">
        <v>19</v>
      </c>
      <c r="AK59" s="36" t="s">
        <v>36</v>
      </c>
      <c r="AL59" s="36"/>
      <c r="AM59" s="36"/>
      <c r="AN59" s="36"/>
      <c r="AO59" s="36"/>
      <c r="AP59" s="42">
        <v>9808770</v>
      </c>
      <c r="AQ59" s="42">
        <v>95</v>
      </c>
      <c r="AR59" s="42" t="s">
        <v>215</v>
      </c>
      <c r="AS59" s="42">
        <v>82</v>
      </c>
      <c r="AT59" s="36"/>
      <c r="AU59" s="36"/>
      <c r="AV59" s="36"/>
      <c r="AW59" s="36"/>
      <c r="AX59" s="36">
        <v>6</v>
      </c>
      <c r="AY59" s="36"/>
      <c r="AZ59" s="36"/>
      <c r="BA59" s="36"/>
      <c r="BB59" s="37" t="s">
        <v>38</v>
      </c>
      <c r="BC59" s="45"/>
      <c r="BD59" s="99" t="s">
        <v>163</v>
      </c>
      <c r="BE59" s="39" t="s">
        <v>35</v>
      </c>
      <c r="BF59" s="2" t="s">
        <v>449</v>
      </c>
    </row>
    <row r="60" spans="1:58" ht="14.25" x14ac:dyDescent="0.2">
      <c r="A60" t="str">
        <f t="shared" si="0"/>
        <v>A980</v>
      </c>
      <c r="B60" s="2" t="s">
        <v>657</v>
      </c>
      <c r="C60">
        <f t="shared" si="1"/>
        <v>8.9</v>
      </c>
      <c r="D60" t="str">
        <f t="shared" si="2"/>
        <v>UFD</v>
      </c>
      <c r="E60" s="169" t="str">
        <f>IF(OR(A60="",B60="",C60=""),"eine der Spalten BAB, FR, km leer?",CONCATENATE(VLOOKUP(VALUE(I60),[1]Grundlage!$A$1:$B$14,2,0),IF(LEFT(A60,1)="A",IF(VALUE(MID(A60,2,10))&lt;10,"A00"&amp;VALUE(MID(A60,2,10)),IF(VALUE(MID(A60,2,10))&lt;100,"A0"&amp;VALUE(MID(A60,2,10)),IF(VALUE(MID(A60,2,10))&lt;1000,"A"&amp;VALUE(MID(A60,2,10))))),IF(LEFT(A60,1)="B",IF(VALUE(MID(A60,2,10))&lt;10,"B00"&amp;VALUE(MID(A60,2,10)),IF(VALUE(MID(A60,2,10))&lt;100,"B0"&amp;VALUE(MID(A60,2,10)),IF(VALUE(MID(A60,2,10))&lt;1000,"B"&amp;VALUE(MID(A60,2,10))))),A60)),"_",IF(NOT(OR(C60=1000,C60&gt;1000)),MID(TEXT((C60+1000)*1000,0),2,6),"keine Meter in Spalte km!!!"),IF(VALUE(I60)=1,CONCATENATE("_",VLOOKUP(IF(V60&gt;0,V60,J60),[1]Grundlage!$A$20:$B$181,2,0)),CONCATENATE("_",B60))))</f>
        <v>UQ_A980_008900_W</v>
      </c>
      <c r="F60" s="2" t="s">
        <v>269</v>
      </c>
      <c r="G60" s="167">
        <f t="shared" si="13"/>
        <v>38315</v>
      </c>
      <c r="H60">
        <f t="shared" si="14"/>
        <v>130</v>
      </c>
      <c r="I60" s="2">
        <f t="shared" si="5"/>
        <v>3</v>
      </c>
      <c r="J60" s="2">
        <f t="shared" si="6"/>
        <v>6</v>
      </c>
      <c r="K60" s="13">
        <v>204</v>
      </c>
      <c r="L60" s="2">
        <f t="shared" si="7"/>
        <v>6</v>
      </c>
      <c r="M60" s="2">
        <f t="shared" si="8"/>
        <v>1</v>
      </c>
      <c r="N60" s="2">
        <f t="shared" si="9"/>
        <v>1</v>
      </c>
      <c r="P60" s="168">
        <f t="shared" si="10"/>
        <v>71</v>
      </c>
      <c r="AP60" s="40"/>
      <c r="AQ60" s="40"/>
      <c r="AR60" s="40"/>
      <c r="AS60" s="40"/>
      <c r="AT60" s="19">
        <v>3</v>
      </c>
      <c r="AU60" s="14">
        <v>6</v>
      </c>
      <c r="AV60" s="27">
        <v>6</v>
      </c>
      <c r="AW60" s="19"/>
      <c r="AX60" s="19"/>
      <c r="AY60" s="19">
        <v>1</v>
      </c>
      <c r="AZ60" s="14">
        <v>1</v>
      </c>
      <c r="BA60" s="27">
        <v>1</v>
      </c>
      <c r="BB60" s="13" t="s">
        <v>269</v>
      </c>
      <c r="BC60" s="30"/>
      <c r="BD60" s="30"/>
      <c r="BF60" s="2" t="s">
        <v>440</v>
      </c>
    </row>
    <row r="61" spans="1:58" ht="14.25" x14ac:dyDescent="0.2">
      <c r="A61" t="str">
        <f t="shared" si="0"/>
        <v>A980</v>
      </c>
      <c r="B61" s="2" t="s">
        <v>657</v>
      </c>
      <c r="C61">
        <f t="shared" si="1"/>
        <v>8.9</v>
      </c>
      <c r="D61" t="str">
        <f t="shared" si="2"/>
        <v>UFD</v>
      </c>
      <c r="E61" s="169" t="str">
        <f>IF(OR(A61="",B61="",C61=""),"eine der Spalten BAB, FR, km leer?",CONCATENATE(VLOOKUP(VALUE(I61),[1]Grundlage!$A$1:$B$14,2,0),IF(LEFT(A61,1)="A",IF(VALUE(MID(A61,2,10))&lt;10,"A00"&amp;VALUE(MID(A61,2,10)),IF(VALUE(MID(A61,2,10))&lt;100,"A0"&amp;VALUE(MID(A61,2,10)),IF(VALUE(MID(A61,2,10))&lt;1000,"A"&amp;VALUE(MID(A61,2,10))))),IF(LEFT(A61,1)="B",IF(VALUE(MID(A61,2,10))&lt;10,"B00"&amp;VALUE(MID(A61,2,10)),IF(VALUE(MID(A61,2,10))&lt;100,"B0"&amp;VALUE(MID(A61,2,10)),IF(VALUE(MID(A61,2,10))&lt;1000,"B"&amp;VALUE(MID(A61,2,10))))),A61)),"_",IF(NOT(OR(C61=1000,C61&gt;1000)),MID(TEXT((C61+1000)*1000,0),2,6),"keine Meter in Spalte km!!!"),IF(VALUE(I61)=1,CONCATENATE("_",VLOOKUP(IF(V61&gt;0,V61,J61),[1]Grundlage!$A$20:$B$181,2,0)),CONCATENATE("_",B61))))</f>
        <v>UQ_A980_008900_W</v>
      </c>
      <c r="F61" s="2" t="s">
        <v>270</v>
      </c>
      <c r="G61" s="167">
        <f t="shared" si="13"/>
        <v>38315</v>
      </c>
      <c r="H61">
        <f t="shared" si="14"/>
        <v>130</v>
      </c>
      <c r="I61" s="2">
        <f t="shared" si="5"/>
        <v>3</v>
      </c>
      <c r="J61" s="2">
        <f t="shared" si="6"/>
        <v>11</v>
      </c>
      <c r="K61" s="13">
        <v>204</v>
      </c>
      <c r="L61" s="2">
        <f t="shared" si="7"/>
        <v>6</v>
      </c>
      <c r="M61" s="2">
        <f t="shared" si="8"/>
        <v>1</v>
      </c>
      <c r="N61" s="2">
        <f t="shared" si="9"/>
        <v>2</v>
      </c>
      <c r="P61" s="168">
        <f t="shared" si="10"/>
        <v>70</v>
      </c>
      <c r="AT61" s="19">
        <v>3</v>
      </c>
      <c r="AU61" s="14">
        <v>11</v>
      </c>
      <c r="AV61" s="14" t="s">
        <v>78</v>
      </c>
      <c r="AW61" s="13"/>
      <c r="AX61" s="13"/>
      <c r="AY61" s="19">
        <v>1</v>
      </c>
      <c r="AZ61" s="14">
        <v>2</v>
      </c>
      <c r="BA61" s="14">
        <v>2</v>
      </c>
      <c r="BB61" s="13" t="s">
        <v>270</v>
      </c>
      <c r="BF61" s="2" t="s">
        <v>509</v>
      </c>
    </row>
    <row r="62" spans="1:58" ht="14.25" x14ac:dyDescent="0.2">
      <c r="A62" t="str">
        <f t="shared" si="0"/>
        <v>A980</v>
      </c>
      <c r="B62" s="2" t="s">
        <v>657</v>
      </c>
      <c r="C62">
        <f t="shared" si="1"/>
        <v>8.9</v>
      </c>
      <c r="D62" t="str">
        <f t="shared" si="2"/>
        <v>UFD</v>
      </c>
      <c r="E62" s="169" t="str">
        <f>IF(OR(A62="",B62="",C62=""),"eine der Spalten BAB, FR, km leer?",CONCATENATE(VLOOKUP(VALUE(I62),[1]Grundlage!$A$1:$B$14,2,0),IF(LEFT(A62,1)="A",IF(VALUE(MID(A62,2,10))&lt;10,"A00"&amp;VALUE(MID(A62,2,10)),IF(VALUE(MID(A62,2,10))&lt;100,"A0"&amp;VALUE(MID(A62,2,10)),IF(VALUE(MID(A62,2,10))&lt;1000,"A"&amp;VALUE(MID(A62,2,10))))),IF(LEFT(A62,1)="B",IF(VALUE(MID(A62,2,10))&lt;10,"B00"&amp;VALUE(MID(A62,2,10)),IF(VALUE(MID(A62,2,10))&lt;100,"B0"&amp;VALUE(MID(A62,2,10)),IF(VALUE(MID(A62,2,10))&lt;1000,"B"&amp;VALUE(MID(A62,2,10))))),A62)),"_",IF(NOT(OR(C62=1000,C62&gt;1000)),MID(TEXT((C62+1000)*1000,0),2,6),"keine Meter in Spalte km!!!"),IF(VALUE(I62)=1,CONCATENATE("_",VLOOKUP(IF(V62&gt;0,V62,J62),[1]Grundlage!$A$20:$B$181,2,0)),CONCATENATE("_",B62))))</f>
        <v>UQ_A980_008900_W</v>
      </c>
      <c r="F62" s="2" t="s">
        <v>25</v>
      </c>
      <c r="G62" s="167">
        <f t="shared" si="13"/>
        <v>38315</v>
      </c>
      <c r="H62">
        <f t="shared" si="14"/>
        <v>130</v>
      </c>
      <c r="I62" s="2">
        <f t="shared" si="5"/>
        <v>3</v>
      </c>
      <c r="J62" s="2">
        <f t="shared" si="6"/>
        <v>12</v>
      </c>
      <c r="K62" s="13">
        <v>204</v>
      </c>
      <c r="L62" s="2">
        <f t="shared" si="7"/>
        <v>6</v>
      </c>
      <c r="M62" s="2">
        <f t="shared" si="8"/>
        <v>63</v>
      </c>
      <c r="N62" s="2">
        <f t="shared" si="9"/>
        <v>3</v>
      </c>
      <c r="P62" s="168">
        <f t="shared" si="10"/>
        <v>48</v>
      </c>
      <c r="AT62" s="19">
        <v>3</v>
      </c>
      <c r="AU62" s="14">
        <v>12</v>
      </c>
      <c r="AV62" s="14" t="s">
        <v>79</v>
      </c>
      <c r="AW62" s="13"/>
      <c r="AX62" s="13"/>
      <c r="AY62" s="19">
        <v>63</v>
      </c>
      <c r="AZ62" s="34">
        <v>3</v>
      </c>
      <c r="BA62" s="104" t="s">
        <v>278</v>
      </c>
      <c r="BB62" s="101" t="s">
        <v>25</v>
      </c>
      <c r="BC62" s="30"/>
      <c r="BD62" s="30"/>
      <c r="BF62" s="13" t="s">
        <v>441</v>
      </c>
    </row>
    <row r="63" spans="1:58" ht="14.25" x14ac:dyDescent="0.2">
      <c r="A63" t="str">
        <f t="shared" si="0"/>
        <v>A980</v>
      </c>
      <c r="B63" s="2" t="s">
        <v>657</v>
      </c>
      <c r="C63">
        <f t="shared" si="1"/>
        <v>8.9</v>
      </c>
      <c r="D63" t="str">
        <f t="shared" si="2"/>
        <v>UFD</v>
      </c>
      <c r="E63" s="169" t="str">
        <f>IF(OR(A63="",B63="",C63=""),"eine der Spalten BAB, FR, km leer?",CONCATENATE(VLOOKUP(VALUE(I63),[1]Grundlage!$A$1:$B$14,2,0),IF(LEFT(A63,1)="A",IF(VALUE(MID(A63,2,10))&lt;10,"A00"&amp;VALUE(MID(A63,2,10)),IF(VALUE(MID(A63,2,10))&lt;100,"A0"&amp;VALUE(MID(A63,2,10)),IF(VALUE(MID(A63,2,10))&lt;1000,"A"&amp;VALUE(MID(A63,2,10))))),IF(LEFT(A63,1)="B",IF(VALUE(MID(A63,2,10))&lt;10,"B00"&amp;VALUE(MID(A63,2,10)),IF(VALUE(MID(A63,2,10))&lt;100,"B0"&amp;VALUE(MID(A63,2,10)),IF(VALUE(MID(A63,2,10))&lt;1000,"B"&amp;VALUE(MID(A63,2,10))))),A63)),"_",IF(NOT(OR(C63=1000,C63&gt;1000)),MID(TEXT((C63+1000)*1000,0),2,6),"keine Meter in Spalte km!!!"),IF(VALUE(I63)=1,CONCATENATE("_",VLOOKUP(IF(V63&gt;0,V63,J63),[1]Grundlage!$A$20:$B$181,2,0)),CONCATENATE("_",B63))))</f>
        <v>UQ_A980_008900_W</v>
      </c>
      <c r="F63" s="2" t="s">
        <v>26</v>
      </c>
      <c r="G63" s="167">
        <f t="shared" si="13"/>
        <v>38315</v>
      </c>
      <c r="H63">
        <f t="shared" si="14"/>
        <v>130</v>
      </c>
      <c r="I63" s="2">
        <f t="shared" si="5"/>
        <v>3</v>
      </c>
      <c r="J63" s="2">
        <f t="shared" si="6"/>
        <v>13</v>
      </c>
      <c r="K63" s="13">
        <v>204</v>
      </c>
      <c r="L63" s="2">
        <f t="shared" si="7"/>
        <v>6</v>
      </c>
      <c r="M63" s="2">
        <f t="shared" si="8"/>
        <v>63</v>
      </c>
      <c r="N63" s="2">
        <f t="shared" si="9"/>
        <v>4</v>
      </c>
      <c r="P63" s="168">
        <f t="shared" si="10"/>
        <v>55</v>
      </c>
      <c r="AT63" s="19">
        <v>3</v>
      </c>
      <c r="AU63" s="14">
        <v>13</v>
      </c>
      <c r="AV63" s="14" t="s">
        <v>80</v>
      </c>
      <c r="AW63" s="13"/>
      <c r="AX63" s="13"/>
      <c r="AY63" s="19">
        <v>63</v>
      </c>
      <c r="AZ63" s="34">
        <v>4</v>
      </c>
      <c r="BA63" s="104" t="s">
        <v>277</v>
      </c>
      <c r="BB63" s="101" t="s">
        <v>26</v>
      </c>
      <c r="BC63" s="30"/>
      <c r="BD63" s="30"/>
      <c r="BF63" s="13" t="s">
        <v>442</v>
      </c>
    </row>
    <row r="64" spans="1:58" ht="14.25" x14ac:dyDescent="0.2">
      <c r="A64" t="str">
        <f t="shared" si="0"/>
        <v>A980</v>
      </c>
      <c r="B64" s="2" t="s">
        <v>657</v>
      </c>
      <c r="C64">
        <f t="shared" si="1"/>
        <v>8.9</v>
      </c>
      <c r="D64" t="str">
        <f t="shared" si="2"/>
        <v>UFD</v>
      </c>
      <c r="E64" s="169" t="str">
        <f>IF(OR(A64="",B64="",C64=""),"eine der Spalten BAB, FR, km leer?",CONCATENATE(VLOOKUP(VALUE(I64),[1]Grundlage!$A$1:$B$14,2,0),IF(LEFT(A64,1)="A",IF(VALUE(MID(A64,2,10))&lt;10,"A00"&amp;VALUE(MID(A64,2,10)),IF(VALUE(MID(A64,2,10))&lt;100,"A0"&amp;VALUE(MID(A64,2,10)),IF(VALUE(MID(A64,2,10))&lt;1000,"A"&amp;VALUE(MID(A64,2,10))))),IF(LEFT(A64,1)="B",IF(VALUE(MID(A64,2,10))&lt;10,"B00"&amp;VALUE(MID(A64,2,10)),IF(VALUE(MID(A64,2,10))&lt;100,"B0"&amp;VALUE(MID(A64,2,10)),IF(VALUE(MID(A64,2,10))&lt;1000,"B"&amp;VALUE(MID(A64,2,10))))),A64)),"_",IF(NOT(OR(C64=1000,C64&gt;1000)),MID(TEXT((C64+1000)*1000,0),2,6),"keine Meter in Spalte km!!!"),IF(VALUE(I64)=1,CONCATENATE("_",VLOOKUP(IF(V64&gt;0,V64,J64),[1]Grundlage!$A$20:$B$181,2,0)),CONCATENATE("_",B64))))</f>
        <v>UQ_A980_008900_W</v>
      </c>
      <c r="F64" s="2" t="s">
        <v>27</v>
      </c>
      <c r="G64" s="167">
        <f t="shared" si="13"/>
        <v>38315</v>
      </c>
      <c r="H64">
        <f t="shared" si="14"/>
        <v>130</v>
      </c>
      <c r="I64" s="2">
        <f t="shared" si="5"/>
        <v>3</v>
      </c>
      <c r="J64" s="2">
        <f t="shared" si="6"/>
        <v>14</v>
      </c>
      <c r="K64" s="13">
        <v>204</v>
      </c>
      <c r="L64" s="2">
        <f t="shared" si="7"/>
        <v>6</v>
      </c>
      <c r="M64" s="2">
        <f t="shared" si="8"/>
        <v>63</v>
      </c>
      <c r="N64" s="2">
        <f t="shared" si="9"/>
        <v>5</v>
      </c>
      <c r="P64" s="168">
        <f t="shared" si="10"/>
        <v>66</v>
      </c>
      <c r="AT64" s="19">
        <v>3</v>
      </c>
      <c r="AU64" s="14">
        <v>14</v>
      </c>
      <c r="AV64" s="14" t="s">
        <v>81</v>
      </c>
      <c r="AW64" s="13"/>
      <c r="AX64" s="13"/>
      <c r="AY64" s="19">
        <v>63</v>
      </c>
      <c r="AZ64" s="34">
        <v>5</v>
      </c>
      <c r="BA64" s="104" t="s">
        <v>279</v>
      </c>
      <c r="BB64" s="101" t="s">
        <v>27</v>
      </c>
      <c r="BC64" s="30"/>
      <c r="BD64" s="30"/>
      <c r="BF64" s="13" t="s">
        <v>443</v>
      </c>
    </row>
    <row r="65" spans="1:58" ht="14.25" x14ac:dyDescent="0.2">
      <c r="A65" t="str">
        <f t="shared" si="0"/>
        <v>A980</v>
      </c>
      <c r="B65" s="2" t="s">
        <v>657</v>
      </c>
      <c r="C65">
        <f t="shared" si="1"/>
        <v>8.9</v>
      </c>
      <c r="D65" t="str">
        <f t="shared" si="2"/>
        <v>UFD</v>
      </c>
      <c r="E65" s="169" t="str">
        <f>IF(OR(A65="",B65="",C65=""),"eine der Spalten BAB, FR, km leer?",CONCATENATE(VLOOKUP(VALUE(I65),[1]Grundlage!$A$1:$B$14,2,0),IF(LEFT(A65,1)="A",IF(VALUE(MID(A65,2,10))&lt;10,"A00"&amp;VALUE(MID(A65,2,10)),IF(VALUE(MID(A65,2,10))&lt;100,"A0"&amp;VALUE(MID(A65,2,10)),IF(VALUE(MID(A65,2,10))&lt;1000,"A"&amp;VALUE(MID(A65,2,10))))),IF(LEFT(A65,1)="B",IF(VALUE(MID(A65,2,10))&lt;10,"B00"&amp;VALUE(MID(A65,2,10)),IF(VALUE(MID(A65,2,10))&lt;100,"B0"&amp;VALUE(MID(A65,2,10)),IF(VALUE(MID(A65,2,10))&lt;1000,"B"&amp;VALUE(MID(A65,2,10))))),A65)),"_",IF(NOT(OR(C65=1000,C65&gt;1000)),MID(TEXT((C65+1000)*1000,0),2,6),"keine Meter in Spalte km!!!"),IF(VALUE(I65)=1,CONCATENATE("_",VLOOKUP(IF(V65&gt;0,V65,J65),[1]Grundlage!$A$20:$B$181,2,0)),CONCATENATE("_",B65))))</f>
        <v>UQ_A980_008900_W</v>
      </c>
      <c r="F65" s="2" t="s">
        <v>28</v>
      </c>
      <c r="G65" s="167">
        <f t="shared" si="13"/>
        <v>38315</v>
      </c>
      <c r="H65">
        <f t="shared" si="14"/>
        <v>130</v>
      </c>
      <c r="I65" s="2">
        <f t="shared" si="5"/>
        <v>3</v>
      </c>
      <c r="J65" s="2">
        <f t="shared" si="6"/>
        <v>15</v>
      </c>
      <c r="K65" s="13">
        <v>204</v>
      </c>
      <c r="L65" s="2">
        <f t="shared" si="7"/>
        <v>6</v>
      </c>
      <c r="M65" s="2">
        <f t="shared" si="8"/>
        <v>63</v>
      </c>
      <c r="N65" s="2">
        <f t="shared" si="9"/>
        <v>6</v>
      </c>
      <c r="P65" s="168">
        <f t="shared" si="10"/>
        <v>65</v>
      </c>
      <c r="AT65" s="19">
        <v>3</v>
      </c>
      <c r="AU65" s="14">
        <v>15</v>
      </c>
      <c r="AV65" s="14" t="s">
        <v>82</v>
      </c>
      <c r="AW65" s="13"/>
      <c r="AX65" s="13"/>
      <c r="AY65" s="19">
        <v>63</v>
      </c>
      <c r="AZ65" s="34">
        <v>6</v>
      </c>
      <c r="BA65" s="104" t="s">
        <v>280</v>
      </c>
      <c r="BB65" s="101" t="s">
        <v>28</v>
      </c>
      <c r="BC65" s="30"/>
      <c r="BD65" s="30"/>
      <c r="BF65" s="13" t="s">
        <v>510</v>
      </c>
    </row>
    <row r="66" spans="1:58" ht="14.25" x14ac:dyDescent="0.2">
      <c r="A66" t="str">
        <f t="shared" si="0"/>
        <v>A980</v>
      </c>
      <c r="B66" s="2" t="s">
        <v>657</v>
      </c>
      <c r="C66">
        <f t="shared" si="1"/>
        <v>8.9</v>
      </c>
      <c r="D66" t="str">
        <f t="shared" si="2"/>
        <v>UFD</v>
      </c>
      <c r="E66" s="169" t="str">
        <f>IF(OR(A66="",B66="",C66=""),"eine der Spalten BAB, FR, km leer?",CONCATENATE(VLOOKUP(VALUE(I66),[1]Grundlage!$A$1:$B$14,2,0),IF(LEFT(A66,1)="A",IF(VALUE(MID(A66,2,10))&lt;10,"A00"&amp;VALUE(MID(A66,2,10)),IF(VALUE(MID(A66,2,10))&lt;100,"A0"&amp;VALUE(MID(A66,2,10)),IF(VALUE(MID(A66,2,10))&lt;1000,"A"&amp;VALUE(MID(A66,2,10))))),IF(LEFT(A66,1)="B",IF(VALUE(MID(A66,2,10))&lt;10,"B00"&amp;VALUE(MID(A66,2,10)),IF(VALUE(MID(A66,2,10))&lt;100,"B0"&amp;VALUE(MID(A66,2,10)),IF(VALUE(MID(A66,2,10))&lt;1000,"B"&amp;VALUE(MID(A66,2,10))))),A66)),"_",IF(NOT(OR(C66=1000,C66&gt;1000)),MID(TEXT((C66+1000)*1000,0),2,6),"keine Meter in Spalte km!!!"),IF(VALUE(I66)=1,CONCATENATE("_",VLOOKUP(IF(V66&gt;0,V66,J66),[1]Grundlage!$A$20:$B$181,2,0)),CONCATENATE("_",B66))))</f>
        <v>UQ_A980_008900_W</v>
      </c>
      <c r="F66" s="2" t="s">
        <v>29</v>
      </c>
      <c r="G66" s="167">
        <f t="shared" si="13"/>
        <v>38315</v>
      </c>
      <c r="H66">
        <f t="shared" si="14"/>
        <v>130</v>
      </c>
      <c r="I66" s="2">
        <f t="shared" si="5"/>
        <v>3</v>
      </c>
      <c r="J66" s="2">
        <f t="shared" si="6"/>
        <v>19</v>
      </c>
      <c r="K66" s="13">
        <v>204</v>
      </c>
      <c r="L66" s="2">
        <f t="shared" si="7"/>
        <v>6</v>
      </c>
      <c r="M66" s="2">
        <f t="shared" si="8"/>
        <v>63</v>
      </c>
      <c r="N66" s="2">
        <f t="shared" si="9"/>
        <v>7</v>
      </c>
      <c r="P66" s="168">
        <f t="shared" si="10"/>
        <v>49</v>
      </c>
      <c r="AT66" s="19">
        <v>3</v>
      </c>
      <c r="AU66" s="14">
        <v>19</v>
      </c>
      <c r="AV66" s="14">
        <v>13</v>
      </c>
      <c r="AW66" s="13"/>
      <c r="AX66" s="13"/>
      <c r="AY66" s="19">
        <v>63</v>
      </c>
      <c r="AZ66" s="34">
        <v>7</v>
      </c>
      <c r="BA66" s="104" t="s">
        <v>281</v>
      </c>
      <c r="BB66" s="101" t="s">
        <v>29</v>
      </c>
      <c r="BC66" s="30"/>
      <c r="BD66" s="30"/>
      <c r="BF66" s="13" t="s">
        <v>511</v>
      </c>
    </row>
    <row r="67" spans="1:58" ht="14.25" x14ac:dyDescent="0.2">
      <c r="A67" t="str">
        <f t="shared" si="0"/>
        <v>A980</v>
      </c>
      <c r="B67" s="2" t="s">
        <v>657</v>
      </c>
      <c r="C67">
        <f t="shared" si="1"/>
        <v>8.9</v>
      </c>
      <c r="D67" t="str">
        <f t="shared" si="2"/>
        <v>UFD</v>
      </c>
      <c r="E67" s="169" t="str">
        <f>IF(OR(A67="",B67="",C67=""),"eine der Spalten BAB, FR, km leer?",CONCATENATE(VLOOKUP(VALUE(I67),[1]Grundlage!$A$1:$B$14,2,0),IF(LEFT(A67,1)="A",IF(VALUE(MID(A67,2,10))&lt;10,"A00"&amp;VALUE(MID(A67,2,10)),IF(VALUE(MID(A67,2,10))&lt;100,"A0"&amp;VALUE(MID(A67,2,10)),IF(VALUE(MID(A67,2,10))&lt;1000,"A"&amp;VALUE(MID(A67,2,10))))),IF(LEFT(A67,1)="B",IF(VALUE(MID(A67,2,10))&lt;10,"B00"&amp;VALUE(MID(A67,2,10)),IF(VALUE(MID(A67,2,10))&lt;100,"B0"&amp;VALUE(MID(A67,2,10)),IF(VALUE(MID(A67,2,10))&lt;1000,"B"&amp;VALUE(MID(A67,2,10))))),A67)),"_",IF(NOT(OR(C67=1000,C67&gt;1000)),MID(TEXT((C67+1000)*1000,0),2,6),"keine Meter in Spalte km!!!"),IF(VALUE(I67)=1,CONCATENATE("_",VLOOKUP(IF(V67&gt;0,V67,J67),[1]Grundlage!$A$20:$B$181,2,0)),CONCATENATE("_",B67))))</f>
        <v>UQ_A980_008900_W</v>
      </c>
      <c r="F67" s="2" t="s">
        <v>30</v>
      </c>
      <c r="G67" s="167">
        <f t="shared" si="13"/>
        <v>38315</v>
      </c>
      <c r="H67">
        <f t="shared" si="14"/>
        <v>130</v>
      </c>
      <c r="I67" s="2">
        <f t="shared" si="5"/>
        <v>3</v>
      </c>
      <c r="J67" s="2">
        <f t="shared" si="6"/>
        <v>21</v>
      </c>
      <c r="K67" s="13">
        <v>204</v>
      </c>
      <c r="L67" s="2">
        <f t="shared" si="7"/>
        <v>6</v>
      </c>
      <c r="M67" s="2">
        <f t="shared" si="8"/>
        <v>63</v>
      </c>
      <c r="N67" s="2">
        <f t="shared" si="9"/>
        <v>8</v>
      </c>
      <c r="P67" s="168">
        <f t="shared" si="10"/>
        <v>67</v>
      </c>
      <c r="AT67" s="19">
        <v>3</v>
      </c>
      <c r="AU67" s="14">
        <v>21</v>
      </c>
      <c r="AV67" s="14">
        <v>15</v>
      </c>
      <c r="AW67" s="13"/>
      <c r="AX67" s="13"/>
      <c r="AY67" s="19">
        <v>63</v>
      </c>
      <c r="AZ67" s="34">
        <v>8</v>
      </c>
      <c r="BA67" s="104" t="s">
        <v>282</v>
      </c>
      <c r="BB67" s="101" t="s">
        <v>30</v>
      </c>
      <c r="BC67" s="30"/>
      <c r="BD67" s="30"/>
      <c r="BF67" s="13" t="s">
        <v>512</v>
      </c>
    </row>
    <row r="68" spans="1:58" ht="14.25" x14ac:dyDescent="0.2">
      <c r="A68" t="str">
        <f t="shared" si="0"/>
        <v>A980</v>
      </c>
      <c r="B68" s="2" t="s">
        <v>657</v>
      </c>
      <c r="C68">
        <f t="shared" si="1"/>
        <v>8.9</v>
      </c>
      <c r="D68" t="str">
        <f t="shared" si="2"/>
        <v>UFD</v>
      </c>
      <c r="E68" s="169" t="str">
        <f>IF(OR(A68="",B68="",C68=""),"eine der Spalten BAB, FR, km leer?",CONCATENATE(VLOOKUP(VALUE(I68),[1]Grundlage!$A$1:$B$14,2,0),IF(LEFT(A68,1)="A",IF(VALUE(MID(A68,2,10))&lt;10,"A00"&amp;VALUE(MID(A68,2,10)),IF(VALUE(MID(A68,2,10))&lt;100,"A0"&amp;VALUE(MID(A68,2,10)),IF(VALUE(MID(A68,2,10))&lt;1000,"A"&amp;VALUE(MID(A68,2,10))))),IF(LEFT(A68,1)="B",IF(VALUE(MID(A68,2,10))&lt;10,"B00"&amp;VALUE(MID(A68,2,10)),IF(VALUE(MID(A68,2,10))&lt;100,"B0"&amp;VALUE(MID(A68,2,10)),IF(VALUE(MID(A68,2,10))&lt;1000,"B"&amp;VALUE(MID(A68,2,10))))),A68)),"_",IF(NOT(OR(C68=1000,C68&gt;1000)),MID(TEXT((C68+1000)*1000,0),2,6),"keine Meter in Spalte km!!!"),IF(VALUE(I68)=1,CONCATENATE("_",VLOOKUP(IF(V68&gt;0,V68,J68),[1]Grundlage!$A$20:$B$181,2,0)),CONCATENATE("_",B68))))</f>
        <v>UQ_A980_008900_W</v>
      </c>
      <c r="F68" s="2" t="s">
        <v>271</v>
      </c>
      <c r="G68" s="167">
        <f t="shared" si="13"/>
        <v>38315</v>
      </c>
      <c r="H68">
        <f t="shared" si="14"/>
        <v>130</v>
      </c>
      <c r="I68" s="2">
        <f t="shared" si="5"/>
        <v>3</v>
      </c>
      <c r="J68" s="2">
        <f t="shared" si="6"/>
        <v>67</v>
      </c>
      <c r="K68" s="13">
        <v>204</v>
      </c>
      <c r="L68" s="2">
        <f t="shared" si="7"/>
        <v>6</v>
      </c>
      <c r="M68" s="2">
        <f t="shared" si="8"/>
        <v>1</v>
      </c>
      <c r="N68" s="2">
        <f t="shared" si="9"/>
        <v>9</v>
      </c>
      <c r="P68" s="168">
        <f t="shared" si="10"/>
        <v>53</v>
      </c>
      <c r="AT68" s="19">
        <v>3</v>
      </c>
      <c r="AU68" s="14">
        <v>67</v>
      </c>
      <c r="AV68" s="14">
        <v>43</v>
      </c>
      <c r="AW68" s="13"/>
      <c r="AX68" s="13"/>
      <c r="AY68" s="19">
        <v>1</v>
      </c>
      <c r="AZ68" s="14">
        <v>9</v>
      </c>
      <c r="BA68" s="14">
        <v>9</v>
      </c>
      <c r="BB68" s="13" t="s">
        <v>271</v>
      </c>
      <c r="BC68" s="30"/>
      <c r="BD68" s="30"/>
      <c r="BF68" s="13" t="s">
        <v>444</v>
      </c>
    </row>
    <row r="69" spans="1:58" ht="14.25" x14ac:dyDescent="0.2">
      <c r="A69" t="str">
        <f t="shared" si="0"/>
        <v>A980</v>
      </c>
      <c r="B69" s="2" t="s">
        <v>657</v>
      </c>
      <c r="C69">
        <f t="shared" si="1"/>
        <v>8.9</v>
      </c>
      <c r="D69" t="str">
        <f t="shared" si="2"/>
        <v>UFD</v>
      </c>
      <c r="E69" s="169" t="str">
        <f>IF(OR(A69="",B69="",C69=""),"eine der Spalten BAB, FR, km leer?",CONCATENATE(VLOOKUP(VALUE(I69),[1]Grundlage!$A$1:$B$14,2,0),IF(LEFT(A69,1)="A",IF(VALUE(MID(A69,2,10))&lt;10,"A00"&amp;VALUE(MID(A69,2,10)),IF(VALUE(MID(A69,2,10))&lt;100,"A0"&amp;VALUE(MID(A69,2,10)),IF(VALUE(MID(A69,2,10))&lt;1000,"A"&amp;VALUE(MID(A69,2,10))))),IF(LEFT(A69,1)="B",IF(VALUE(MID(A69,2,10))&lt;10,"B00"&amp;VALUE(MID(A69,2,10)),IF(VALUE(MID(A69,2,10))&lt;100,"B0"&amp;VALUE(MID(A69,2,10)),IF(VALUE(MID(A69,2,10))&lt;1000,"B"&amp;VALUE(MID(A69,2,10))))),A69)),"_",IF(NOT(OR(C69=1000,C69&gt;1000)),MID(TEXT((C69+1000)*1000,0),2,6),"keine Meter in Spalte km!!!"),IF(VALUE(I69)=1,CONCATENATE("_",VLOOKUP(IF(V69&gt;0,V69,J69),[1]Grundlage!$A$20:$B$181,2,0)),CONCATENATE("_",B69))))</f>
        <v>UQ_A980_008900_W</v>
      </c>
      <c r="F69" s="2" t="s">
        <v>272</v>
      </c>
      <c r="G69" s="167">
        <f t="shared" si="13"/>
        <v>38315</v>
      </c>
      <c r="H69">
        <f t="shared" si="14"/>
        <v>130</v>
      </c>
      <c r="I69" s="2">
        <f t="shared" si="5"/>
        <v>3</v>
      </c>
      <c r="J69" s="2">
        <f t="shared" si="6"/>
        <v>82</v>
      </c>
      <c r="K69" s="13">
        <v>204</v>
      </c>
      <c r="L69" s="2">
        <f t="shared" si="7"/>
        <v>6</v>
      </c>
      <c r="M69" s="2">
        <f t="shared" si="8"/>
        <v>1</v>
      </c>
      <c r="N69" s="2">
        <f t="shared" si="9"/>
        <v>10</v>
      </c>
      <c r="P69" s="168">
        <f t="shared" si="10"/>
        <v>72</v>
      </c>
      <c r="AT69" s="19">
        <v>3</v>
      </c>
      <c r="AU69" s="14">
        <v>82</v>
      </c>
      <c r="AV69" s="14">
        <v>52</v>
      </c>
      <c r="AW69" s="13"/>
      <c r="AX69" s="13"/>
      <c r="AY69" s="19">
        <v>1</v>
      </c>
      <c r="AZ69" s="14">
        <v>10</v>
      </c>
      <c r="BA69" s="14" t="s">
        <v>95</v>
      </c>
      <c r="BB69" s="13" t="s">
        <v>272</v>
      </c>
      <c r="BC69" s="30"/>
      <c r="BD69" s="30"/>
      <c r="BF69" s="13" t="s">
        <v>513</v>
      </c>
    </row>
    <row r="70" spans="1:58" ht="14.25" x14ac:dyDescent="0.2">
      <c r="A70" t="str">
        <f t="shared" si="0"/>
        <v>A980</v>
      </c>
      <c r="C70">
        <f t="shared" si="1"/>
        <v>8.9</v>
      </c>
      <c r="D70" t="str">
        <f t="shared" si="2"/>
        <v/>
      </c>
      <c r="E70" s="169" t="str">
        <f>IF(OR(A70="",B70="",C70=""),"",CONCATENATE(VLOOKUP(VALUE(I70),[1]Grundlage!$A$1:$B$14,2,0),IF(LEFT(A70,1)="A",IF(VALUE(MID(A70,2,10))&lt;10,"A00"&amp;VALUE(MID(A70,2,10)),IF(VALUE(MID(A70,2,10))&lt;100,"A0"&amp;VALUE(MID(A70,2,10)),IF(VALUE(MID(A70,2,10))&lt;1000,"A"&amp;VALUE(MID(A70,2,10))))),IF(LEFT(A70,1)="B",IF(VALUE(MID(A70,2,10))&lt;10,"B00"&amp;VALUE(MID(A70,2,10)),IF(VALUE(MID(A70,2,10))&lt;100,"B0"&amp;VALUE(MID(A70,2,10)),IF(VALUE(MID(A70,2,10))&lt;1000,"B"&amp;VALUE(MID(A70,2,10))))),A70)),"_",IF(NOT(OR(C70=1000,C70&gt;1000)),MID(TEXT((C70+1000)*1000,0),2,6),"keine Meter in Spalte km!!!"),IF(VALUE(I70)=1,CONCATENATE("_",VLOOKUP(IF(V70&gt;0,V70,J70),[1]Grundlage!$A$20:$B$181,2,0)),CONCATENATE("_",B70))))</f>
        <v/>
      </c>
      <c r="F70" s="2" t="s">
        <v>669</v>
      </c>
      <c r="G70" s="167">
        <f t="shared" si="13"/>
        <v>38315</v>
      </c>
      <c r="H70">
        <f t="shared" si="14"/>
        <v>130</v>
      </c>
      <c r="I70" s="2">
        <f t="shared" si="5"/>
        <v>0</v>
      </c>
      <c r="J70" s="2">
        <f t="shared" si="6"/>
        <v>0</v>
      </c>
      <c r="K70" s="13">
        <v>204</v>
      </c>
      <c r="L70" s="2">
        <f t="shared" si="7"/>
        <v>6</v>
      </c>
      <c r="M70" s="2" t="str">
        <f t="shared" si="8"/>
        <v/>
      </c>
      <c r="N70" s="2" t="str">
        <f t="shared" si="9"/>
        <v/>
      </c>
      <c r="P70" s="168" t="str">
        <f t="shared" si="10"/>
        <v/>
      </c>
      <c r="AT70" s="1"/>
      <c r="AU70" s="11"/>
      <c r="AV70" s="11"/>
      <c r="AY70" s="1"/>
      <c r="AZ70" s="34"/>
      <c r="BA70" s="33"/>
      <c r="BB70" s="29"/>
      <c r="BC70" s="30"/>
      <c r="BD70" s="30"/>
    </row>
    <row r="71" spans="1:58" ht="14.25" x14ac:dyDescent="0.2">
      <c r="A71" t="str">
        <f t="shared" si="0"/>
        <v>A980</v>
      </c>
      <c r="B71" s="2" t="s">
        <v>657</v>
      </c>
      <c r="C71">
        <f t="shared" si="1"/>
        <v>13</v>
      </c>
      <c r="D71" t="str">
        <f t="shared" si="2"/>
        <v>SS</v>
      </c>
      <c r="E71" s="169" t="str">
        <f>IF(OR(A71="",B71="",C71=""),"eine der Spalten BAB, FR, km leer?",CONCATENATE(VLOOKUP(VALUE(I71),[1]Grundlage!$A$1:$B$14,2,0),IF(LEFT(A71,1)="A",IF(VALUE(MID(A71,2,10))&lt;10,"A00"&amp;VALUE(MID(A71,2,10)),IF(VALUE(MID(A71,2,10))&lt;100,"A0"&amp;VALUE(MID(A71,2,10)),IF(VALUE(MID(A71,2,10))&lt;1000,"A"&amp;VALUE(MID(A71,2,10))))),IF(LEFT(A71,1)="B",IF(VALUE(MID(A71,2,10))&lt;10,"B00"&amp;VALUE(MID(A71,2,10)),IF(VALUE(MID(A71,2,10))&lt;100,"B0"&amp;VALUE(MID(A71,2,10)),IF(VALUE(MID(A71,2,10))&lt;1000,"B"&amp;VALUE(MID(A71,2,10))))),A71)),"_",IF(NOT(OR(C71=1000,C71&gt;1000)),MID(TEXT((C71+1000)*1000,0),2,6),"keine Meter in Spalte km!!!"),IF(VALUE(I71)=1,CONCATENATE("_",VLOOKUP(IF(V71&gt;0,V71,J71),[1]Grundlage!$A$20:$B$181,2,0)),CONCATENATE("_",B71))))</f>
        <v>SSt_A980_013000_W</v>
      </c>
      <c r="F71" s="2" t="s">
        <v>39</v>
      </c>
      <c r="G71" s="167">
        <f t="shared" si="13"/>
        <v>38320</v>
      </c>
      <c r="H71">
        <f t="shared" si="14"/>
        <v>64</v>
      </c>
      <c r="I71" s="2">
        <f t="shared" si="5"/>
        <v>254</v>
      </c>
      <c r="J71" s="2">
        <f t="shared" si="6"/>
        <v>0</v>
      </c>
      <c r="K71" s="13">
        <v>204</v>
      </c>
      <c r="L71" s="2">
        <f t="shared" si="7"/>
        <v>7</v>
      </c>
      <c r="M71" s="2" t="str">
        <f t="shared" si="8"/>
        <v/>
      </c>
      <c r="N71" s="2" t="str">
        <f t="shared" si="9"/>
        <v/>
      </c>
      <c r="P71" s="168" t="str">
        <f t="shared" si="10"/>
        <v/>
      </c>
      <c r="AI71" s="35">
        <v>13</v>
      </c>
      <c r="AJ71" s="36" t="s">
        <v>19</v>
      </c>
      <c r="AK71" s="36" t="s">
        <v>36</v>
      </c>
      <c r="AL71" s="36"/>
      <c r="AM71" s="36"/>
      <c r="AN71" s="36"/>
      <c r="AO71" s="36"/>
      <c r="AP71" s="42">
        <v>9809984</v>
      </c>
      <c r="AQ71" s="42">
        <v>95</v>
      </c>
      <c r="AR71" s="42" t="s">
        <v>216</v>
      </c>
      <c r="AS71" s="42">
        <v>40</v>
      </c>
      <c r="AT71" s="36"/>
      <c r="AU71" s="36"/>
      <c r="AV71" s="36"/>
      <c r="AW71" s="36"/>
      <c r="AX71" s="36">
        <v>7</v>
      </c>
      <c r="AY71" s="36"/>
      <c r="AZ71" s="45"/>
      <c r="BA71" s="45"/>
      <c r="BB71" s="37" t="s">
        <v>39</v>
      </c>
      <c r="BC71" s="45"/>
      <c r="BD71" s="99" t="s">
        <v>163</v>
      </c>
      <c r="BE71" s="39" t="s">
        <v>35</v>
      </c>
      <c r="BF71" s="2" t="s">
        <v>449</v>
      </c>
    </row>
    <row r="72" spans="1:58" ht="14.25" x14ac:dyDescent="0.2">
      <c r="A72" t="str">
        <f t="shared" si="0"/>
        <v>A980</v>
      </c>
      <c r="B72" s="2" t="s">
        <v>657</v>
      </c>
      <c r="C72">
        <f t="shared" si="1"/>
        <v>13</v>
      </c>
      <c r="D72" t="str">
        <f t="shared" si="2"/>
        <v>UFD</v>
      </c>
      <c r="E72" s="169" t="str">
        <f>IF(OR(A72="",B72="",C72=""),"eine der Spalten BAB, FR, km leer?",CONCATENATE(VLOOKUP(VALUE(I72),[1]Grundlage!$A$1:$B$14,2,0),IF(LEFT(A72,1)="A",IF(VALUE(MID(A72,2,10))&lt;10,"A00"&amp;VALUE(MID(A72,2,10)),IF(VALUE(MID(A72,2,10))&lt;100,"A0"&amp;VALUE(MID(A72,2,10)),IF(VALUE(MID(A72,2,10))&lt;1000,"A"&amp;VALUE(MID(A72,2,10))))),IF(LEFT(A72,1)="B",IF(VALUE(MID(A72,2,10))&lt;10,"B00"&amp;VALUE(MID(A72,2,10)),IF(VALUE(MID(A72,2,10))&lt;100,"B0"&amp;VALUE(MID(A72,2,10)),IF(VALUE(MID(A72,2,10))&lt;1000,"B"&amp;VALUE(MID(A72,2,10))))),A72)),"_",IF(NOT(OR(C72=1000,C72&gt;1000)),MID(TEXT((C72+1000)*1000,0),2,6),"keine Meter in Spalte km!!!"),IF(VALUE(I72)=1,CONCATENATE("_",VLOOKUP(IF(V72&gt;0,V72,J72),[1]Grundlage!$A$20:$B$181,2,0)),CONCATENATE("_",B72))))</f>
        <v>UQ_A980_013000_W</v>
      </c>
      <c r="F72" s="2" t="s">
        <v>269</v>
      </c>
      <c r="G72" s="167">
        <f t="shared" si="13"/>
        <v>38320</v>
      </c>
      <c r="H72">
        <f t="shared" si="14"/>
        <v>64</v>
      </c>
      <c r="I72" s="2">
        <f t="shared" si="5"/>
        <v>3</v>
      </c>
      <c r="J72" s="2">
        <f t="shared" si="6"/>
        <v>6</v>
      </c>
      <c r="K72" s="13">
        <v>204</v>
      </c>
      <c r="L72" s="2">
        <f t="shared" si="7"/>
        <v>7</v>
      </c>
      <c r="M72" s="2">
        <f t="shared" si="8"/>
        <v>1</v>
      </c>
      <c r="N72" s="2">
        <f t="shared" si="9"/>
        <v>1</v>
      </c>
      <c r="P72" s="168">
        <f t="shared" si="10"/>
        <v>71</v>
      </c>
      <c r="AP72" s="40"/>
      <c r="AQ72" s="40"/>
      <c r="AR72" s="40"/>
      <c r="AS72" s="77"/>
      <c r="AT72" s="19">
        <v>3</v>
      </c>
      <c r="AU72" s="14">
        <v>6</v>
      </c>
      <c r="AV72" s="27">
        <v>6</v>
      </c>
      <c r="AW72" s="19"/>
      <c r="AX72" s="19"/>
      <c r="AY72" s="19">
        <v>1</v>
      </c>
      <c r="AZ72" s="14">
        <v>1</v>
      </c>
      <c r="BA72" s="27">
        <v>1</v>
      </c>
      <c r="BB72" s="13" t="s">
        <v>269</v>
      </c>
      <c r="BC72" s="30"/>
      <c r="BD72" s="30"/>
      <c r="BF72" s="2" t="s">
        <v>440</v>
      </c>
    </row>
    <row r="73" spans="1:58" ht="14.25" x14ac:dyDescent="0.2">
      <c r="A73" t="str">
        <f t="shared" si="0"/>
        <v>A980</v>
      </c>
      <c r="B73" s="2" t="s">
        <v>657</v>
      </c>
      <c r="C73">
        <f t="shared" si="1"/>
        <v>13</v>
      </c>
      <c r="D73" t="str">
        <f t="shared" si="2"/>
        <v>UFD</v>
      </c>
      <c r="E73" s="169" t="str">
        <f>IF(OR(A73="",B73="",C73=""),"eine der Spalten BAB, FR, km leer?",CONCATENATE(VLOOKUP(VALUE(I73),[1]Grundlage!$A$1:$B$14,2,0),IF(LEFT(A73,1)="A",IF(VALUE(MID(A73,2,10))&lt;10,"A00"&amp;VALUE(MID(A73,2,10)),IF(VALUE(MID(A73,2,10))&lt;100,"A0"&amp;VALUE(MID(A73,2,10)),IF(VALUE(MID(A73,2,10))&lt;1000,"A"&amp;VALUE(MID(A73,2,10))))),IF(LEFT(A73,1)="B",IF(VALUE(MID(A73,2,10))&lt;10,"B00"&amp;VALUE(MID(A73,2,10)),IF(VALUE(MID(A73,2,10))&lt;100,"B0"&amp;VALUE(MID(A73,2,10)),IF(VALUE(MID(A73,2,10))&lt;1000,"B"&amp;VALUE(MID(A73,2,10))))),A73)),"_",IF(NOT(OR(C73=1000,C73&gt;1000)),MID(TEXT((C73+1000)*1000,0),2,6),"keine Meter in Spalte km!!!"),IF(VALUE(I73)=1,CONCATENATE("_",VLOOKUP(IF(V73&gt;0,V73,J73),[1]Grundlage!$A$20:$B$181,2,0)),CONCATENATE("_",B73))))</f>
        <v>UQ_A980_013000_W</v>
      </c>
      <c r="F73" s="2" t="s">
        <v>270</v>
      </c>
      <c r="G73" s="167">
        <f t="shared" si="13"/>
        <v>38320</v>
      </c>
      <c r="H73">
        <f t="shared" si="14"/>
        <v>64</v>
      </c>
      <c r="I73" s="2">
        <f t="shared" si="5"/>
        <v>3</v>
      </c>
      <c r="J73" s="2">
        <f t="shared" si="6"/>
        <v>11</v>
      </c>
      <c r="K73" s="13">
        <v>204</v>
      </c>
      <c r="L73" s="2">
        <f t="shared" si="7"/>
        <v>7</v>
      </c>
      <c r="M73" s="2">
        <f t="shared" si="8"/>
        <v>1</v>
      </c>
      <c r="N73" s="2">
        <f t="shared" si="9"/>
        <v>2</v>
      </c>
      <c r="P73" s="168">
        <f t="shared" si="10"/>
        <v>70</v>
      </c>
      <c r="AS73" s="13"/>
      <c r="AT73" s="19">
        <v>3</v>
      </c>
      <c r="AU73" s="14">
        <v>11</v>
      </c>
      <c r="AV73" s="14" t="s">
        <v>78</v>
      </c>
      <c r="AW73" s="13"/>
      <c r="AX73" s="13"/>
      <c r="AY73" s="19">
        <v>1</v>
      </c>
      <c r="AZ73" s="14">
        <v>2</v>
      </c>
      <c r="BA73" s="14">
        <v>2</v>
      </c>
      <c r="BB73" s="13" t="s">
        <v>270</v>
      </c>
      <c r="BC73" s="30"/>
      <c r="BD73" s="30"/>
      <c r="BF73" s="2" t="s">
        <v>509</v>
      </c>
    </row>
    <row r="74" spans="1:58" ht="14.25" x14ac:dyDescent="0.2">
      <c r="A74" t="str">
        <f t="shared" ref="A74:A137" si="15">IF(ISBLANK(AK74),A73,AK74)</f>
        <v>A980</v>
      </c>
      <c r="B74" s="2" t="s">
        <v>657</v>
      </c>
      <c r="C74">
        <f t="shared" ref="C74:C137" si="16">IF(ISBLANK(AI74),C73,AI74)</f>
        <v>13</v>
      </c>
      <c r="D74" t="str">
        <f t="shared" ref="D74:D137" si="17">IF(AJ74="SST","SS",IF(AND(AJ74="",ISTEXT(BB74)),"UFD",""))</f>
        <v>UFD</v>
      </c>
      <c r="E74" s="169" t="str">
        <f>IF(OR(A74="",B74="",C74=""),"eine der Spalten BAB, FR, km leer?",CONCATENATE(VLOOKUP(VALUE(I74),[1]Grundlage!$A$1:$B$14,2,0),IF(LEFT(A74,1)="A",IF(VALUE(MID(A74,2,10))&lt;10,"A00"&amp;VALUE(MID(A74,2,10)),IF(VALUE(MID(A74,2,10))&lt;100,"A0"&amp;VALUE(MID(A74,2,10)),IF(VALUE(MID(A74,2,10))&lt;1000,"A"&amp;VALUE(MID(A74,2,10))))),IF(LEFT(A74,1)="B",IF(VALUE(MID(A74,2,10))&lt;10,"B00"&amp;VALUE(MID(A74,2,10)),IF(VALUE(MID(A74,2,10))&lt;100,"B0"&amp;VALUE(MID(A74,2,10)),IF(VALUE(MID(A74,2,10))&lt;1000,"B"&amp;VALUE(MID(A74,2,10))))),A74)),"_",IF(NOT(OR(C74=1000,C74&gt;1000)),MID(TEXT((C74+1000)*1000,0),2,6),"keine Meter in Spalte km!!!"),IF(VALUE(I74)=1,CONCATENATE("_",VLOOKUP(IF(V74&gt;0,V74,J74),[1]Grundlage!$A$20:$B$181,2,0)),CONCATENATE("_",B74))))</f>
        <v>UQ_A980_013000_W</v>
      </c>
      <c r="F74" s="2" t="s">
        <v>25</v>
      </c>
      <c r="G74" s="167">
        <f t="shared" si="13"/>
        <v>38320</v>
      </c>
      <c r="H74">
        <f t="shared" si="14"/>
        <v>64</v>
      </c>
      <c r="I74" s="2">
        <f t="shared" ref="I74:I137" si="18">IF(D74="SS",254,AT74)</f>
        <v>3</v>
      </c>
      <c r="J74" s="2">
        <f t="shared" ref="J74:J137" si="19">IF(D74="SS",0,AU74)</f>
        <v>12</v>
      </c>
      <c r="K74" s="13">
        <v>204</v>
      </c>
      <c r="L74" s="2">
        <f t="shared" ref="L74:L137" si="20">IF(ISBLANK(AX74),L73,AX74)</f>
        <v>7</v>
      </c>
      <c r="M74" s="2">
        <f t="shared" ref="M74:M137" si="21">IF(ISBLANK(AY74),"",AY74)</f>
        <v>63</v>
      </c>
      <c r="N74" s="2">
        <f t="shared" ref="N74:N137" si="22">IF(ISBLANK(AZ74),"",AZ74)</f>
        <v>3</v>
      </c>
      <c r="P74" s="168">
        <f t="shared" si="10"/>
        <v>48</v>
      </c>
      <c r="AS74" s="13"/>
      <c r="AT74" s="19">
        <v>3</v>
      </c>
      <c r="AU74" s="14">
        <v>12</v>
      </c>
      <c r="AV74" s="14" t="s">
        <v>79</v>
      </c>
      <c r="AW74" s="13"/>
      <c r="AX74" s="13"/>
      <c r="AY74" s="19">
        <v>63</v>
      </c>
      <c r="AZ74" s="34">
        <v>3</v>
      </c>
      <c r="BA74" s="104" t="s">
        <v>278</v>
      </c>
      <c r="BB74" s="101" t="s">
        <v>25</v>
      </c>
      <c r="BC74" s="30"/>
      <c r="BD74" s="30"/>
      <c r="BF74" s="13" t="s">
        <v>441</v>
      </c>
    </row>
    <row r="75" spans="1:58" ht="14.25" x14ac:dyDescent="0.2">
      <c r="A75" t="str">
        <f t="shared" si="15"/>
        <v>A980</v>
      </c>
      <c r="B75" s="2" t="s">
        <v>657</v>
      </c>
      <c r="C75">
        <f t="shared" si="16"/>
        <v>13</v>
      </c>
      <c r="D75" t="str">
        <f t="shared" si="17"/>
        <v>UFD</v>
      </c>
      <c r="E75" s="169" t="str">
        <f>IF(OR(A75="",B75="",C75=""),"eine der Spalten BAB, FR, km leer?",CONCATENATE(VLOOKUP(VALUE(I75),[1]Grundlage!$A$1:$B$14,2,0),IF(LEFT(A75,1)="A",IF(VALUE(MID(A75,2,10))&lt;10,"A00"&amp;VALUE(MID(A75,2,10)),IF(VALUE(MID(A75,2,10))&lt;100,"A0"&amp;VALUE(MID(A75,2,10)),IF(VALUE(MID(A75,2,10))&lt;1000,"A"&amp;VALUE(MID(A75,2,10))))),IF(LEFT(A75,1)="B",IF(VALUE(MID(A75,2,10))&lt;10,"B00"&amp;VALUE(MID(A75,2,10)),IF(VALUE(MID(A75,2,10))&lt;100,"B0"&amp;VALUE(MID(A75,2,10)),IF(VALUE(MID(A75,2,10))&lt;1000,"B"&amp;VALUE(MID(A75,2,10))))),A75)),"_",IF(NOT(OR(C75=1000,C75&gt;1000)),MID(TEXT((C75+1000)*1000,0),2,6),"keine Meter in Spalte km!!!"),IF(VALUE(I75)=1,CONCATENATE("_",VLOOKUP(IF(V75&gt;0,V75,J75),[1]Grundlage!$A$20:$B$181,2,0)),CONCATENATE("_",B75))))</f>
        <v>UQ_A980_013000_W</v>
      </c>
      <c r="F75" s="2" t="s">
        <v>26</v>
      </c>
      <c r="G75" s="167">
        <f t="shared" si="13"/>
        <v>38320</v>
      </c>
      <c r="H75">
        <f t="shared" si="14"/>
        <v>64</v>
      </c>
      <c r="I75" s="2">
        <f t="shared" si="18"/>
        <v>3</v>
      </c>
      <c r="J75" s="2">
        <f t="shared" si="19"/>
        <v>13</v>
      </c>
      <c r="K75" s="13">
        <v>204</v>
      </c>
      <c r="L75" s="2">
        <f t="shared" si="20"/>
        <v>7</v>
      </c>
      <c r="M75" s="2">
        <f t="shared" si="21"/>
        <v>63</v>
      </c>
      <c r="N75" s="2">
        <f t="shared" si="22"/>
        <v>4</v>
      </c>
      <c r="P75" s="168">
        <f t="shared" ref="P75:P138" si="23">IF(AT75&lt;&gt;3,"",IF(BB75="Helligkeitssensor",61,IF(BB75="Helligkeit",61,IF(BB76="Lichtsensor",61,IF(BB75="Lufttemperatur",48,IF(BB75="Niederschlagsart",71,IF(BB75="Niederschlagsintensität",53,IF(BB75="relative Luftfeuchte RLF",55,IF(BB75="Sichtweite",60,IF(BB75="Sichtweite 1",60,IF(BB75="Zustand der Fahrbahnoberfläche FBZ",79,IF(BB75="Wasserfilmdicke WFD",72,IF(BB75="Clusterkanal FG3","",IF(BB75="Gefriertemperatur GT",65,IF(BB75="Fahrbahnoberflächentemperatur FBT",49,VALUE(RIGHT(BB75,2)))))))))))))))))</f>
        <v>55</v>
      </c>
      <c r="AS75" s="13"/>
      <c r="AT75" s="19">
        <v>3</v>
      </c>
      <c r="AU75" s="14">
        <v>13</v>
      </c>
      <c r="AV75" s="14" t="s">
        <v>80</v>
      </c>
      <c r="AW75" s="13"/>
      <c r="AX75" s="13"/>
      <c r="AY75" s="19">
        <v>63</v>
      </c>
      <c r="AZ75" s="34">
        <v>4</v>
      </c>
      <c r="BA75" s="104" t="s">
        <v>277</v>
      </c>
      <c r="BB75" s="101" t="s">
        <v>26</v>
      </c>
      <c r="BC75" s="30"/>
      <c r="BD75" s="30"/>
      <c r="BF75" s="13" t="s">
        <v>442</v>
      </c>
    </row>
    <row r="76" spans="1:58" ht="14.25" x14ac:dyDescent="0.2">
      <c r="A76" t="str">
        <f t="shared" si="15"/>
        <v>A980</v>
      </c>
      <c r="B76" s="2" t="s">
        <v>657</v>
      </c>
      <c r="C76">
        <f t="shared" si="16"/>
        <v>13</v>
      </c>
      <c r="D76" t="str">
        <f t="shared" si="17"/>
        <v>UFD</v>
      </c>
      <c r="E76" s="169" t="str">
        <f>IF(OR(A76="",B76="",C76=""),"eine der Spalten BAB, FR, km leer?",CONCATENATE(VLOOKUP(VALUE(I76),[1]Grundlage!$A$1:$B$14,2,0),IF(LEFT(A76,1)="A",IF(VALUE(MID(A76,2,10))&lt;10,"A00"&amp;VALUE(MID(A76,2,10)),IF(VALUE(MID(A76,2,10))&lt;100,"A0"&amp;VALUE(MID(A76,2,10)),IF(VALUE(MID(A76,2,10))&lt;1000,"A"&amp;VALUE(MID(A76,2,10))))),IF(LEFT(A76,1)="B",IF(VALUE(MID(A76,2,10))&lt;10,"B00"&amp;VALUE(MID(A76,2,10)),IF(VALUE(MID(A76,2,10))&lt;100,"B0"&amp;VALUE(MID(A76,2,10)),IF(VALUE(MID(A76,2,10))&lt;1000,"B"&amp;VALUE(MID(A76,2,10))))),A76)),"_",IF(NOT(OR(C76=1000,C76&gt;1000)),MID(TEXT((C76+1000)*1000,0),2,6),"keine Meter in Spalte km!!!"),IF(VALUE(I76)=1,CONCATENATE("_",VLOOKUP(IF(V76&gt;0,V76,J76),[1]Grundlage!$A$20:$B$181,2,0)),CONCATENATE("_",B76))))</f>
        <v>UQ_A980_013000_W</v>
      </c>
      <c r="F76" s="2" t="s">
        <v>27</v>
      </c>
      <c r="G76" s="167">
        <f t="shared" si="13"/>
        <v>38320</v>
      </c>
      <c r="H76">
        <f t="shared" si="14"/>
        <v>64</v>
      </c>
      <c r="I76" s="2">
        <f t="shared" si="18"/>
        <v>3</v>
      </c>
      <c r="J76" s="2">
        <f t="shared" si="19"/>
        <v>14</v>
      </c>
      <c r="K76" s="13">
        <v>204</v>
      </c>
      <c r="L76" s="2">
        <f t="shared" si="20"/>
        <v>7</v>
      </c>
      <c r="M76" s="2">
        <f t="shared" si="21"/>
        <v>63</v>
      </c>
      <c r="N76" s="2">
        <f t="shared" si="22"/>
        <v>5</v>
      </c>
      <c r="P76" s="168">
        <f t="shared" si="23"/>
        <v>66</v>
      </c>
      <c r="AS76" s="13"/>
      <c r="AT76" s="19">
        <v>3</v>
      </c>
      <c r="AU76" s="14">
        <v>14</v>
      </c>
      <c r="AV76" s="14" t="s">
        <v>81</v>
      </c>
      <c r="AW76" s="13"/>
      <c r="AX76" s="13"/>
      <c r="AY76" s="19">
        <v>63</v>
      </c>
      <c r="AZ76" s="34">
        <v>5</v>
      </c>
      <c r="BA76" s="104" t="s">
        <v>279</v>
      </c>
      <c r="BB76" s="101" t="s">
        <v>27</v>
      </c>
      <c r="BC76" s="30"/>
      <c r="BD76" s="30"/>
      <c r="BF76" s="13" t="s">
        <v>443</v>
      </c>
    </row>
    <row r="77" spans="1:58" ht="14.25" x14ac:dyDescent="0.2">
      <c r="A77" t="str">
        <f t="shared" si="15"/>
        <v>A980</v>
      </c>
      <c r="B77" s="2" t="s">
        <v>657</v>
      </c>
      <c r="C77">
        <f t="shared" si="16"/>
        <v>13</v>
      </c>
      <c r="D77" t="str">
        <f t="shared" si="17"/>
        <v>UFD</v>
      </c>
      <c r="E77" s="169" t="str">
        <f>IF(OR(A77="",B77="",C77=""),"eine der Spalten BAB, FR, km leer?",CONCATENATE(VLOOKUP(VALUE(I77),[1]Grundlage!$A$1:$B$14,2,0),IF(LEFT(A77,1)="A",IF(VALUE(MID(A77,2,10))&lt;10,"A00"&amp;VALUE(MID(A77,2,10)),IF(VALUE(MID(A77,2,10))&lt;100,"A0"&amp;VALUE(MID(A77,2,10)),IF(VALUE(MID(A77,2,10))&lt;1000,"A"&amp;VALUE(MID(A77,2,10))))),IF(LEFT(A77,1)="B",IF(VALUE(MID(A77,2,10))&lt;10,"B00"&amp;VALUE(MID(A77,2,10)),IF(VALUE(MID(A77,2,10))&lt;100,"B0"&amp;VALUE(MID(A77,2,10)),IF(VALUE(MID(A77,2,10))&lt;1000,"B"&amp;VALUE(MID(A77,2,10))))),A77)),"_",IF(NOT(OR(C77=1000,C77&gt;1000)),MID(TEXT((C77+1000)*1000,0),2,6),"keine Meter in Spalte km!!!"),IF(VALUE(I77)=1,CONCATENATE("_",VLOOKUP(IF(V77&gt;0,V77,J77),[1]Grundlage!$A$20:$B$181,2,0)),CONCATENATE("_",B77))))</f>
        <v>UQ_A980_013000_W</v>
      </c>
      <c r="F77" s="2" t="s">
        <v>28</v>
      </c>
      <c r="G77" s="167">
        <f t="shared" si="13"/>
        <v>38320</v>
      </c>
      <c r="H77">
        <f t="shared" si="14"/>
        <v>64</v>
      </c>
      <c r="I77" s="2">
        <f t="shared" si="18"/>
        <v>3</v>
      </c>
      <c r="J77" s="2">
        <f t="shared" si="19"/>
        <v>15</v>
      </c>
      <c r="K77" s="13">
        <v>204</v>
      </c>
      <c r="L77" s="2">
        <f t="shared" si="20"/>
        <v>7</v>
      </c>
      <c r="M77" s="2">
        <f t="shared" si="21"/>
        <v>63</v>
      </c>
      <c r="N77" s="2">
        <f t="shared" si="22"/>
        <v>6</v>
      </c>
      <c r="P77" s="168">
        <f t="shared" si="23"/>
        <v>65</v>
      </c>
      <c r="AS77" s="13"/>
      <c r="AT77" s="19">
        <v>3</v>
      </c>
      <c r="AU77" s="14">
        <v>15</v>
      </c>
      <c r="AV77" s="14" t="s">
        <v>82</v>
      </c>
      <c r="AW77" s="13"/>
      <c r="AX77" s="13"/>
      <c r="AY77" s="19">
        <v>63</v>
      </c>
      <c r="AZ77" s="34">
        <v>6</v>
      </c>
      <c r="BA77" s="104" t="s">
        <v>280</v>
      </c>
      <c r="BB77" s="101" t="s">
        <v>28</v>
      </c>
      <c r="BC77" s="30"/>
      <c r="BD77" s="30"/>
      <c r="BF77" s="13" t="s">
        <v>510</v>
      </c>
    </row>
    <row r="78" spans="1:58" ht="14.25" x14ac:dyDescent="0.2">
      <c r="A78" t="str">
        <f t="shared" si="15"/>
        <v>A980</v>
      </c>
      <c r="B78" s="2" t="s">
        <v>657</v>
      </c>
      <c r="C78">
        <f t="shared" si="16"/>
        <v>13</v>
      </c>
      <c r="D78" t="str">
        <f t="shared" si="17"/>
        <v>UFD</v>
      </c>
      <c r="E78" s="169" t="str">
        <f>IF(OR(A78="",B78="",C78=""),"eine der Spalten BAB, FR, km leer?",CONCATENATE(VLOOKUP(VALUE(I78),[1]Grundlage!$A$1:$B$14,2,0),IF(LEFT(A78,1)="A",IF(VALUE(MID(A78,2,10))&lt;10,"A00"&amp;VALUE(MID(A78,2,10)),IF(VALUE(MID(A78,2,10))&lt;100,"A0"&amp;VALUE(MID(A78,2,10)),IF(VALUE(MID(A78,2,10))&lt;1000,"A"&amp;VALUE(MID(A78,2,10))))),IF(LEFT(A78,1)="B",IF(VALUE(MID(A78,2,10))&lt;10,"B00"&amp;VALUE(MID(A78,2,10)),IF(VALUE(MID(A78,2,10))&lt;100,"B0"&amp;VALUE(MID(A78,2,10)),IF(VALUE(MID(A78,2,10))&lt;1000,"B"&amp;VALUE(MID(A78,2,10))))),A78)),"_",IF(NOT(OR(C78=1000,C78&gt;1000)),MID(TEXT((C78+1000)*1000,0),2,6),"keine Meter in Spalte km!!!"),IF(VALUE(I78)=1,CONCATENATE("_",VLOOKUP(IF(V78&gt;0,V78,J78),[1]Grundlage!$A$20:$B$181,2,0)),CONCATENATE("_",B78))))</f>
        <v>UQ_A980_013000_W</v>
      </c>
      <c r="F78" s="2" t="s">
        <v>29</v>
      </c>
      <c r="G78" s="167">
        <f t="shared" si="13"/>
        <v>38320</v>
      </c>
      <c r="H78">
        <f t="shared" si="14"/>
        <v>64</v>
      </c>
      <c r="I78" s="2">
        <f t="shared" si="18"/>
        <v>3</v>
      </c>
      <c r="J78" s="2">
        <f t="shared" si="19"/>
        <v>19</v>
      </c>
      <c r="K78" s="13">
        <v>204</v>
      </c>
      <c r="L78" s="2">
        <f t="shared" si="20"/>
        <v>7</v>
      </c>
      <c r="M78" s="2">
        <f t="shared" si="21"/>
        <v>63</v>
      </c>
      <c r="N78" s="2">
        <f t="shared" si="22"/>
        <v>7</v>
      </c>
      <c r="P78" s="168">
        <f t="shared" si="23"/>
        <v>49</v>
      </c>
      <c r="AS78" s="13"/>
      <c r="AT78" s="19">
        <v>3</v>
      </c>
      <c r="AU78" s="14">
        <v>19</v>
      </c>
      <c r="AV78" s="14">
        <v>13</v>
      </c>
      <c r="AW78" s="13"/>
      <c r="AX78" s="13"/>
      <c r="AY78" s="19">
        <v>63</v>
      </c>
      <c r="AZ78" s="34">
        <v>7</v>
      </c>
      <c r="BA78" s="104" t="s">
        <v>281</v>
      </c>
      <c r="BB78" s="101" t="s">
        <v>29</v>
      </c>
      <c r="BC78" s="30"/>
      <c r="BD78" s="30"/>
      <c r="BF78" s="13" t="s">
        <v>511</v>
      </c>
    </row>
    <row r="79" spans="1:58" ht="14.25" x14ac:dyDescent="0.2">
      <c r="A79" t="str">
        <f t="shared" si="15"/>
        <v>A980</v>
      </c>
      <c r="B79" s="2" t="s">
        <v>657</v>
      </c>
      <c r="C79">
        <f t="shared" si="16"/>
        <v>13</v>
      </c>
      <c r="D79" t="str">
        <f t="shared" si="17"/>
        <v>UFD</v>
      </c>
      <c r="E79" s="169" t="str">
        <f>IF(OR(A79="",B79="",C79=""),"eine der Spalten BAB, FR, km leer?",CONCATENATE(VLOOKUP(VALUE(I79),[1]Grundlage!$A$1:$B$14,2,0),IF(LEFT(A79,1)="A",IF(VALUE(MID(A79,2,10))&lt;10,"A00"&amp;VALUE(MID(A79,2,10)),IF(VALUE(MID(A79,2,10))&lt;100,"A0"&amp;VALUE(MID(A79,2,10)),IF(VALUE(MID(A79,2,10))&lt;1000,"A"&amp;VALUE(MID(A79,2,10))))),IF(LEFT(A79,1)="B",IF(VALUE(MID(A79,2,10))&lt;10,"B00"&amp;VALUE(MID(A79,2,10)),IF(VALUE(MID(A79,2,10))&lt;100,"B0"&amp;VALUE(MID(A79,2,10)),IF(VALUE(MID(A79,2,10))&lt;1000,"B"&amp;VALUE(MID(A79,2,10))))),A79)),"_",IF(NOT(OR(C79=1000,C79&gt;1000)),MID(TEXT((C79+1000)*1000,0),2,6),"keine Meter in Spalte km!!!"),IF(VALUE(I79)=1,CONCATENATE("_",VLOOKUP(IF(V79&gt;0,V79,J79),[1]Grundlage!$A$20:$B$181,2,0)),CONCATENATE("_",B79))))</f>
        <v>UQ_A980_013000_W</v>
      </c>
      <c r="F79" s="2" t="s">
        <v>30</v>
      </c>
      <c r="G79" s="167">
        <f t="shared" si="13"/>
        <v>38320</v>
      </c>
      <c r="H79">
        <f t="shared" si="14"/>
        <v>64</v>
      </c>
      <c r="I79" s="2">
        <f t="shared" si="18"/>
        <v>3</v>
      </c>
      <c r="J79" s="2">
        <f t="shared" si="19"/>
        <v>21</v>
      </c>
      <c r="K79" s="13">
        <v>204</v>
      </c>
      <c r="L79" s="2">
        <f t="shared" si="20"/>
        <v>7</v>
      </c>
      <c r="M79" s="2">
        <f t="shared" si="21"/>
        <v>63</v>
      </c>
      <c r="N79" s="2">
        <f t="shared" si="22"/>
        <v>8</v>
      </c>
      <c r="P79" s="168">
        <f t="shared" si="23"/>
        <v>67</v>
      </c>
      <c r="AS79" s="13"/>
      <c r="AT79" s="19">
        <v>3</v>
      </c>
      <c r="AU79" s="14">
        <v>21</v>
      </c>
      <c r="AV79" s="14">
        <v>15</v>
      </c>
      <c r="AW79" s="13"/>
      <c r="AX79" s="13"/>
      <c r="AY79" s="19">
        <v>63</v>
      </c>
      <c r="AZ79" s="34">
        <v>8</v>
      </c>
      <c r="BA79" s="104" t="s">
        <v>282</v>
      </c>
      <c r="BB79" s="101" t="s">
        <v>30</v>
      </c>
      <c r="BC79" s="30"/>
      <c r="BD79" s="30"/>
      <c r="BF79" s="13" t="s">
        <v>512</v>
      </c>
    </row>
    <row r="80" spans="1:58" ht="14.25" x14ac:dyDescent="0.2">
      <c r="A80" t="str">
        <f t="shared" si="15"/>
        <v>A980</v>
      </c>
      <c r="B80" s="2" t="s">
        <v>657</v>
      </c>
      <c r="C80">
        <f t="shared" si="16"/>
        <v>13</v>
      </c>
      <c r="D80" t="str">
        <f t="shared" si="17"/>
        <v>UFD</v>
      </c>
      <c r="E80" s="169" t="str">
        <f>IF(OR(A80="",B80="",C80=""),"eine der Spalten BAB, FR, km leer?",CONCATENATE(VLOOKUP(VALUE(I80),[1]Grundlage!$A$1:$B$14,2,0),IF(LEFT(A80,1)="A",IF(VALUE(MID(A80,2,10))&lt;10,"A00"&amp;VALUE(MID(A80,2,10)),IF(VALUE(MID(A80,2,10))&lt;100,"A0"&amp;VALUE(MID(A80,2,10)),IF(VALUE(MID(A80,2,10))&lt;1000,"A"&amp;VALUE(MID(A80,2,10))))),IF(LEFT(A80,1)="B",IF(VALUE(MID(A80,2,10))&lt;10,"B00"&amp;VALUE(MID(A80,2,10)),IF(VALUE(MID(A80,2,10))&lt;100,"B0"&amp;VALUE(MID(A80,2,10)),IF(VALUE(MID(A80,2,10))&lt;1000,"B"&amp;VALUE(MID(A80,2,10))))),A80)),"_",IF(NOT(OR(C80=1000,C80&gt;1000)),MID(TEXT((C80+1000)*1000,0),2,6),"keine Meter in Spalte km!!!"),IF(VALUE(I80)=1,CONCATENATE("_",VLOOKUP(IF(V80&gt;0,V80,J80),[1]Grundlage!$A$20:$B$181,2,0)),CONCATENATE("_",B80))))</f>
        <v>UQ_A980_013000_W</v>
      </c>
      <c r="F80" s="2" t="s">
        <v>41</v>
      </c>
      <c r="G80" s="167">
        <f t="shared" si="13"/>
        <v>38320</v>
      </c>
      <c r="H80">
        <f t="shared" si="14"/>
        <v>64</v>
      </c>
      <c r="I80" s="2">
        <f t="shared" si="18"/>
        <v>3</v>
      </c>
      <c r="J80" s="2">
        <f t="shared" si="19"/>
        <v>24</v>
      </c>
      <c r="K80" s="13">
        <v>204</v>
      </c>
      <c r="L80" s="2">
        <f t="shared" si="20"/>
        <v>7</v>
      </c>
      <c r="M80" s="2">
        <f t="shared" si="21"/>
        <v>63</v>
      </c>
      <c r="N80" s="2">
        <f t="shared" si="22"/>
        <v>9</v>
      </c>
      <c r="P80" s="168">
        <f t="shared" si="23"/>
        <v>69</v>
      </c>
      <c r="AS80" s="13"/>
      <c r="AT80" s="19">
        <v>3</v>
      </c>
      <c r="AU80" s="14">
        <v>24</v>
      </c>
      <c r="AV80" s="14">
        <v>18</v>
      </c>
      <c r="AW80" s="13"/>
      <c r="AX80" s="13"/>
      <c r="AY80" s="19">
        <v>63</v>
      </c>
      <c r="AZ80" s="34">
        <v>9</v>
      </c>
      <c r="BA80" s="104" t="s">
        <v>283</v>
      </c>
      <c r="BB80" s="101" t="s">
        <v>41</v>
      </c>
      <c r="BC80" s="30"/>
      <c r="BD80" s="30"/>
      <c r="BF80" s="13" t="s">
        <v>514</v>
      </c>
    </row>
    <row r="81" spans="1:58" ht="14.25" x14ac:dyDescent="0.2">
      <c r="A81" t="str">
        <f t="shared" si="15"/>
        <v>A980</v>
      </c>
      <c r="B81" s="2" t="s">
        <v>657</v>
      </c>
      <c r="C81">
        <f t="shared" si="16"/>
        <v>13</v>
      </c>
      <c r="D81" t="str">
        <f t="shared" si="17"/>
        <v>UFD</v>
      </c>
      <c r="E81" s="169" t="str">
        <f>IF(OR(A81="",B81="",C81=""),"eine der Spalten BAB, FR, km leer?",CONCATENATE(VLOOKUP(VALUE(I81),[1]Grundlage!$A$1:$B$14,2,0),IF(LEFT(A81,1)="A",IF(VALUE(MID(A81,2,10))&lt;10,"A00"&amp;VALUE(MID(A81,2,10)),IF(VALUE(MID(A81,2,10))&lt;100,"A0"&amp;VALUE(MID(A81,2,10)),IF(VALUE(MID(A81,2,10))&lt;1000,"A"&amp;VALUE(MID(A81,2,10))))),IF(LEFT(A81,1)="B",IF(VALUE(MID(A81,2,10))&lt;10,"B00"&amp;VALUE(MID(A81,2,10)),IF(VALUE(MID(A81,2,10))&lt;100,"B0"&amp;VALUE(MID(A81,2,10)),IF(VALUE(MID(A81,2,10))&lt;1000,"B"&amp;VALUE(MID(A81,2,10))))),A81)),"_",IF(NOT(OR(C81=1000,C81&gt;1000)),MID(TEXT((C81+1000)*1000,0),2,6),"keine Meter in Spalte km!!!"),IF(VALUE(I81)=1,CONCATENATE("_",VLOOKUP(IF(V81&gt;0,V81,J81),[1]Grundlage!$A$20:$B$181,2,0)),CONCATENATE("_",B81))))</f>
        <v>UQ_A980_013000_W</v>
      </c>
      <c r="F81" s="2" t="s">
        <v>42</v>
      </c>
      <c r="G81" s="167">
        <f t="shared" si="13"/>
        <v>38320</v>
      </c>
      <c r="H81">
        <f t="shared" si="14"/>
        <v>64</v>
      </c>
      <c r="I81" s="2">
        <f t="shared" si="18"/>
        <v>3</v>
      </c>
      <c r="J81" s="2">
        <f t="shared" si="19"/>
        <v>25</v>
      </c>
      <c r="K81" s="13">
        <v>204</v>
      </c>
      <c r="L81" s="2">
        <f t="shared" si="20"/>
        <v>7</v>
      </c>
      <c r="M81" s="2">
        <f t="shared" si="21"/>
        <v>63</v>
      </c>
      <c r="N81" s="2">
        <f t="shared" si="22"/>
        <v>10</v>
      </c>
      <c r="P81" s="168">
        <v>56</v>
      </c>
      <c r="AS81" s="13"/>
      <c r="AT81" s="19">
        <v>3</v>
      </c>
      <c r="AU81" s="14">
        <v>25</v>
      </c>
      <c r="AV81" s="14">
        <v>19</v>
      </c>
      <c r="AW81" s="13"/>
      <c r="AX81" s="13"/>
      <c r="AY81" s="19">
        <v>63</v>
      </c>
      <c r="AZ81" s="34">
        <v>10</v>
      </c>
      <c r="BA81" s="104" t="s">
        <v>95</v>
      </c>
      <c r="BB81" s="101" t="s">
        <v>42</v>
      </c>
      <c r="BC81" s="30"/>
      <c r="BD81" s="30"/>
      <c r="BF81" s="13" t="s">
        <v>515</v>
      </c>
    </row>
    <row r="82" spans="1:58" ht="14.25" x14ac:dyDescent="0.2">
      <c r="A82" t="str">
        <f t="shared" si="15"/>
        <v>A980</v>
      </c>
      <c r="B82" s="2" t="s">
        <v>657</v>
      </c>
      <c r="C82">
        <f t="shared" si="16"/>
        <v>13</v>
      </c>
      <c r="D82" t="str">
        <f t="shared" si="17"/>
        <v>UFD</v>
      </c>
      <c r="E82" s="169" t="str">
        <f>IF(OR(A82="",B82="",C82=""),"eine der Spalten BAB, FR, km leer?",CONCATENATE(VLOOKUP(VALUE(I82),[1]Grundlage!$A$1:$B$14,2,0),IF(LEFT(A82,1)="A",IF(VALUE(MID(A82,2,10))&lt;10,"A00"&amp;VALUE(MID(A82,2,10)),IF(VALUE(MID(A82,2,10))&lt;100,"A0"&amp;VALUE(MID(A82,2,10)),IF(VALUE(MID(A82,2,10))&lt;1000,"A"&amp;VALUE(MID(A82,2,10))))),IF(LEFT(A82,1)="B",IF(VALUE(MID(A82,2,10))&lt;10,"B00"&amp;VALUE(MID(A82,2,10)),IF(VALUE(MID(A82,2,10))&lt;100,"B0"&amp;VALUE(MID(A82,2,10)),IF(VALUE(MID(A82,2,10))&lt;1000,"B"&amp;VALUE(MID(A82,2,10))))),A82)),"_",IF(NOT(OR(C82=1000,C82&gt;1000)),MID(TEXT((C82+1000)*1000,0),2,6),"keine Meter in Spalte km!!!"),IF(VALUE(I82)=1,CONCATENATE("_",VLOOKUP(IF(V82&gt;0,V82,J82),[1]Grundlage!$A$20:$B$181,2,0)),CONCATENATE("_",B82))))</f>
        <v>UQ_A980_013000_W</v>
      </c>
      <c r="F82" s="2" t="s">
        <v>43</v>
      </c>
      <c r="G82" s="167">
        <f t="shared" si="13"/>
        <v>38320</v>
      </c>
      <c r="H82">
        <f t="shared" si="14"/>
        <v>64</v>
      </c>
      <c r="I82" s="2">
        <f t="shared" si="18"/>
        <v>3</v>
      </c>
      <c r="J82" s="2">
        <f t="shared" si="19"/>
        <v>26</v>
      </c>
      <c r="K82" s="13">
        <v>204</v>
      </c>
      <c r="L82" s="2">
        <f t="shared" si="20"/>
        <v>7</v>
      </c>
      <c r="M82" s="2">
        <f t="shared" si="21"/>
        <v>63</v>
      </c>
      <c r="N82" s="2">
        <f t="shared" si="22"/>
        <v>11</v>
      </c>
      <c r="P82" s="168">
        <f t="shared" si="23"/>
        <v>57</v>
      </c>
      <c r="AS82" s="13"/>
      <c r="AT82" s="19">
        <v>3</v>
      </c>
      <c r="AU82" s="14">
        <v>26</v>
      </c>
      <c r="AV82" s="14" t="s">
        <v>86</v>
      </c>
      <c r="AW82" s="13"/>
      <c r="AX82" s="13"/>
      <c r="AY82" s="19">
        <v>63</v>
      </c>
      <c r="AZ82" s="34">
        <v>11</v>
      </c>
      <c r="BA82" s="104" t="s">
        <v>78</v>
      </c>
      <c r="BB82" s="101" t="s">
        <v>43</v>
      </c>
      <c r="BC82" s="30"/>
      <c r="BD82" s="30"/>
      <c r="BF82" s="13" t="s">
        <v>446</v>
      </c>
    </row>
    <row r="83" spans="1:58" ht="14.25" x14ac:dyDescent="0.2">
      <c r="A83" t="str">
        <f t="shared" si="15"/>
        <v>A980</v>
      </c>
      <c r="B83" s="2" t="s">
        <v>657</v>
      </c>
      <c r="C83">
        <f t="shared" si="16"/>
        <v>13</v>
      </c>
      <c r="D83" t="str">
        <f t="shared" si="17"/>
        <v>UFD</v>
      </c>
      <c r="E83" s="169" t="str">
        <f>IF(OR(A83="",B83="",C83=""),"eine der Spalten BAB, FR, km leer?",CONCATENATE(VLOOKUP(VALUE(I83),[1]Grundlage!$A$1:$B$14,2,0),IF(LEFT(A83,1)="A",IF(VALUE(MID(A83,2,10))&lt;10,"A00"&amp;VALUE(MID(A83,2,10)),IF(VALUE(MID(A83,2,10))&lt;100,"A0"&amp;VALUE(MID(A83,2,10)),IF(VALUE(MID(A83,2,10))&lt;1000,"A"&amp;VALUE(MID(A83,2,10))))),IF(LEFT(A83,1)="B",IF(VALUE(MID(A83,2,10))&lt;10,"B00"&amp;VALUE(MID(A83,2,10)),IF(VALUE(MID(A83,2,10))&lt;100,"B0"&amp;VALUE(MID(A83,2,10)),IF(VALUE(MID(A83,2,10))&lt;1000,"B"&amp;VALUE(MID(A83,2,10))))),A83)),"_",IF(NOT(OR(C83=1000,C83&gt;1000)),MID(TEXT((C83+1000)*1000,0),2,6),"keine Meter in Spalte km!!!"),IF(VALUE(I83)=1,CONCATENATE("_",VLOOKUP(IF(V83&gt;0,V83,J83),[1]Grundlage!$A$20:$B$181,2,0)),CONCATENATE("_",B83))))</f>
        <v>UQ_A980_013000_W</v>
      </c>
      <c r="F83" s="2" t="s">
        <v>271</v>
      </c>
      <c r="G83" s="167">
        <f t="shared" si="13"/>
        <v>38320</v>
      </c>
      <c r="H83">
        <f t="shared" si="14"/>
        <v>64</v>
      </c>
      <c r="I83" s="2">
        <f t="shared" si="18"/>
        <v>3</v>
      </c>
      <c r="J83" s="2">
        <f t="shared" si="19"/>
        <v>67</v>
      </c>
      <c r="K83" s="13">
        <v>204</v>
      </c>
      <c r="L83" s="2">
        <f t="shared" si="20"/>
        <v>7</v>
      </c>
      <c r="M83" s="2">
        <f t="shared" si="21"/>
        <v>1</v>
      </c>
      <c r="N83" s="2">
        <f t="shared" si="22"/>
        <v>12</v>
      </c>
      <c r="P83" s="168">
        <f t="shared" si="23"/>
        <v>53</v>
      </c>
      <c r="AS83" s="13"/>
      <c r="AT83" s="19">
        <v>3</v>
      </c>
      <c r="AU83" s="14">
        <v>67</v>
      </c>
      <c r="AV83" s="14">
        <v>43</v>
      </c>
      <c r="AW83" s="13"/>
      <c r="AX83" s="13"/>
      <c r="AY83" s="19">
        <v>1</v>
      </c>
      <c r="AZ83" s="14">
        <v>12</v>
      </c>
      <c r="BA83" s="34" t="s">
        <v>79</v>
      </c>
      <c r="BB83" s="13" t="s">
        <v>271</v>
      </c>
      <c r="BC83" s="30"/>
      <c r="BD83" s="30"/>
      <c r="BF83" s="13" t="s">
        <v>444</v>
      </c>
    </row>
    <row r="84" spans="1:58" ht="14.25" x14ac:dyDescent="0.2">
      <c r="A84" t="str">
        <f t="shared" si="15"/>
        <v>A980</v>
      </c>
      <c r="B84" s="2" t="s">
        <v>657</v>
      </c>
      <c r="C84">
        <f t="shared" si="16"/>
        <v>13</v>
      </c>
      <c r="D84" t="str">
        <f t="shared" si="17"/>
        <v>UFD</v>
      </c>
      <c r="E84" s="169" t="str">
        <f>IF(OR(A84="",B84="",C84=""),"eine der Spalten BAB, FR, km leer?",CONCATENATE(VLOOKUP(VALUE(I84),[1]Grundlage!$A$1:$B$14,2,0),IF(LEFT(A84,1)="A",IF(VALUE(MID(A84,2,10))&lt;10,"A00"&amp;VALUE(MID(A84,2,10)),IF(VALUE(MID(A84,2,10))&lt;100,"A0"&amp;VALUE(MID(A84,2,10)),IF(VALUE(MID(A84,2,10))&lt;1000,"A"&amp;VALUE(MID(A84,2,10))))),IF(LEFT(A84,1)="B",IF(VALUE(MID(A84,2,10))&lt;10,"B00"&amp;VALUE(MID(A84,2,10)),IF(VALUE(MID(A84,2,10))&lt;100,"B0"&amp;VALUE(MID(A84,2,10)),IF(VALUE(MID(A84,2,10))&lt;1000,"B"&amp;VALUE(MID(A84,2,10))))),A84)),"_",IF(NOT(OR(C84=1000,C84&gt;1000)),MID(TEXT((C84+1000)*1000,0),2,6),"keine Meter in Spalte km!!!"),IF(VALUE(I84)=1,CONCATENATE("_",VLOOKUP(IF(V84&gt;0,V84,J84),[1]Grundlage!$A$20:$B$181,2,0)),CONCATENATE("_",B84))))</f>
        <v>UQ_A980_013000_W</v>
      </c>
      <c r="F84" s="2" t="s">
        <v>272</v>
      </c>
      <c r="G84" s="167">
        <f t="shared" si="13"/>
        <v>38320</v>
      </c>
      <c r="H84">
        <f t="shared" si="14"/>
        <v>64</v>
      </c>
      <c r="I84" s="2">
        <f t="shared" si="18"/>
        <v>3</v>
      </c>
      <c r="J84" s="2">
        <f t="shared" si="19"/>
        <v>82</v>
      </c>
      <c r="K84" s="13">
        <v>204</v>
      </c>
      <c r="L84" s="2">
        <f t="shared" si="20"/>
        <v>7</v>
      </c>
      <c r="M84" s="2">
        <f t="shared" si="21"/>
        <v>1</v>
      </c>
      <c r="N84" s="2">
        <f t="shared" si="22"/>
        <v>13</v>
      </c>
      <c r="P84" s="168">
        <f t="shared" si="23"/>
        <v>72</v>
      </c>
      <c r="AS84" s="13"/>
      <c r="AT84" s="19">
        <v>3</v>
      </c>
      <c r="AU84" s="14">
        <v>82</v>
      </c>
      <c r="AV84" s="14">
        <v>52</v>
      </c>
      <c r="AW84" s="13"/>
      <c r="AX84" s="13"/>
      <c r="AY84" s="19">
        <v>1</v>
      </c>
      <c r="AZ84" s="14">
        <v>13</v>
      </c>
      <c r="BA84" s="34" t="s">
        <v>80</v>
      </c>
      <c r="BB84" s="13" t="s">
        <v>272</v>
      </c>
      <c r="BC84" s="30"/>
      <c r="BD84" s="30"/>
      <c r="BF84" s="13" t="s">
        <v>513</v>
      </c>
    </row>
    <row r="85" spans="1:58" ht="14.25" x14ac:dyDescent="0.2">
      <c r="A85" t="str">
        <f t="shared" si="15"/>
        <v>A980</v>
      </c>
      <c r="C85">
        <f t="shared" si="16"/>
        <v>13</v>
      </c>
      <c r="D85" t="str">
        <f t="shared" si="17"/>
        <v/>
      </c>
      <c r="E85" s="169" t="str">
        <f>IF(OR(A85="",B85="",C85=""),"",CONCATENATE(VLOOKUP(VALUE(I85),[1]Grundlage!$A$1:$B$14,2,0),IF(LEFT(A85,1)="A",IF(VALUE(MID(A85,2,10))&lt;10,"A00"&amp;VALUE(MID(A85,2,10)),IF(VALUE(MID(A85,2,10))&lt;100,"A0"&amp;VALUE(MID(A85,2,10)),IF(VALUE(MID(A85,2,10))&lt;1000,"A"&amp;VALUE(MID(A85,2,10))))),IF(LEFT(A85,1)="B",IF(VALUE(MID(A85,2,10))&lt;10,"B00"&amp;VALUE(MID(A85,2,10)),IF(VALUE(MID(A85,2,10))&lt;100,"B0"&amp;VALUE(MID(A85,2,10)),IF(VALUE(MID(A85,2,10))&lt;1000,"B"&amp;VALUE(MID(A85,2,10))))),A85)),"_",IF(NOT(OR(C85=1000,C85&gt;1000)),MID(TEXT((C85+1000)*1000,0),2,6),"keine Meter in Spalte km!!!"),IF(VALUE(I85)=1,CONCATENATE("_",VLOOKUP(IF(V85&gt;0,V85,J85),[1]Grundlage!$A$20:$B$181,2,0)),CONCATENATE("_",B85))))</f>
        <v/>
      </c>
      <c r="F85" s="2" t="s">
        <v>669</v>
      </c>
      <c r="G85" s="167">
        <f t="shared" si="13"/>
        <v>38320</v>
      </c>
      <c r="H85">
        <f t="shared" si="14"/>
        <v>64</v>
      </c>
      <c r="I85" s="2">
        <f t="shared" si="18"/>
        <v>0</v>
      </c>
      <c r="J85" s="2">
        <f t="shared" si="19"/>
        <v>0</v>
      </c>
      <c r="K85" s="13">
        <v>204</v>
      </c>
      <c r="L85" s="2">
        <f t="shared" si="20"/>
        <v>7</v>
      </c>
      <c r="M85" s="2" t="str">
        <f t="shared" si="21"/>
        <v/>
      </c>
      <c r="N85" s="2" t="str">
        <f t="shared" si="22"/>
        <v/>
      </c>
      <c r="P85" s="168" t="str">
        <f t="shared" si="23"/>
        <v/>
      </c>
    </row>
    <row r="86" spans="1:58" ht="14.25" x14ac:dyDescent="0.2">
      <c r="A86" t="str">
        <f t="shared" si="15"/>
        <v>A7</v>
      </c>
      <c r="B86" s="2" t="s">
        <v>655</v>
      </c>
      <c r="C86">
        <f t="shared" si="16"/>
        <v>936.4</v>
      </c>
      <c r="D86" t="str">
        <f t="shared" si="17"/>
        <v>SS</v>
      </c>
      <c r="E86" s="169" t="str">
        <f>IF(OR(A86="",B86="",C86=""),"eine der Spalten BAB, FR, km leer?",CONCATENATE(VLOOKUP(VALUE(I86),[1]Grundlage!$A$1:$B$14,2,0),IF(LEFT(A86,1)="A",IF(VALUE(MID(A86,2,10))&lt;10,"A00"&amp;VALUE(MID(A86,2,10)),IF(VALUE(MID(A86,2,10))&lt;100,"A0"&amp;VALUE(MID(A86,2,10)),IF(VALUE(MID(A86,2,10))&lt;1000,"A"&amp;VALUE(MID(A86,2,10))))),IF(LEFT(A86,1)="B",IF(VALUE(MID(A86,2,10))&lt;10,"B00"&amp;VALUE(MID(A86,2,10)),IF(VALUE(MID(A86,2,10))&lt;100,"B0"&amp;VALUE(MID(A86,2,10)),IF(VALUE(MID(A86,2,10))&lt;1000,"B"&amp;VALUE(MID(A86,2,10))))),A86)),"_",IF(NOT(OR(C86=1000,C86&gt;1000)),MID(TEXT((C86+1000)*1000,0),2,6),"keine Meter in Spalte km!!!"),IF(VALUE(I86)=1,CONCATENATE("_",VLOOKUP(IF(V86&gt;0,V86,J86),[1]Grundlage!$A$20:$B$181,2,0)),CONCATENATE("_",B86))))</f>
        <v>SSt_A007_936400_S</v>
      </c>
      <c r="F86" s="2" t="s">
        <v>44</v>
      </c>
      <c r="G86" s="167">
        <f t="shared" si="13"/>
        <v>2809</v>
      </c>
      <c r="H86">
        <f t="shared" si="14"/>
        <v>45</v>
      </c>
      <c r="I86" s="2">
        <f t="shared" si="18"/>
        <v>254</v>
      </c>
      <c r="J86" s="2">
        <f t="shared" si="19"/>
        <v>0</v>
      </c>
      <c r="K86" s="13">
        <v>204</v>
      </c>
      <c r="L86" s="2">
        <f t="shared" si="20"/>
        <v>8</v>
      </c>
      <c r="M86" s="2" t="str">
        <f t="shared" si="21"/>
        <v/>
      </c>
      <c r="N86" s="2" t="str">
        <f t="shared" si="22"/>
        <v/>
      </c>
      <c r="P86" s="168" t="str">
        <f t="shared" si="23"/>
        <v/>
      </c>
      <c r="AI86" s="35">
        <v>936.4</v>
      </c>
      <c r="AJ86" s="36" t="s">
        <v>19</v>
      </c>
      <c r="AK86" s="36" t="s">
        <v>31</v>
      </c>
      <c r="AL86" s="36"/>
      <c r="AM86" s="36"/>
      <c r="AN86" s="36"/>
      <c r="AO86" s="36"/>
      <c r="AP86" s="42">
        <v>719149</v>
      </c>
      <c r="AQ86" s="42" t="s">
        <v>95</v>
      </c>
      <c r="AR86" s="42" t="s">
        <v>218</v>
      </c>
      <c r="AS86" s="42" t="s">
        <v>217</v>
      </c>
      <c r="AT86" s="36"/>
      <c r="AU86" s="36"/>
      <c r="AV86" s="36"/>
      <c r="AW86" s="36"/>
      <c r="AX86" s="36">
        <v>8</v>
      </c>
      <c r="AY86" s="36"/>
      <c r="AZ86" s="36"/>
      <c r="BA86" s="36"/>
      <c r="BB86" s="37" t="s">
        <v>44</v>
      </c>
      <c r="BC86" s="38"/>
      <c r="BD86" s="99" t="s">
        <v>163</v>
      </c>
      <c r="BE86" s="39" t="s">
        <v>35</v>
      </c>
      <c r="BF86" s="2" t="s">
        <v>447</v>
      </c>
    </row>
    <row r="87" spans="1:58" ht="14.25" x14ac:dyDescent="0.2">
      <c r="A87" t="str">
        <f t="shared" si="15"/>
        <v>A7</v>
      </c>
      <c r="B87" s="2" t="s">
        <v>655</v>
      </c>
      <c r="C87">
        <f t="shared" si="16"/>
        <v>936.4</v>
      </c>
      <c r="D87" t="str">
        <f t="shared" si="17"/>
        <v>UFD</v>
      </c>
      <c r="E87" s="169" t="str">
        <f>IF(OR(A87="",B87="",C87=""),"eine der Spalten BAB, FR, km leer?",CONCATENATE(VLOOKUP(VALUE(I87),[1]Grundlage!$A$1:$B$14,2,0),IF(LEFT(A87,1)="A",IF(VALUE(MID(A87,2,10))&lt;10,"A00"&amp;VALUE(MID(A87,2,10)),IF(VALUE(MID(A87,2,10))&lt;100,"A0"&amp;VALUE(MID(A87,2,10)),IF(VALUE(MID(A87,2,10))&lt;1000,"A"&amp;VALUE(MID(A87,2,10))))),IF(LEFT(A87,1)="B",IF(VALUE(MID(A87,2,10))&lt;10,"B00"&amp;VALUE(MID(A87,2,10)),IF(VALUE(MID(A87,2,10))&lt;100,"B0"&amp;VALUE(MID(A87,2,10)),IF(VALUE(MID(A87,2,10))&lt;1000,"B"&amp;VALUE(MID(A87,2,10))))),A87)),"_",IF(NOT(OR(C87=1000,C87&gt;1000)),MID(TEXT((C87+1000)*1000,0),2,6),"keine Meter in Spalte km!!!"),IF(VALUE(I87)=1,CONCATENATE("_",VLOOKUP(IF(V87&gt;0,V87,J87),[1]Grundlage!$A$20:$B$181,2,0)),CONCATENATE("_",B87))))</f>
        <v>UQ_A007_936400_S</v>
      </c>
      <c r="F87" s="2" t="s">
        <v>269</v>
      </c>
      <c r="G87" s="167">
        <f t="shared" si="13"/>
        <v>2809</v>
      </c>
      <c r="H87">
        <f t="shared" si="14"/>
        <v>45</v>
      </c>
      <c r="I87" s="2">
        <f t="shared" si="18"/>
        <v>3</v>
      </c>
      <c r="J87" s="2">
        <f t="shared" si="19"/>
        <v>6</v>
      </c>
      <c r="K87" s="13">
        <v>204</v>
      </c>
      <c r="L87" s="2">
        <f t="shared" si="20"/>
        <v>8</v>
      </c>
      <c r="M87" s="2">
        <f t="shared" si="21"/>
        <v>1</v>
      </c>
      <c r="N87" s="2">
        <f t="shared" si="22"/>
        <v>1</v>
      </c>
      <c r="P87" s="168">
        <f t="shared" si="23"/>
        <v>71</v>
      </c>
      <c r="AP87" s="40"/>
      <c r="AQ87" s="40"/>
      <c r="AR87" s="40"/>
      <c r="AS87" s="40"/>
      <c r="AT87" s="19">
        <v>3</v>
      </c>
      <c r="AU87" s="14">
        <v>6</v>
      </c>
      <c r="AV87" s="27">
        <v>6</v>
      </c>
      <c r="AW87" s="19"/>
      <c r="AX87" s="19"/>
      <c r="AY87" s="19">
        <v>1</v>
      </c>
      <c r="AZ87" s="14">
        <v>1</v>
      </c>
      <c r="BA87" s="27">
        <v>1</v>
      </c>
      <c r="BB87" s="13" t="s">
        <v>269</v>
      </c>
      <c r="BF87" s="2" t="s">
        <v>440</v>
      </c>
    </row>
    <row r="88" spans="1:58" ht="14.25" x14ac:dyDescent="0.2">
      <c r="A88" t="str">
        <f t="shared" si="15"/>
        <v>A7</v>
      </c>
      <c r="B88" s="2" t="s">
        <v>655</v>
      </c>
      <c r="C88">
        <f t="shared" si="16"/>
        <v>936.4</v>
      </c>
      <c r="D88" t="str">
        <f t="shared" si="17"/>
        <v>UFD</v>
      </c>
      <c r="E88" s="169" t="str">
        <f>IF(OR(A88="",B88="",C88=""),"eine der Spalten BAB, FR, km leer?",CONCATENATE(VLOOKUP(VALUE(I88),[1]Grundlage!$A$1:$B$14,2,0),IF(LEFT(A88,1)="A",IF(VALUE(MID(A88,2,10))&lt;10,"A00"&amp;VALUE(MID(A88,2,10)),IF(VALUE(MID(A88,2,10))&lt;100,"A0"&amp;VALUE(MID(A88,2,10)),IF(VALUE(MID(A88,2,10))&lt;1000,"A"&amp;VALUE(MID(A88,2,10))))),IF(LEFT(A88,1)="B",IF(VALUE(MID(A88,2,10))&lt;10,"B00"&amp;VALUE(MID(A88,2,10)),IF(VALUE(MID(A88,2,10))&lt;100,"B0"&amp;VALUE(MID(A88,2,10)),IF(VALUE(MID(A88,2,10))&lt;1000,"B"&amp;VALUE(MID(A88,2,10))))),A88)),"_",IF(NOT(OR(C88=1000,C88&gt;1000)),MID(TEXT((C88+1000)*1000,0),2,6),"keine Meter in Spalte km!!!"),IF(VALUE(I88)=1,CONCATENATE("_",VLOOKUP(IF(V88&gt;0,V88,J88),[1]Grundlage!$A$20:$B$181,2,0)),CONCATENATE("_",B88))))</f>
        <v>UQ_A007_936400_S</v>
      </c>
      <c r="F88" s="2" t="s">
        <v>270</v>
      </c>
      <c r="G88" s="167">
        <f t="shared" si="13"/>
        <v>2809</v>
      </c>
      <c r="H88">
        <f t="shared" si="14"/>
        <v>45</v>
      </c>
      <c r="I88" s="2">
        <f t="shared" si="18"/>
        <v>3</v>
      </c>
      <c r="J88" s="2">
        <f t="shared" si="19"/>
        <v>11</v>
      </c>
      <c r="K88" s="13">
        <v>204</v>
      </c>
      <c r="L88" s="2">
        <f t="shared" si="20"/>
        <v>8</v>
      </c>
      <c r="M88" s="2">
        <f t="shared" si="21"/>
        <v>1</v>
      </c>
      <c r="N88" s="2">
        <f t="shared" si="22"/>
        <v>2</v>
      </c>
      <c r="P88" s="168">
        <f t="shared" si="23"/>
        <v>70</v>
      </c>
      <c r="AT88" s="19">
        <v>3</v>
      </c>
      <c r="AU88" s="14">
        <v>11</v>
      </c>
      <c r="AV88" s="14" t="s">
        <v>78</v>
      </c>
      <c r="AW88" s="13"/>
      <c r="AX88" s="13"/>
      <c r="AY88" s="19">
        <v>1</v>
      </c>
      <c r="AZ88" s="14">
        <v>2</v>
      </c>
      <c r="BA88" s="14">
        <v>2</v>
      </c>
      <c r="BB88" s="13" t="s">
        <v>270</v>
      </c>
      <c r="BF88" s="2" t="s">
        <v>509</v>
      </c>
    </row>
    <row r="89" spans="1:58" ht="14.25" x14ac:dyDescent="0.2">
      <c r="A89" t="str">
        <f t="shared" si="15"/>
        <v>A7</v>
      </c>
      <c r="B89" s="2" t="s">
        <v>655</v>
      </c>
      <c r="C89">
        <f t="shared" si="16"/>
        <v>936.4</v>
      </c>
      <c r="D89" t="str">
        <f t="shared" si="17"/>
        <v>UFD</v>
      </c>
      <c r="E89" s="169" t="str">
        <f>IF(OR(A89="",B89="",C89=""),"eine der Spalten BAB, FR, km leer?",CONCATENATE(VLOOKUP(VALUE(I89),[1]Grundlage!$A$1:$B$14,2,0),IF(LEFT(A89,1)="A",IF(VALUE(MID(A89,2,10))&lt;10,"A00"&amp;VALUE(MID(A89,2,10)),IF(VALUE(MID(A89,2,10))&lt;100,"A0"&amp;VALUE(MID(A89,2,10)),IF(VALUE(MID(A89,2,10))&lt;1000,"A"&amp;VALUE(MID(A89,2,10))))),IF(LEFT(A89,1)="B",IF(VALUE(MID(A89,2,10))&lt;10,"B00"&amp;VALUE(MID(A89,2,10)),IF(VALUE(MID(A89,2,10))&lt;100,"B0"&amp;VALUE(MID(A89,2,10)),IF(VALUE(MID(A89,2,10))&lt;1000,"B"&amp;VALUE(MID(A89,2,10))))),A89)),"_",IF(NOT(OR(C89=1000,C89&gt;1000)),MID(TEXT((C89+1000)*1000,0),2,6),"keine Meter in Spalte km!!!"),IF(VALUE(I89)=1,CONCATENATE("_",VLOOKUP(IF(V89&gt;0,V89,J89),[1]Grundlage!$A$20:$B$181,2,0)),CONCATENATE("_",B89))))</f>
        <v>UQ_A007_936400_S</v>
      </c>
      <c r="F89" s="2" t="s">
        <v>25</v>
      </c>
      <c r="G89" s="167">
        <f t="shared" si="13"/>
        <v>2809</v>
      </c>
      <c r="H89">
        <f t="shared" si="14"/>
        <v>45</v>
      </c>
      <c r="I89" s="2">
        <f t="shared" si="18"/>
        <v>3</v>
      </c>
      <c r="J89" s="2">
        <f t="shared" si="19"/>
        <v>12</v>
      </c>
      <c r="K89" s="13">
        <v>204</v>
      </c>
      <c r="L89" s="2">
        <f t="shared" si="20"/>
        <v>8</v>
      </c>
      <c r="M89" s="2">
        <f t="shared" si="21"/>
        <v>1</v>
      </c>
      <c r="N89" s="2">
        <f t="shared" si="22"/>
        <v>3</v>
      </c>
      <c r="P89" s="168">
        <f t="shared" si="23"/>
        <v>48</v>
      </c>
      <c r="AT89" s="19">
        <v>3</v>
      </c>
      <c r="AU89" s="14">
        <v>12</v>
      </c>
      <c r="AV89" s="14" t="s">
        <v>79</v>
      </c>
      <c r="AW89" s="13"/>
      <c r="AX89" s="13"/>
      <c r="AY89" s="19">
        <v>1</v>
      </c>
      <c r="AZ89" s="14">
        <v>3</v>
      </c>
      <c r="BA89" s="14">
        <v>3</v>
      </c>
      <c r="BB89" s="13" t="s">
        <v>25</v>
      </c>
      <c r="BF89" s="13" t="s">
        <v>441</v>
      </c>
    </row>
    <row r="90" spans="1:58" ht="14.25" x14ac:dyDescent="0.2">
      <c r="A90" t="str">
        <f t="shared" si="15"/>
        <v>A7</v>
      </c>
      <c r="B90" s="2" t="s">
        <v>655</v>
      </c>
      <c r="C90">
        <f t="shared" si="16"/>
        <v>936.4</v>
      </c>
      <c r="D90" t="str">
        <f t="shared" si="17"/>
        <v>UFD</v>
      </c>
      <c r="E90" s="169" t="str">
        <f>IF(OR(A90="",B90="",C90=""),"eine der Spalten BAB, FR, km leer?",CONCATENATE(VLOOKUP(VALUE(I90),[1]Grundlage!$A$1:$B$14,2,0),IF(LEFT(A90,1)="A",IF(VALUE(MID(A90,2,10))&lt;10,"A00"&amp;VALUE(MID(A90,2,10)),IF(VALUE(MID(A90,2,10))&lt;100,"A0"&amp;VALUE(MID(A90,2,10)),IF(VALUE(MID(A90,2,10))&lt;1000,"A"&amp;VALUE(MID(A90,2,10))))),IF(LEFT(A90,1)="B",IF(VALUE(MID(A90,2,10))&lt;10,"B00"&amp;VALUE(MID(A90,2,10)),IF(VALUE(MID(A90,2,10))&lt;100,"B0"&amp;VALUE(MID(A90,2,10)),IF(VALUE(MID(A90,2,10))&lt;1000,"B"&amp;VALUE(MID(A90,2,10))))),A90)),"_",IF(NOT(OR(C90=1000,C90&gt;1000)),MID(TEXT((C90+1000)*1000,0),2,6),"keine Meter in Spalte km!!!"),IF(VALUE(I90)=1,CONCATENATE("_",VLOOKUP(IF(V90&gt;0,V90,J90),[1]Grundlage!$A$20:$B$181,2,0)),CONCATENATE("_",B90))))</f>
        <v>UQ_A007_936400_S</v>
      </c>
      <c r="F90" s="2" t="s">
        <v>26</v>
      </c>
      <c r="G90" s="167">
        <f t="shared" si="13"/>
        <v>2809</v>
      </c>
      <c r="H90">
        <f t="shared" si="14"/>
        <v>45</v>
      </c>
      <c r="I90" s="2">
        <f t="shared" si="18"/>
        <v>3</v>
      </c>
      <c r="J90" s="2">
        <f t="shared" si="19"/>
        <v>13</v>
      </c>
      <c r="K90" s="13">
        <v>204</v>
      </c>
      <c r="L90" s="2">
        <f t="shared" si="20"/>
        <v>8</v>
      </c>
      <c r="M90" s="2">
        <f t="shared" si="21"/>
        <v>1</v>
      </c>
      <c r="N90" s="2">
        <f t="shared" si="22"/>
        <v>4</v>
      </c>
      <c r="P90" s="168">
        <f t="shared" si="23"/>
        <v>55</v>
      </c>
      <c r="AT90" s="19">
        <v>3</v>
      </c>
      <c r="AU90" s="14">
        <v>13</v>
      </c>
      <c r="AV90" s="14" t="s">
        <v>80</v>
      </c>
      <c r="AW90" s="13"/>
      <c r="AX90" s="13"/>
      <c r="AY90" s="19">
        <v>1</v>
      </c>
      <c r="AZ90" s="14">
        <v>4</v>
      </c>
      <c r="BA90" s="14">
        <v>4</v>
      </c>
      <c r="BB90" s="13" t="s">
        <v>26</v>
      </c>
      <c r="BF90" s="13" t="s">
        <v>442</v>
      </c>
    </row>
    <row r="91" spans="1:58" ht="14.25" x14ac:dyDescent="0.2">
      <c r="A91" t="str">
        <f t="shared" si="15"/>
        <v>A7</v>
      </c>
      <c r="B91" s="2" t="s">
        <v>655</v>
      </c>
      <c r="C91">
        <f t="shared" si="16"/>
        <v>936.4</v>
      </c>
      <c r="D91" t="str">
        <f t="shared" si="17"/>
        <v>UFD</v>
      </c>
      <c r="E91" s="169" t="str">
        <f>IF(OR(A91="",B91="",C91=""),"eine der Spalten BAB, FR, km leer?",CONCATENATE(VLOOKUP(VALUE(I91),[1]Grundlage!$A$1:$B$14,2,0),IF(LEFT(A91,1)="A",IF(VALUE(MID(A91,2,10))&lt;10,"A00"&amp;VALUE(MID(A91,2,10)),IF(VALUE(MID(A91,2,10))&lt;100,"A0"&amp;VALUE(MID(A91,2,10)),IF(VALUE(MID(A91,2,10))&lt;1000,"A"&amp;VALUE(MID(A91,2,10))))),IF(LEFT(A91,1)="B",IF(VALUE(MID(A91,2,10))&lt;10,"B00"&amp;VALUE(MID(A91,2,10)),IF(VALUE(MID(A91,2,10))&lt;100,"B0"&amp;VALUE(MID(A91,2,10)),IF(VALUE(MID(A91,2,10))&lt;1000,"B"&amp;VALUE(MID(A91,2,10))))),A91)),"_",IF(NOT(OR(C91=1000,C91&gt;1000)),MID(TEXT((C91+1000)*1000,0),2,6),"keine Meter in Spalte km!!!"),IF(VALUE(I91)=1,CONCATENATE("_",VLOOKUP(IF(V91&gt;0,V91,J91),[1]Grundlage!$A$20:$B$181,2,0)),CONCATENATE("_",B91))))</f>
        <v>UQ_A007_936400_S</v>
      </c>
      <c r="F91" s="2" t="s">
        <v>27</v>
      </c>
      <c r="G91" s="167">
        <f t="shared" si="13"/>
        <v>2809</v>
      </c>
      <c r="H91">
        <f t="shared" si="14"/>
        <v>45</v>
      </c>
      <c r="I91" s="2">
        <f t="shared" si="18"/>
        <v>3</v>
      </c>
      <c r="J91" s="2">
        <f t="shared" si="19"/>
        <v>14</v>
      </c>
      <c r="K91" s="13">
        <v>204</v>
      </c>
      <c r="L91" s="2">
        <f t="shared" si="20"/>
        <v>8</v>
      </c>
      <c r="M91" s="2">
        <f t="shared" si="21"/>
        <v>1</v>
      </c>
      <c r="N91" s="2">
        <f t="shared" si="22"/>
        <v>5</v>
      </c>
      <c r="P91" s="168">
        <f t="shared" si="23"/>
        <v>66</v>
      </c>
      <c r="AT91" s="19">
        <v>3</v>
      </c>
      <c r="AU91" s="14">
        <v>14</v>
      </c>
      <c r="AV91" s="14" t="s">
        <v>81</v>
      </c>
      <c r="AW91" s="13"/>
      <c r="AX91" s="13"/>
      <c r="AY91" s="19">
        <v>1</v>
      </c>
      <c r="AZ91" s="14">
        <v>5</v>
      </c>
      <c r="BA91" s="14">
        <v>5</v>
      </c>
      <c r="BB91" s="13" t="s">
        <v>27</v>
      </c>
      <c r="BF91" s="13" t="s">
        <v>443</v>
      </c>
    </row>
    <row r="92" spans="1:58" ht="14.25" x14ac:dyDescent="0.2">
      <c r="A92" t="str">
        <f t="shared" si="15"/>
        <v>A7</v>
      </c>
      <c r="B92" s="2" t="s">
        <v>655</v>
      </c>
      <c r="C92">
        <f t="shared" si="16"/>
        <v>936.4</v>
      </c>
      <c r="D92" t="str">
        <f t="shared" si="17"/>
        <v>UFD</v>
      </c>
      <c r="E92" s="169" t="str">
        <f>IF(OR(A92="",B92="",C92=""),"eine der Spalten BAB, FR, km leer?",CONCATENATE(VLOOKUP(VALUE(I92),[1]Grundlage!$A$1:$B$14,2,0),IF(LEFT(A92,1)="A",IF(VALUE(MID(A92,2,10))&lt;10,"A00"&amp;VALUE(MID(A92,2,10)),IF(VALUE(MID(A92,2,10))&lt;100,"A0"&amp;VALUE(MID(A92,2,10)),IF(VALUE(MID(A92,2,10))&lt;1000,"A"&amp;VALUE(MID(A92,2,10))))),IF(LEFT(A92,1)="B",IF(VALUE(MID(A92,2,10))&lt;10,"B00"&amp;VALUE(MID(A92,2,10)),IF(VALUE(MID(A92,2,10))&lt;100,"B0"&amp;VALUE(MID(A92,2,10)),IF(VALUE(MID(A92,2,10))&lt;1000,"B"&amp;VALUE(MID(A92,2,10))))),A92)),"_",IF(NOT(OR(C92=1000,C92&gt;1000)),MID(TEXT((C92+1000)*1000,0),2,6),"keine Meter in Spalte km!!!"),IF(VALUE(I92)=1,CONCATENATE("_",VLOOKUP(IF(V92&gt;0,V92,J92),[1]Grundlage!$A$20:$B$181,2,0)),CONCATENATE("_",B92))))</f>
        <v>UQ_A007_936400_S</v>
      </c>
      <c r="F92" s="2" t="s">
        <v>28</v>
      </c>
      <c r="G92" s="167">
        <f t="shared" si="13"/>
        <v>2809</v>
      </c>
      <c r="H92">
        <f t="shared" si="14"/>
        <v>45</v>
      </c>
      <c r="I92" s="2">
        <f t="shared" si="18"/>
        <v>3</v>
      </c>
      <c r="J92" s="2">
        <f t="shared" si="19"/>
        <v>15</v>
      </c>
      <c r="K92" s="13">
        <v>204</v>
      </c>
      <c r="L92" s="2">
        <f t="shared" si="20"/>
        <v>8</v>
      </c>
      <c r="M92" s="2">
        <f t="shared" si="21"/>
        <v>1</v>
      </c>
      <c r="N92" s="2">
        <f t="shared" si="22"/>
        <v>6</v>
      </c>
      <c r="P92" s="168">
        <f t="shared" si="23"/>
        <v>65</v>
      </c>
      <c r="AT92" s="19">
        <v>3</v>
      </c>
      <c r="AU92" s="14">
        <v>15</v>
      </c>
      <c r="AV92" s="14" t="s">
        <v>82</v>
      </c>
      <c r="AW92" s="13"/>
      <c r="AX92" s="13"/>
      <c r="AY92" s="19">
        <v>1</v>
      </c>
      <c r="AZ92" s="14">
        <v>6</v>
      </c>
      <c r="BA92" s="14">
        <v>6</v>
      </c>
      <c r="BB92" s="13" t="s">
        <v>28</v>
      </c>
      <c r="BF92" s="13" t="s">
        <v>510</v>
      </c>
    </row>
    <row r="93" spans="1:58" ht="14.25" x14ac:dyDescent="0.2">
      <c r="A93" t="str">
        <f t="shared" si="15"/>
        <v>A7</v>
      </c>
      <c r="B93" s="2" t="s">
        <v>655</v>
      </c>
      <c r="C93">
        <f t="shared" si="16"/>
        <v>936.4</v>
      </c>
      <c r="D93" t="str">
        <f t="shared" si="17"/>
        <v>UFD</v>
      </c>
      <c r="E93" s="169" t="str">
        <f>IF(OR(A93="",B93="",C93=""),"eine der Spalten BAB, FR, km leer?",CONCATENATE(VLOOKUP(VALUE(I93),[1]Grundlage!$A$1:$B$14,2,0),IF(LEFT(A93,1)="A",IF(VALUE(MID(A93,2,10))&lt;10,"A00"&amp;VALUE(MID(A93,2,10)),IF(VALUE(MID(A93,2,10))&lt;100,"A0"&amp;VALUE(MID(A93,2,10)),IF(VALUE(MID(A93,2,10))&lt;1000,"A"&amp;VALUE(MID(A93,2,10))))),IF(LEFT(A93,1)="B",IF(VALUE(MID(A93,2,10))&lt;10,"B00"&amp;VALUE(MID(A93,2,10)),IF(VALUE(MID(A93,2,10))&lt;100,"B0"&amp;VALUE(MID(A93,2,10)),IF(VALUE(MID(A93,2,10))&lt;1000,"B"&amp;VALUE(MID(A93,2,10))))),A93)),"_",IF(NOT(OR(C93=1000,C93&gt;1000)),MID(TEXT((C93+1000)*1000,0),2,6),"keine Meter in Spalte km!!!"),IF(VALUE(I93)=1,CONCATENATE("_",VLOOKUP(IF(V93&gt;0,V93,J93),[1]Grundlage!$A$20:$B$181,2,0)),CONCATENATE("_",B93))))</f>
        <v>UQ_A007_936400_S</v>
      </c>
      <c r="F93" s="2" t="s">
        <v>29</v>
      </c>
      <c r="G93" s="167">
        <f t="shared" si="13"/>
        <v>2809</v>
      </c>
      <c r="H93">
        <f t="shared" si="14"/>
        <v>45</v>
      </c>
      <c r="I93" s="2">
        <f t="shared" si="18"/>
        <v>3</v>
      </c>
      <c r="J93" s="2">
        <f t="shared" si="19"/>
        <v>19</v>
      </c>
      <c r="K93" s="13">
        <v>204</v>
      </c>
      <c r="L93" s="2">
        <f t="shared" si="20"/>
        <v>8</v>
      </c>
      <c r="M93" s="2">
        <f t="shared" si="21"/>
        <v>1</v>
      </c>
      <c r="N93" s="2">
        <f t="shared" si="22"/>
        <v>7</v>
      </c>
      <c r="P93" s="168">
        <f t="shared" si="23"/>
        <v>49</v>
      </c>
      <c r="AT93" s="19">
        <v>3</v>
      </c>
      <c r="AU93" s="14">
        <v>19</v>
      </c>
      <c r="AV93" s="14">
        <v>13</v>
      </c>
      <c r="AW93" s="13"/>
      <c r="AX93" s="13"/>
      <c r="AY93" s="19">
        <v>1</v>
      </c>
      <c r="AZ93" s="14">
        <v>7</v>
      </c>
      <c r="BA93" s="14">
        <v>7</v>
      </c>
      <c r="BB93" s="13" t="s">
        <v>29</v>
      </c>
      <c r="BF93" s="13" t="s">
        <v>511</v>
      </c>
    </row>
    <row r="94" spans="1:58" ht="14.25" x14ac:dyDescent="0.2">
      <c r="A94" t="str">
        <f t="shared" si="15"/>
        <v>A7</v>
      </c>
      <c r="B94" s="2" t="s">
        <v>655</v>
      </c>
      <c r="C94">
        <f t="shared" si="16"/>
        <v>936.4</v>
      </c>
      <c r="D94" t="str">
        <f t="shared" si="17"/>
        <v>UFD</v>
      </c>
      <c r="E94" s="169" t="str">
        <f>IF(OR(A94="",B94="",C94=""),"eine der Spalten BAB, FR, km leer?",CONCATENATE(VLOOKUP(VALUE(I94),[1]Grundlage!$A$1:$B$14,2,0),IF(LEFT(A94,1)="A",IF(VALUE(MID(A94,2,10))&lt;10,"A00"&amp;VALUE(MID(A94,2,10)),IF(VALUE(MID(A94,2,10))&lt;100,"A0"&amp;VALUE(MID(A94,2,10)),IF(VALUE(MID(A94,2,10))&lt;1000,"A"&amp;VALUE(MID(A94,2,10))))),IF(LEFT(A94,1)="B",IF(VALUE(MID(A94,2,10))&lt;10,"B00"&amp;VALUE(MID(A94,2,10)),IF(VALUE(MID(A94,2,10))&lt;100,"B0"&amp;VALUE(MID(A94,2,10)),IF(VALUE(MID(A94,2,10))&lt;1000,"B"&amp;VALUE(MID(A94,2,10))))),A94)),"_",IF(NOT(OR(C94=1000,C94&gt;1000)),MID(TEXT((C94+1000)*1000,0),2,6),"keine Meter in Spalte km!!!"),IF(VALUE(I94)=1,CONCATENATE("_",VLOOKUP(IF(V94&gt;0,V94,J94),[1]Grundlage!$A$20:$B$181,2,0)),CONCATENATE("_",B94))))</f>
        <v>UQ_A007_936400_S</v>
      </c>
      <c r="F94" s="2" t="s">
        <v>30</v>
      </c>
      <c r="G94" s="167">
        <f t="shared" si="13"/>
        <v>2809</v>
      </c>
      <c r="H94">
        <f t="shared" si="14"/>
        <v>45</v>
      </c>
      <c r="I94" s="2">
        <f t="shared" si="18"/>
        <v>3</v>
      </c>
      <c r="J94" s="2">
        <f t="shared" si="19"/>
        <v>21</v>
      </c>
      <c r="K94" s="13">
        <v>204</v>
      </c>
      <c r="L94" s="2">
        <f t="shared" si="20"/>
        <v>8</v>
      </c>
      <c r="M94" s="2">
        <f t="shared" si="21"/>
        <v>1</v>
      </c>
      <c r="N94" s="2">
        <f t="shared" si="22"/>
        <v>8</v>
      </c>
      <c r="P94" s="168">
        <f t="shared" si="23"/>
        <v>67</v>
      </c>
      <c r="AT94" s="19">
        <v>3</v>
      </c>
      <c r="AU94" s="14">
        <v>21</v>
      </c>
      <c r="AV94" s="14">
        <v>15</v>
      </c>
      <c r="AW94" s="13"/>
      <c r="AX94" s="13"/>
      <c r="AY94" s="19">
        <v>1</v>
      </c>
      <c r="AZ94" s="14">
        <v>8</v>
      </c>
      <c r="BA94" s="14">
        <v>8</v>
      </c>
      <c r="BB94" s="13" t="s">
        <v>30</v>
      </c>
      <c r="BF94" s="13" t="s">
        <v>512</v>
      </c>
    </row>
    <row r="95" spans="1:58" ht="14.25" x14ac:dyDescent="0.2">
      <c r="A95" t="str">
        <f t="shared" si="15"/>
        <v>A7</v>
      </c>
      <c r="B95" s="2" t="s">
        <v>655</v>
      </c>
      <c r="C95">
        <f t="shared" si="16"/>
        <v>936.4</v>
      </c>
      <c r="D95" t="str">
        <f t="shared" si="17"/>
        <v>UFD</v>
      </c>
      <c r="E95" s="169" t="str">
        <f>IF(OR(A95="",B95="",C95=""),"eine der Spalten BAB, FR, km leer?",CONCATENATE(VLOOKUP(VALUE(I95),[1]Grundlage!$A$1:$B$14,2,0),IF(LEFT(A95,1)="A",IF(VALUE(MID(A95,2,10))&lt;10,"A00"&amp;VALUE(MID(A95,2,10)),IF(VALUE(MID(A95,2,10))&lt;100,"A0"&amp;VALUE(MID(A95,2,10)),IF(VALUE(MID(A95,2,10))&lt;1000,"A"&amp;VALUE(MID(A95,2,10))))),IF(LEFT(A95,1)="B",IF(VALUE(MID(A95,2,10))&lt;10,"B00"&amp;VALUE(MID(A95,2,10)),IF(VALUE(MID(A95,2,10))&lt;100,"B0"&amp;VALUE(MID(A95,2,10)),IF(VALUE(MID(A95,2,10))&lt;1000,"B"&amp;VALUE(MID(A95,2,10))))),A95)),"_",IF(NOT(OR(C95=1000,C95&gt;1000)),MID(TEXT((C95+1000)*1000,0),2,6),"keine Meter in Spalte km!!!"),IF(VALUE(I95)=1,CONCATENATE("_",VLOOKUP(IF(V95&gt;0,V95,J95),[1]Grundlage!$A$20:$B$181,2,0)),CONCATENATE("_",B95))))</f>
        <v>UQ_A007_936400_S</v>
      </c>
      <c r="F95" s="2" t="s">
        <v>271</v>
      </c>
      <c r="G95" s="167">
        <f t="shared" si="13"/>
        <v>2809</v>
      </c>
      <c r="H95">
        <f t="shared" si="14"/>
        <v>45</v>
      </c>
      <c r="I95" s="2">
        <f t="shared" si="18"/>
        <v>3</v>
      </c>
      <c r="J95" s="2">
        <f t="shared" si="19"/>
        <v>67</v>
      </c>
      <c r="K95" s="13">
        <v>204</v>
      </c>
      <c r="L95" s="2">
        <f t="shared" si="20"/>
        <v>8</v>
      </c>
      <c r="M95" s="2">
        <f t="shared" si="21"/>
        <v>1</v>
      </c>
      <c r="N95" s="2">
        <f t="shared" si="22"/>
        <v>9</v>
      </c>
      <c r="P95" s="168">
        <f t="shared" si="23"/>
        <v>53</v>
      </c>
      <c r="AT95" s="19">
        <v>3</v>
      </c>
      <c r="AU95" s="14">
        <v>67</v>
      </c>
      <c r="AV95" s="14">
        <v>43</v>
      </c>
      <c r="AW95" s="13"/>
      <c r="AX95" s="13"/>
      <c r="AY95" s="19">
        <v>1</v>
      </c>
      <c r="AZ95" s="14">
        <v>9</v>
      </c>
      <c r="BA95" s="34">
        <v>9</v>
      </c>
      <c r="BB95" s="13" t="s">
        <v>271</v>
      </c>
      <c r="BF95" s="13" t="s">
        <v>444</v>
      </c>
    </row>
    <row r="96" spans="1:58" ht="14.25" x14ac:dyDescent="0.2">
      <c r="A96" t="str">
        <f t="shared" si="15"/>
        <v>A7</v>
      </c>
      <c r="B96" s="2" t="s">
        <v>655</v>
      </c>
      <c r="C96">
        <f t="shared" si="16"/>
        <v>936.4</v>
      </c>
      <c r="D96" t="str">
        <f t="shared" si="17"/>
        <v>UFD</v>
      </c>
      <c r="E96" s="169" t="str">
        <f>IF(OR(A96="",B96="",C96=""),"eine der Spalten BAB, FR, km leer?",CONCATENATE(VLOOKUP(VALUE(I96),[1]Grundlage!$A$1:$B$14,2,0),IF(LEFT(A96,1)="A",IF(VALUE(MID(A96,2,10))&lt;10,"A00"&amp;VALUE(MID(A96,2,10)),IF(VALUE(MID(A96,2,10))&lt;100,"A0"&amp;VALUE(MID(A96,2,10)),IF(VALUE(MID(A96,2,10))&lt;1000,"A"&amp;VALUE(MID(A96,2,10))))),IF(LEFT(A96,1)="B",IF(VALUE(MID(A96,2,10))&lt;10,"B00"&amp;VALUE(MID(A96,2,10)),IF(VALUE(MID(A96,2,10))&lt;100,"B0"&amp;VALUE(MID(A96,2,10)),IF(VALUE(MID(A96,2,10))&lt;1000,"B"&amp;VALUE(MID(A96,2,10))))),A96)),"_",IF(NOT(OR(C96=1000,C96&gt;1000)),MID(TEXT((C96+1000)*1000,0),2,6),"keine Meter in Spalte km!!!"),IF(VALUE(I96)=1,CONCATENATE("_",VLOOKUP(IF(V96&gt;0,V96,J96),[1]Grundlage!$A$20:$B$181,2,0)),CONCATENATE("_",B96))))</f>
        <v>UQ_A007_936400_S</v>
      </c>
      <c r="F96" s="2" t="s">
        <v>272</v>
      </c>
      <c r="G96" s="167">
        <f t="shared" si="13"/>
        <v>2809</v>
      </c>
      <c r="H96">
        <f t="shared" si="14"/>
        <v>45</v>
      </c>
      <c r="I96" s="2">
        <f t="shared" si="18"/>
        <v>3</v>
      </c>
      <c r="J96" s="2">
        <f t="shared" si="19"/>
        <v>82</v>
      </c>
      <c r="K96" s="13">
        <v>204</v>
      </c>
      <c r="L96" s="2">
        <f t="shared" si="20"/>
        <v>8</v>
      </c>
      <c r="M96" s="2">
        <f t="shared" si="21"/>
        <v>1</v>
      </c>
      <c r="N96" s="2">
        <f t="shared" si="22"/>
        <v>10</v>
      </c>
      <c r="P96" s="168">
        <f t="shared" si="23"/>
        <v>72</v>
      </c>
      <c r="AT96" s="19">
        <v>3</v>
      </c>
      <c r="AU96" s="14">
        <v>82</v>
      </c>
      <c r="AV96" s="14">
        <v>52</v>
      </c>
      <c r="AW96" s="13"/>
      <c r="AX96" s="13"/>
      <c r="AY96" s="19">
        <v>1</v>
      </c>
      <c r="AZ96" s="14">
        <v>10</v>
      </c>
      <c r="BA96" s="34" t="s">
        <v>95</v>
      </c>
      <c r="BB96" s="13" t="s">
        <v>272</v>
      </c>
      <c r="BF96" s="13" t="s">
        <v>513</v>
      </c>
    </row>
    <row r="97" spans="1:58" ht="15" thickBot="1" x14ac:dyDescent="0.25">
      <c r="A97" t="str">
        <f t="shared" si="15"/>
        <v>A7</v>
      </c>
      <c r="C97">
        <f t="shared" si="16"/>
        <v>936.4</v>
      </c>
      <c r="D97" t="str">
        <f t="shared" si="17"/>
        <v/>
      </c>
      <c r="E97" s="169" t="str">
        <f>IF(OR(A97="",B97="",C97=""),"",CONCATENATE(VLOOKUP(VALUE(I97),[1]Grundlage!$A$1:$B$14,2,0),IF(LEFT(A97,1)="A",IF(VALUE(MID(A97,2,10))&lt;10,"A00"&amp;VALUE(MID(A97,2,10)),IF(VALUE(MID(A97,2,10))&lt;100,"A0"&amp;VALUE(MID(A97,2,10)),IF(VALUE(MID(A97,2,10))&lt;1000,"A"&amp;VALUE(MID(A97,2,10))))),IF(LEFT(A97,1)="B",IF(VALUE(MID(A97,2,10))&lt;10,"B00"&amp;VALUE(MID(A97,2,10)),IF(VALUE(MID(A97,2,10))&lt;100,"B0"&amp;VALUE(MID(A97,2,10)),IF(VALUE(MID(A97,2,10))&lt;1000,"B"&amp;VALUE(MID(A97,2,10))))),A97)),"_",IF(NOT(OR(C97=1000,C97&gt;1000)),MID(TEXT((C97+1000)*1000,0),2,6),"keine Meter in Spalte km!!!"),IF(VALUE(I97)=1,CONCATENATE("_",VLOOKUP(IF(V97&gt;0,V97,J97),[1]Grundlage!$A$20:$B$181,2,0)),CONCATENATE("_",B97))))</f>
        <v/>
      </c>
      <c r="F97" s="2" t="s">
        <v>669</v>
      </c>
      <c r="G97" s="167">
        <f t="shared" si="13"/>
        <v>2809</v>
      </c>
      <c r="H97">
        <f t="shared" si="14"/>
        <v>45</v>
      </c>
      <c r="I97" s="2">
        <f t="shared" si="18"/>
        <v>0</v>
      </c>
      <c r="J97" s="2">
        <f t="shared" si="19"/>
        <v>0</v>
      </c>
      <c r="L97" s="2">
        <f t="shared" si="20"/>
        <v>8</v>
      </c>
      <c r="M97" s="2" t="str">
        <f t="shared" si="21"/>
        <v/>
      </c>
      <c r="N97" s="2" t="str">
        <f t="shared" si="22"/>
        <v/>
      </c>
      <c r="P97" s="168" t="str">
        <f t="shared" si="23"/>
        <v/>
      </c>
      <c r="AT97" s="1"/>
      <c r="AU97" s="11"/>
      <c r="AV97" s="11"/>
      <c r="AY97" s="1"/>
      <c r="AZ97" s="14"/>
      <c r="BA97" s="11"/>
    </row>
    <row r="98" spans="1:58" ht="15.75" thickTop="1" thickBot="1" x14ac:dyDescent="0.25">
      <c r="A98" t="str">
        <f t="shared" si="15"/>
        <v>Memmingen</v>
      </c>
      <c r="C98">
        <f t="shared" si="16"/>
        <v>936.4</v>
      </c>
      <c r="D98" t="str">
        <f t="shared" si="17"/>
        <v/>
      </c>
      <c r="E98" s="169" t="str">
        <f>IF(OR(A98="",B98="",C98=""),"",CONCATENATE(VLOOKUP(VALUE(I98),[1]Grundlage!$A$1:$B$14,2,0),IF(LEFT(A98,1)="A",IF(VALUE(MID(A98,2,10))&lt;10,"A00"&amp;VALUE(MID(A98,2,10)),IF(VALUE(MID(A98,2,10))&lt;100,"A0"&amp;VALUE(MID(A98,2,10)),IF(VALUE(MID(A98,2,10))&lt;1000,"A"&amp;VALUE(MID(A98,2,10))))),IF(LEFT(A98,1)="B",IF(VALUE(MID(A98,2,10))&lt;10,"B00"&amp;VALUE(MID(A98,2,10)),IF(VALUE(MID(A98,2,10))&lt;100,"B0"&amp;VALUE(MID(A98,2,10)),IF(VALUE(MID(A98,2,10))&lt;1000,"B"&amp;VALUE(MID(A98,2,10))))),A98)),"_",IF(NOT(OR(C98=1000,C98&gt;1000)),MID(TEXT((C98+1000)*1000,0),2,6),"keine Meter in Spalte km!!!"),IF(VALUE(I98)=1,CONCATENATE("_",VLOOKUP(IF(V98&gt;0,V98,J98),[1]Grundlage!$A$20:$B$181,2,0)),CONCATENATE("_",B98))))</f>
        <v/>
      </c>
      <c r="F98" s="2" t="s">
        <v>669</v>
      </c>
      <c r="G98" s="167">
        <f t="shared" si="13"/>
        <v>2809</v>
      </c>
      <c r="H98">
        <f t="shared" si="14"/>
        <v>45</v>
      </c>
      <c r="I98" s="2">
        <f t="shared" si="18"/>
        <v>0</v>
      </c>
      <c r="J98" s="2">
        <f t="shared" si="19"/>
        <v>0</v>
      </c>
      <c r="L98" s="2">
        <f t="shared" si="20"/>
        <v>8</v>
      </c>
      <c r="M98" s="2" t="str">
        <f t="shared" si="21"/>
        <v/>
      </c>
      <c r="N98" s="2" t="str">
        <f t="shared" si="22"/>
        <v/>
      </c>
      <c r="P98" s="168" t="str">
        <f t="shared" si="23"/>
        <v/>
      </c>
      <c r="AI98" s="48"/>
      <c r="AJ98" s="49" t="s">
        <v>17</v>
      </c>
      <c r="AK98" s="49" t="s">
        <v>18</v>
      </c>
      <c r="AL98" s="49"/>
      <c r="AM98" s="49"/>
      <c r="AN98" s="49"/>
      <c r="AO98" s="49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1"/>
      <c r="BD98" s="51"/>
      <c r="BE98" s="50"/>
    </row>
    <row r="99" spans="1:58" s="13" customFormat="1" ht="15" thickTop="1" x14ac:dyDescent="0.2">
      <c r="A99" t="str">
        <f t="shared" si="15"/>
        <v>Memmingen</v>
      </c>
      <c r="B99" s="2"/>
      <c r="C99">
        <f t="shared" si="16"/>
        <v>936.4</v>
      </c>
      <c r="D99" t="str">
        <f t="shared" si="17"/>
        <v/>
      </c>
      <c r="E99" s="169" t="str">
        <f>IF(OR(A99="",B99="",C99=""),"",CONCATENATE(VLOOKUP(VALUE(I99),[1]Grundlage!$A$1:$B$14,2,0),IF(LEFT(A99,1)="A",IF(VALUE(MID(A99,2,10))&lt;10,"A00"&amp;VALUE(MID(A99,2,10)),IF(VALUE(MID(A99,2,10))&lt;100,"A0"&amp;VALUE(MID(A99,2,10)),IF(VALUE(MID(A99,2,10))&lt;1000,"A"&amp;VALUE(MID(A99,2,10))))),IF(LEFT(A99,1)="B",IF(VALUE(MID(A99,2,10))&lt;10,"B00"&amp;VALUE(MID(A99,2,10)),IF(VALUE(MID(A99,2,10))&lt;100,"B0"&amp;VALUE(MID(A99,2,10)),IF(VALUE(MID(A99,2,10))&lt;1000,"B"&amp;VALUE(MID(A99,2,10))))),A99)),"_",IF(NOT(OR(C99=1000,C99&gt;1000)),MID(TEXT((C99+1000)*1000,0),2,6),"keine Meter in Spalte km!!!"),IF(VALUE(I99)=1,CONCATENATE("_",VLOOKUP(IF(V99&gt;0,V99,J99),[1]Grundlage!$A$20:$B$181,2,0)),CONCATENATE("_",B99))))</f>
        <v/>
      </c>
      <c r="F99" s="2" t="s">
        <v>669</v>
      </c>
      <c r="G99" s="167">
        <f t="shared" si="13"/>
        <v>2809</v>
      </c>
      <c r="H99">
        <f t="shared" si="14"/>
        <v>45</v>
      </c>
      <c r="I99" s="2">
        <f t="shared" si="18"/>
        <v>0</v>
      </c>
      <c r="J99" s="2">
        <f t="shared" si="19"/>
        <v>0</v>
      </c>
      <c r="K99" s="2"/>
      <c r="L99" s="2">
        <f t="shared" si="20"/>
        <v>8</v>
      </c>
      <c r="M99" s="2" t="str">
        <f t="shared" si="21"/>
        <v/>
      </c>
      <c r="N99" s="2" t="str">
        <f t="shared" si="22"/>
        <v/>
      </c>
      <c r="O99" s="2"/>
      <c r="P99" s="168" t="str">
        <f t="shared" si="23"/>
        <v/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1"/>
      <c r="AJ99" s="26"/>
      <c r="AK99" s="26"/>
      <c r="AL99" s="26"/>
      <c r="AM99" s="26"/>
      <c r="AN99" s="26"/>
      <c r="AO99" s="26"/>
      <c r="BC99" s="25"/>
      <c r="BD99" s="25"/>
    </row>
    <row r="100" spans="1:58" ht="14.25" x14ac:dyDescent="0.2">
      <c r="A100" t="s">
        <v>31</v>
      </c>
      <c r="B100" s="2" t="s">
        <v>655</v>
      </c>
      <c r="C100">
        <f t="shared" si="16"/>
        <v>851.7</v>
      </c>
      <c r="D100" t="str">
        <f t="shared" si="17"/>
        <v>SS</v>
      </c>
      <c r="E100" s="169" t="str">
        <f>IF(OR(A100="",B100="",C100=""),"eine der Spalten BAB, FR, km leer?",CONCATENATE(VLOOKUP(VALUE(I100),[1]Grundlage!$A$1:$B$14,2,0),IF(LEFT(A100,1)="A",IF(VALUE(MID(A100,2,10))&lt;10,"A00"&amp;VALUE(MID(A100,2,10)),IF(VALUE(MID(A100,2,10))&lt;100,"A0"&amp;VALUE(MID(A100,2,10)),IF(VALUE(MID(A100,2,10))&lt;1000,"A"&amp;VALUE(MID(A100,2,10))))),IF(LEFT(A100,1)="B",IF(VALUE(MID(A100,2,10))&lt;10,"B00"&amp;VALUE(MID(A100,2,10)),IF(VALUE(MID(A100,2,10))&lt;100,"B0"&amp;VALUE(MID(A100,2,10)),IF(VALUE(MID(A100,2,10))&lt;1000,"B"&amp;VALUE(MID(A100,2,10))))),A100)),"_",IF(NOT(OR(C100=1000,C100&gt;1000)),MID(TEXT((C100+1000)*1000,0),2,6),"keine Meter in Spalte km!!!"),IF(VALUE(I100)=1,CONCATENATE("_",VLOOKUP(IF(V100&gt;0,V100,J100),[1]Grundlage!$A$20:$B$181,2,0)),CONCATENATE("_",B100))))</f>
        <v>SSt_A007_851700_S</v>
      </c>
      <c r="F100" s="2" t="s">
        <v>21</v>
      </c>
      <c r="G100" s="167">
        <f t="shared" si="13"/>
        <v>2759</v>
      </c>
      <c r="H100">
        <f t="shared" si="14"/>
        <v>235</v>
      </c>
      <c r="I100" s="2">
        <f t="shared" si="18"/>
        <v>254</v>
      </c>
      <c r="J100" s="2">
        <f t="shared" si="19"/>
        <v>0</v>
      </c>
      <c r="K100" s="2">
        <v>205</v>
      </c>
      <c r="L100" s="2">
        <f t="shared" si="20"/>
        <v>1</v>
      </c>
      <c r="M100" s="2" t="str">
        <f t="shared" si="21"/>
        <v/>
      </c>
      <c r="N100" s="2" t="str">
        <f t="shared" si="22"/>
        <v/>
      </c>
      <c r="P100" s="168" t="str">
        <f t="shared" si="23"/>
        <v/>
      </c>
      <c r="AI100" s="35">
        <v>851.7</v>
      </c>
      <c r="AJ100" s="36" t="s">
        <v>19</v>
      </c>
      <c r="AK100" s="36" t="s">
        <v>20</v>
      </c>
      <c r="AL100" s="36"/>
      <c r="AM100" s="36"/>
      <c r="AN100" s="36"/>
      <c r="AO100" s="36"/>
      <c r="AP100" s="42">
        <v>706539</v>
      </c>
      <c r="AQ100" s="42" t="s">
        <v>95</v>
      </c>
      <c r="AR100" s="42" t="s">
        <v>220</v>
      </c>
      <c r="AS100" s="42" t="s">
        <v>219</v>
      </c>
      <c r="AT100" s="39"/>
      <c r="AU100" s="39"/>
      <c r="AV100" s="39"/>
      <c r="AW100" s="36"/>
      <c r="AX100" s="36">
        <v>1</v>
      </c>
      <c r="AY100" s="36"/>
      <c r="AZ100" s="36"/>
      <c r="BA100" s="39"/>
      <c r="BB100" s="37" t="s">
        <v>21</v>
      </c>
      <c r="BC100" s="38"/>
      <c r="BD100" s="99" t="s">
        <v>163</v>
      </c>
      <c r="BE100" s="39" t="s">
        <v>22</v>
      </c>
      <c r="BF100" s="2" t="s">
        <v>450</v>
      </c>
    </row>
    <row r="101" spans="1:58" ht="14.25" x14ac:dyDescent="0.2">
      <c r="A101" t="str">
        <f t="shared" si="15"/>
        <v>A7</v>
      </c>
      <c r="B101" s="2" t="s">
        <v>655</v>
      </c>
      <c r="C101">
        <f t="shared" si="16"/>
        <v>851.7</v>
      </c>
      <c r="D101" t="str">
        <f t="shared" si="17"/>
        <v>UFD</v>
      </c>
      <c r="E101" s="169" t="str">
        <f>IF(OR(A101="",B101="",C101=""),"eine der Spalten BAB, FR, km leer?",CONCATENATE(VLOOKUP(VALUE(I101),[1]Grundlage!$A$1:$B$14,2,0),IF(LEFT(A101,1)="A",IF(VALUE(MID(A101,2,10))&lt;10,"A00"&amp;VALUE(MID(A101,2,10)),IF(VALUE(MID(A101,2,10))&lt;100,"A0"&amp;VALUE(MID(A101,2,10)),IF(VALUE(MID(A101,2,10))&lt;1000,"A"&amp;VALUE(MID(A101,2,10))))),IF(LEFT(A101,1)="B",IF(VALUE(MID(A101,2,10))&lt;10,"B00"&amp;VALUE(MID(A101,2,10)),IF(VALUE(MID(A101,2,10))&lt;100,"B0"&amp;VALUE(MID(A101,2,10)),IF(VALUE(MID(A101,2,10))&lt;1000,"B"&amp;VALUE(MID(A101,2,10))))),A101)),"_",IF(NOT(OR(C101=1000,C101&gt;1000)),MID(TEXT((C101+1000)*1000,0),2,6),"keine Meter in Spalte km!!!"),IF(VALUE(I101)=1,CONCATENATE("_",VLOOKUP(IF(V101&gt;0,V101,J101),[1]Grundlage!$A$20:$B$181,2,0)),CONCATENATE("_",B101))))</f>
        <v>UQ_A007_851700_S</v>
      </c>
      <c r="F101" s="2" t="s">
        <v>269</v>
      </c>
      <c r="G101" s="167">
        <f t="shared" si="13"/>
        <v>2759</v>
      </c>
      <c r="H101">
        <f t="shared" si="14"/>
        <v>235</v>
      </c>
      <c r="I101" s="2">
        <f t="shared" si="18"/>
        <v>3</v>
      </c>
      <c r="J101" s="2">
        <f t="shared" si="19"/>
        <v>6</v>
      </c>
      <c r="K101" s="2">
        <v>205</v>
      </c>
      <c r="L101" s="2">
        <f t="shared" si="20"/>
        <v>1</v>
      </c>
      <c r="M101" s="2">
        <f t="shared" si="21"/>
        <v>1</v>
      </c>
      <c r="N101" s="2">
        <f t="shared" si="22"/>
        <v>1</v>
      </c>
      <c r="P101" s="168">
        <f t="shared" si="23"/>
        <v>71</v>
      </c>
      <c r="AP101" s="40"/>
      <c r="AQ101" s="40"/>
      <c r="AR101" s="40"/>
      <c r="AS101" s="40"/>
      <c r="AT101" s="19">
        <v>3</v>
      </c>
      <c r="AU101" s="14">
        <v>6</v>
      </c>
      <c r="AV101" s="27">
        <v>6</v>
      </c>
      <c r="AW101" s="19"/>
      <c r="AX101" s="19"/>
      <c r="AY101" s="19">
        <v>1</v>
      </c>
      <c r="AZ101" s="14">
        <v>1</v>
      </c>
      <c r="BA101" s="27">
        <v>1</v>
      </c>
      <c r="BB101" s="13" t="s">
        <v>269</v>
      </c>
      <c r="BF101" s="2" t="s">
        <v>440</v>
      </c>
    </row>
    <row r="102" spans="1:58" ht="14.25" x14ac:dyDescent="0.2">
      <c r="A102" t="str">
        <f t="shared" si="15"/>
        <v>A7</v>
      </c>
      <c r="B102" s="2" t="s">
        <v>655</v>
      </c>
      <c r="C102">
        <f t="shared" si="16"/>
        <v>851.7</v>
      </c>
      <c r="D102" t="str">
        <f t="shared" si="17"/>
        <v>UFD</v>
      </c>
      <c r="E102" s="169" t="str">
        <f>IF(OR(A102="",B102="",C102=""),"eine der Spalten BAB, FR, km leer?",CONCATENATE(VLOOKUP(VALUE(I102),[1]Grundlage!$A$1:$B$14,2,0),IF(LEFT(A102,1)="A",IF(VALUE(MID(A102,2,10))&lt;10,"A00"&amp;VALUE(MID(A102,2,10)),IF(VALUE(MID(A102,2,10))&lt;100,"A0"&amp;VALUE(MID(A102,2,10)),IF(VALUE(MID(A102,2,10))&lt;1000,"A"&amp;VALUE(MID(A102,2,10))))),IF(LEFT(A102,1)="B",IF(VALUE(MID(A102,2,10))&lt;10,"B00"&amp;VALUE(MID(A102,2,10)),IF(VALUE(MID(A102,2,10))&lt;100,"B0"&amp;VALUE(MID(A102,2,10)),IF(VALUE(MID(A102,2,10))&lt;1000,"B"&amp;VALUE(MID(A102,2,10))))),A102)),"_",IF(NOT(OR(C102=1000,C102&gt;1000)),MID(TEXT((C102+1000)*1000,0),2,6),"keine Meter in Spalte km!!!"),IF(VALUE(I102)=1,CONCATENATE("_",VLOOKUP(IF(V102&gt;0,V102,J102),[1]Grundlage!$A$20:$B$181,2,0)),CONCATENATE("_",B102))))</f>
        <v>UQ_A007_851700_S</v>
      </c>
      <c r="F102" s="2" t="s">
        <v>270</v>
      </c>
      <c r="G102" s="167">
        <f t="shared" si="13"/>
        <v>2759</v>
      </c>
      <c r="H102">
        <f t="shared" si="14"/>
        <v>235</v>
      </c>
      <c r="I102" s="2">
        <f t="shared" si="18"/>
        <v>3</v>
      </c>
      <c r="J102" s="2">
        <f t="shared" si="19"/>
        <v>11</v>
      </c>
      <c r="K102" s="2">
        <v>205</v>
      </c>
      <c r="L102" s="2">
        <f t="shared" si="20"/>
        <v>1</v>
      </c>
      <c r="M102" s="2">
        <f t="shared" si="21"/>
        <v>1</v>
      </c>
      <c r="N102" s="2">
        <f t="shared" si="22"/>
        <v>2</v>
      </c>
      <c r="P102" s="168">
        <f t="shared" si="23"/>
        <v>70</v>
      </c>
      <c r="AT102" s="19">
        <v>3</v>
      </c>
      <c r="AU102" s="14">
        <v>11</v>
      </c>
      <c r="AV102" s="14" t="s">
        <v>78</v>
      </c>
      <c r="AW102" s="13"/>
      <c r="AX102" s="13"/>
      <c r="AY102" s="19">
        <v>1</v>
      </c>
      <c r="AZ102" s="14">
        <v>2</v>
      </c>
      <c r="BA102" s="14">
        <v>2</v>
      </c>
      <c r="BB102" s="13" t="s">
        <v>270</v>
      </c>
      <c r="BF102" s="2" t="s">
        <v>521</v>
      </c>
    </row>
    <row r="103" spans="1:58" ht="14.25" x14ac:dyDescent="0.2">
      <c r="A103" t="str">
        <f t="shared" si="15"/>
        <v>A7</v>
      </c>
      <c r="B103" s="2" t="s">
        <v>655</v>
      </c>
      <c r="C103">
        <f t="shared" si="16"/>
        <v>851.7</v>
      </c>
      <c r="D103" t="str">
        <f t="shared" si="17"/>
        <v>UFD</v>
      </c>
      <c r="E103" s="169" t="str">
        <f>IF(OR(A103="",B103="",C103=""),"eine der Spalten BAB, FR, km leer?",CONCATENATE(VLOOKUP(VALUE(I103),[1]Grundlage!$A$1:$B$14,2,0),IF(LEFT(A103,1)="A",IF(VALUE(MID(A103,2,10))&lt;10,"A00"&amp;VALUE(MID(A103,2,10)),IF(VALUE(MID(A103,2,10))&lt;100,"A0"&amp;VALUE(MID(A103,2,10)),IF(VALUE(MID(A103,2,10))&lt;1000,"A"&amp;VALUE(MID(A103,2,10))))),IF(LEFT(A103,1)="B",IF(VALUE(MID(A103,2,10))&lt;10,"B00"&amp;VALUE(MID(A103,2,10)),IF(VALUE(MID(A103,2,10))&lt;100,"B0"&amp;VALUE(MID(A103,2,10)),IF(VALUE(MID(A103,2,10))&lt;1000,"B"&amp;VALUE(MID(A103,2,10))))),A103)),"_",IF(NOT(OR(C103=1000,C103&gt;1000)),MID(TEXT((C103+1000)*1000,0),2,6),"keine Meter in Spalte km!!!"),IF(VALUE(I103)=1,CONCATENATE("_",VLOOKUP(IF(V103&gt;0,V103,J103),[1]Grundlage!$A$20:$B$181,2,0)),CONCATENATE("_",B103))))</f>
        <v>UQ_A007_851700_S</v>
      </c>
      <c r="F103" s="2" t="s">
        <v>25</v>
      </c>
      <c r="G103" s="167">
        <f t="shared" ref="G103:G166" si="24">IF(ISBLANK(AP103),G102,INT(AP103/256))</f>
        <v>2759</v>
      </c>
      <c r="H103">
        <f t="shared" ref="H103:H166" si="25">IF(ISBLANK(AP103),H102,MOD(AP103,256))</f>
        <v>235</v>
      </c>
      <c r="I103" s="2">
        <f t="shared" si="18"/>
        <v>3</v>
      </c>
      <c r="J103" s="2">
        <f t="shared" si="19"/>
        <v>12</v>
      </c>
      <c r="K103" s="2">
        <v>205</v>
      </c>
      <c r="L103" s="2">
        <f t="shared" si="20"/>
        <v>1</v>
      </c>
      <c r="M103" s="2">
        <f t="shared" si="21"/>
        <v>1</v>
      </c>
      <c r="N103" s="2">
        <f t="shared" si="22"/>
        <v>3</v>
      </c>
      <c r="P103" s="168">
        <f t="shared" si="23"/>
        <v>48</v>
      </c>
      <c r="AT103" s="19">
        <v>3</v>
      </c>
      <c r="AU103" s="14">
        <v>12</v>
      </c>
      <c r="AV103" s="14" t="s">
        <v>79</v>
      </c>
      <c r="AW103" s="13"/>
      <c r="AX103" s="13"/>
      <c r="AY103" s="19">
        <v>1</v>
      </c>
      <c r="AZ103" s="14">
        <v>3</v>
      </c>
      <c r="BA103" s="14">
        <v>3</v>
      </c>
      <c r="BB103" s="13" t="s">
        <v>25</v>
      </c>
      <c r="BF103" s="13" t="s">
        <v>441</v>
      </c>
    </row>
    <row r="104" spans="1:58" ht="14.25" x14ac:dyDescent="0.2">
      <c r="A104" t="str">
        <f t="shared" si="15"/>
        <v>A7</v>
      </c>
      <c r="B104" s="2" t="s">
        <v>655</v>
      </c>
      <c r="C104">
        <f t="shared" si="16"/>
        <v>851.7</v>
      </c>
      <c r="D104" t="str">
        <f t="shared" si="17"/>
        <v>UFD</v>
      </c>
      <c r="E104" s="169" t="str">
        <f>IF(OR(A104="",B104="",C104=""),"eine der Spalten BAB, FR, km leer?",CONCATENATE(VLOOKUP(VALUE(I104),[1]Grundlage!$A$1:$B$14,2,0),IF(LEFT(A104,1)="A",IF(VALUE(MID(A104,2,10))&lt;10,"A00"&amp;VALUE(MID(A104,2,10)),IF(VALUE(MID(A104,2,10))&lt;100,"A0"&amp;VALUE(MID(A104,2,10)),IF(VALUE(MID(A104,2,10))&lt;1000,"A"&amp;VALUE(MID(A104,2,10))))),IF(LEFT(A104,1)="B",IF(VALUE(MID(A104,2,10))&lt;10,"B00"&amp;VALUE(MID(A104,2,10)),IF(VALUE(MID(A104,2,10))&lt;100,"B0"&amp;VALUE(MID(A104,2,10)),IF(VALUE(MID(A104,2,10))&lt;1000,"B"&amp;VALUE(MID(A104,2,10))))),A104)),"_",IF(NOT(OR(C104=1000,C104&gt;1000)),MID(TEXT((C104+1000)*1000,0),2,6),"keine Meter in Spalte km!!!"),IF(VALUE(I104)=1,CONCATENATE("_",VLOOKUP(IF(V104&gt;0,V104,J104),[1]Grundlage!$A$20:$B$181,2,0)),CONCATENATE("_",B104))))</f>
        <v>UQ_A007_851700_S</v>
      </c>
      <c r="F104" s="2" t="s">
        <v>26</v>
      </c>
      <c r="G104" s="167">
        <f t="shared" si="24"/>
        <v>2759</v>
      </c>
      <c r="H104">
        <f t="shared" si="25"/>
        <v>235</v>
      </c>
      <c r="I104" s="2">
        <f t="shared" si="18"/>
        <v>3</v>
      </c>
      <c r="J104" s="2">
        <f t="shared" si="19"/>
        <v>13</v>
      </c>
      <c r="K104" s="2">
        <v>205</v>
      </c>
      <c r="L104" s="2">
        <f t="shared" si="20"/>
        <v>1</v>
      </c>
      <c r="M104" s="2">
        <f t="shared" si="21"/>
        <v>1</v>
      </c>
      <c r="N104" s="2">
        <f t="shared" si="22"/>
        <v>4</v>
      </c>
      <c r="P104" s="168">
        <f t="shared" si="23"/>
        <v>55</v>
      </c>
      <c r="AT104" s="19">
        <v>3</v>
      </c>
      <c r="AU104" s="14">
        <v>13</v>
      </c>
      <c r="AV104" s="14" t="s">
        <v>80</v>
      </c>
      <c r="AW104" s="13"/>
      <c r="AX104" s="13"/>
      <c r="AY104" s="19">
        <v>1</v>
      </c>
      <c r="AZ104" s="14">
        <v>4</v>
      </c>
      <c r="BA104" s="14">
        <v>4</v>
      </c>
      <c r="BB104" s="13" t="s">
        <v>26</v>
      </c>
      <c r="BF104" s="13" t="s">
        <v>442</v>
      </c>
    </row>
    <row r="105" spans="1:58" ht="14.25" x14ac:dyDescent="0.2">
      <c r="A105" t="str">
        <f t="shared" si="15"/>
        <v>A7</v>
      </c>
      <c r="B105" s="2" t="s">
        <v>655</v>
      </c>
      <c r="C105">
        <f t="shared" si="16"/>
        <v>851.7</v>
      </c>
      <c r="D105" t="str">
        <f t="shared" si="17"/>
        <v>UFD</v>
      </c>
      <c r="E105" s="169" t="str">
        <f>IF(OR(A105="",B105="",C105=""),"eine der Spalten BAB, FR, km leer?",CONCATENATE(VLOOKUP(VALUE(I105),[1]Grundlage!$A$1:$B$14,2,0),IF(LEFT(A105,1)="A",IF(VALUE(MID(A105,2,10))&lt;10,"A00"&amp;VALUE(MID(A105,2,10)),IF(VALUE(MID(A105,2,10))&lt;100,"A0"&amp;VALUE(MID(A105,2,10)),IF(VALUE(MID(A105,2,10))&lt;1000,"A"&amp;VALUE(MID(A105,2,10))))),IF(LEFT(A105,1)="B",IF(VALUE(MID(A105,2,10))&lt;10,"B00"&amp;VALUE(MID(A105,2,10)),IF(VALUE(MID(A105,2,10))&lt;100,"B0"&amp;VALUE(MID(A105,2,10)),IF(VALUE(MID(A105,2,10))&lt;1000,"B"&amp;VALUE(MID(A105,2,10))))),A105)),"_",IF(NOT(OR(C105=1000,C105&gt;1000)),MID(TEXT((C105+1000)*1000,0),2,6),"keine Meter in Spalte km!!!"),IF(VALUE(I105)=1,CONCATENATE("_",VLOOKUP(IF(V105&gt;0,V105,J105),[1]Grundlage!$A$20:$B$181,2,0)),CONCATENATE("_",B105))))</f>
        <v>UQ_A007_851700_S</v>
      </c>
      <c r="F105" s="2" t="s">
        <v>27</v>
      </c>
      <c r="G105" s="167">
        <f t="shared" si="24"/>
        <v>2759</v>
      </c>
      <c r="H105">
        <f t="shared" si="25"/>
        <v>235</v>
      </c>
      <c r="I105" s="2">
        <f t="shared" si="18"/>
        <v>3</v>
      </c>
      <c r="J105" s="2">
        <f t="shared" si="19"/>
        <v>14</v>
      </c>
      <c r="K105" s="2">
        <v>205</v>
      </c>
      <c r="L105" s="2">
        <f t="shared" si="20"/>
        <v>1</v>
      </c>
      <c r="M105" s="2">
        <f t="shared" si="21"/>
        <v>1</v>
      </c>
      <c r="N105" s="2">
        <f t="shared" si="22"/>
        <v>5</v>
      </c>
      <c r="P105" s="168">
        <f t="shared" si="23"/>
        <v>66</v>
      </c>
      <c r="AT105" s="19">
        <v>3</v>
      </c>
      <c r="AU105" s="14">
        <v>14</v>
      </c>
      <c r="AV105" s="14" t="s">
        <v>81</v>
      </c>
      <c r="AW105" s="13"/>
      <c r="AX105" s="13"/>
      <c r="AY105" s="19">
        <v>1</v>
      </c>
      <c r="AZ105" s="14">
        <v>5</v>
      </c>
      <c r="BA105" s="14">
        <v>5</v>
      </c>
      <c r="BB105" s="13" t="s">
        <v>27</v>
      </c>
      <c r="BF105" s="13" t="s">
        <v>443</v>
      </c>
    </row>
    <row r="106" spans="1:58" ht="14.25" x14ac:dyDescent="0.2">
      <c r="A106" t="str">
        <f t="shared" si="15"/>
        <v>A7</v>
      </c>
      <c r="B106" s="2" t="s">
        <v>655</v>
      </c>
      <c r="C106">
        <f t="shared" si="16"/>
        <v>851.7</v>
      </c>
      <c r="D106" t="str">
        <f t="shared" si="17"/>
        <v>UFD</v>
      </c>
      <c r="E106" s="169" t="str">
        <f>IF(OR(A106="",B106="",C106=""),"eine der Spalten BAB, FR, km leer?",CONCATENATE(VLOOKUP(VALUE(I106),[1]Grundlage!$A$1:$B$14,2,0),IF(LEFT(A106,1)="A",IF(VALUE(MID(A106,2,10))&lt;10,"A00"&amp;VALUE(MID(A106,2,10)),IF(VALUE(MID(A106,2,10))&lt;100,"A0"&amp;VALUE(MID(A106,2,10)),IF(VALUE(MID(A106,2,10))&lt;1000,"A"&amp;VALUE(MID(A106,2,10))))),IF(LEFT(A106,1)="B",IF(VALUE(MID(A106,2,10))&lt;10,"B00"&amp;VALUE(MID(A106,2,10)),IF(VALUE(MID(A106,2,10))&lt;100,"B0"&amp;VALUE(MID(A106,2,10)),IF(VALUE(MID(A106,2,10))&lt;1000,"B"&amp;VALUE(MID(A106,2,10))))),A106)),"_",IF(NOT(OR(C106=1000,C106&gt;1000)),MID(TEXT((C106+1000)*1000,0),2,6),"keine Meter in Spalte km!!!"),IF(VALUE(I106)=1,CONCATENATE("_",VLOOKUP(IF(V106&gt;0,V106,J106),[1]Grundlage!$A$20:$B$181,2,0)),CONCATENATE("_",B106))))</f>
        <v>UQ_A007_851700_S</v>
      </c>
      <c r="F106" s="2" t="s">
        <v>28</v>
      </c>
      <c r="G106" s="167">
        <f t="shared" si="24"/>
        <v>2759</v>
      </c>
      <c r="H106">
        <f t="shared" si="25"/>
        <v>235</v>
      </c>
      <c r="I106" s="2">
        <f t="shared" si="18"/>
        <v>3</v>
      </c>
      <c r="J106" s="2">
        <f t="shared" si="19"/>
        <v>15</v>
      </c>
      <c r="K106" s="2">
        <v>205</v>
      </c>
      <c r="L106" s="2">
        <f t="shared" si="20"/>
        <v>1</v>
      </c>
      <c r="M106" s="2">
        <f t="shared" si="21"/>
        <v>1</v>
      </c>
      <c r="N106" s="2">
        <f t="shared" si="22"/>
        <v>6</v>
      </c>
      <c r="P106" s="168">
        <f t="shared" si="23"/>
        <v>65</v>
      </c>
      <c r="AT106" s="19">
        <v>3</v>
      </c>
      <c r="AU106" s="14">
        <v>15</v>
      </c>
      <c r="AV106" s="14" t="s">
        <v>82</v>
      </c>
      <c r="AW106" s="13"/>
      <c r="AX106" s="13"/>
      <c r="AY106" s="19">
        <v>1</v>
      </c>
      <c r="AZ106" s="14">
        <v>6</v>
      </c>
      <c r="BA106" s="14">
        <v>6</v>
      </c>
      <c r="BB106" s="13" t="s">
        <v>28</v>
      </c>
      <c r="BF106" s="13" t="s">
        <v>522</v>
      </c>
    </row>
    <row r="107" spans="1:58" ht="14.25" x14ac:dyDescent="0.2">
      <c r="A107" t="str">
        <f t="shared" si="15"/>
        <v>A7</v>
      </c>
      <c r="B107" s="2" t="s">
        <v>655</v>
      </c>
      <c r="C107">
        <f t="shared" si="16"/>
        <v>851.7</v>
      </c>
      <c r="D107" t="str">
        <f t="shared" si="17"/>
        <v>UFD</v>
      </c>
      <c r="E107" s="169" t="str">
        <f>IF(OR(A107="",B107="",C107=""),"eine der Spalten BAB, FR, km leer?",CONCATENATE(VLOOKUP(VALUE(I107),[1]Grundlage!$A$1:$B$14,2,0),IF(LEFT(A107,1)="A",IF(VALUE(MID(A107,2,10))&lt;10,"A00"&amp;VALUE(MID(A107,2,10)),IF(VALUE(MID(A107,2,10))&lt;100,"A0"&amp;VALUE(MID(A107,2,10)),IF(VALUE(MID(A107,2,10))&lt;1000,"A"&amp;VALUE(MID(A107,2,10))))),IF(LEFT(A107,1)="B",IF(VALUE(MID(A107,2,10))&lt;10,"B00"&amp;VALUE(MID(A107,2,10)),IF(VALUE(MID(A107,2,10))&lt;100,"B0"&amp;VALUE(MID(A107,2,10)),IF(VALUE(MID(A107,2,10))&lt;1000,"B"&amp;VALUE(MID(A107,2,10))))),A107)),"_",IF(NOT(OR(C107=1000,C107&gt;1000)),MID(TEXT((C107+1000)*1000,0),2,6),"keine Meter in Spalte km!!!"),IF(VALUE(I107)=1,CONCATENATE("_",VLOOKUP(IF(V107&gt;0,V107,J107),[1]Grundlage!$A$20:$B$181,2,0)),CONCATENATE("_",B107))))</f>
        <v>UQ_A007_851700_S</v>
      </c>
      <c r="F107" s="2" t="s">
        <v>29</v>
      </c>
      <c r="G107" s="167">
        <f t="shared" si="24"/>
        <v>2759</v>
      </c>
      <c r="H107">
        <f t="shared" si="25"/>
        <v>235</v>
      </c>
      <c r="I107" s="2">
        <f t="shared" si="18"/>
        <v>3</v>
      </c>
      <c r="J107" s="2">
        <f t="shared" si="19"/>
        <v>19</v>
      </c>
      <c r="K107" s="2">
        <v>205</v>
      </c>
      <c r="L107" s="2">
        <f t="shared" si="20"/>
        <v>1</v>
      </c>
      <c r="M107" s="2">
        <f t="shared" si="21"/>
        <v>1</v>
      </c>
      <c r="N107" s="2">
        <f t="shared" si="22"/>
        <v>7</v>
      </c>
      <c r="P107" s="168">
        <f t="shared" si="23"/>
        <v>49</v>
      </c>
      <c r="AT107" s="19">
        <v>3</v>
      </c>
      <c r="AU107" s="14">
        <v>19</v>
      </c>
      <c r="AV107" s="14">
        <v>13</v>
      </c>
      <c r="AW107" s="13"/>
      <c r="AX107" s="13"/>
      <c r="AY107" s="19">
        <v>1</v>
      </c>
      <c r="AZ107" s="14">
        <v>7</v>
      </c>
      <c r="BA107" s="14">
        <v>7</v>
      </c>
      <c r="BB107" s="13" t="s">
        <v>29</v>
      </c>
      <c r="BF107" s="13" t="s">
        <v>523</v>
      </c>
    </row>
    <row r="108" spans="1:58" ht="14.25" x14ac:dyDescent="0.2">
      <c r="A108" t="str">
        <f t="shared" si="15"/>
        <v>A7</v>
      </c>
      <c r="B108" s="2" t="s">
        <v>655</v>
      </c>
      <c r="C108">
        <f t="shared" si="16"/>
        <v>851.7</v>
      </c>
      <c r="D108" t="str">
        <f t="shared" si="17"/>
        <v>UFD</v>
      </c>
      <c r="E108" s="169" t="str">
        <f>IF(OR(A108="",B108="",C108=""),"eine der Spalten BAB, FR, km leer?",CONCATENATE(VLOOKUP(VALUE(I108),[1]Grundlage!$A$1:$B$14,2,0),IF(LEFT(A108,1)="A",IF(VALUE(MID(A108,2,10))&lt;10,"A00"&amp;VALUE(MID(A108,2,10)),IF(VALUE(MID(A108,2,10))&lt;100,"A0"&amp;VALUE(MID(A108,2,10)),IF(VALUE(MID(A108,2,10))&lt;1000,"A"&amp;VALUE(MID(A108,2,10))))),IF(LEFT(A108,1)="B",IF(VALUE(MID(A108,2,10))&lt;10,"B00"&amp;VALUE(MID(A108,2,10)),IF(VALUE(MID(A108,2,10))&lt;100,"B0"&amp;VALUE(MID(A108,2,10)),IF(VALUE(MID(A108,2,10))&lt;1000,"B"&amp;VALUE(MID(A108,2,10))))),A108)),"_",IF(NOT(OR(C108=1000,C108&gt;1000)),MID(TEXT((C108+1000)*1000,0),2,6),"keine Meter in Spalte km!!!"),IF(VALUE(I108)=1,CONCATENATE("_",VLOOKUP(IF(V108&gt;0,V108,J108),[1]Grundlage!$A$20:$B$181,2,0)),CONCATENATE("_",B108))))</f>
        <v>UQ_A007_851700_S</v>
      </c>
      <c r="F108" s="2" t="s">
        <v>30</v>
      </c>
      <c r="G108" s="167">
        <f t="shared" si="24"/>
        <v>2759</v>
      </c>
      <c r="H108">
        <f t="shared" si="25"/>
        <v>235</v>
      </c>
      <c r="I108" s="2">
        <f t="shared" si="18"/>
        <v>3</v>
      </c>
      <c r="J108" s="2">
        <f t="shared" si="19"/>
        <v>21</v>
      </c>
      <c r="K108" s="2">
        <v>205</v>
      </c>
      <c r="L108" s="2">
        <f t="shared" si="20"/>
        <v>1</v>
      </c>
      <c r="M108" s="2">
        <f t="shared" si="21"/>
        <v>1</v>
      </c>
      <c r="N108" s="2">
        <f t="shared" si="22"/>
        <v>8</v>
      </c>
      <c r="P108" s="168">
        <f t="shared" si="23"/>
        <v>67</v>
      </c>
      <c r="AT108" s="19">
        <v>3</v>
      </c>
      <c r="AU108" s="14">
        <v>21</v>
      </c>
      <c r="AV108" s="14">
        <v>15</v>
      </c>
      <c r="AW108" s="13"/>
      <c r="AX108" s="13"/>
      <c r="AY108" s="19">
        <v>1</v>
      </c>
      <c r="AZ108" s="14">
        <v>8</v>
      </c>
      <c r="BA108" s="14">
        <v>8</v>
      </c>
      <c r="BB108" s="13" t="s">
        <v>30</v>
      </c>
      <c r="BF108" s="13" t="s">
        <v>524</v>
      </c>
    </row>
    <row r="109" spans="1:58" ht="14.25" x14ac:dyDescent="0.2">
      <c r="A109" t="str">
        <f t="shared" si="15"/>
        <v>A7</v>
      </c>
      <c r="B109" s="2" t="s">
        <v>655</v>
      </c>
      <c r="C109">
        <f t="shared" si="16"/>
        <v>851.7</v>
      </c>
      <c r="D109" t="str">
        <f t="shared" si="17"/>
        <v>UFD</v>
      </c>
      <c r="E109" s="169" t="str">
        <f>IF(OR(A109="",B109="",C109=""),"eine der Spalten BAB, FR, km leer?",CONCATENATE(VLOOKUP(VALUE(I109),[1]Grundlage!$A$1:$B$14,2,0),IF(LEFT(A109,1)="A",IF(VALUE(MID(A109,2,10))&lt;10,"A00"&amp;VALUE(MID(A109,2,10)),IF(VALUE(MID(A109,2,10))&lt;100,"A0"&amp;VALUE(MID(A109,2,10)),IF(VALUE(MID(A109,2,10))&lt;1000,"A"&amp;VALUE(MID(A109,2,10))))),IF(LEFT(A109,1)="B",IF(VALUE(MID(A109,2,10))&lt;10,"B00"&amp;VALUE(MID(A109,2,10)),IF(VALUE(MID(A109,2,10))&lt;100,"B0"&amp;VALUE(MID(A109,2,10)),IF(VALUE(MID(A109,2,10))&lt;1000,"B"&amp;VALUE(MID(A109,2,10))))),A109)),"_",IF(NOT(OR(C109=1000,C109&gt;1000)),MID(TEXT((C109+1000)*1000,0),2,6),"keine Meter in Spalte km!!!"),IF(VALUE(I109)=1,CONCATENATE("_",VLOOKUP(IF(V109&gt;0,V109,J109),[1]Grundlage!$A$20:$B$181,2,0)),CONCATENATE("_",B109))))</f>
        <v>UQ_A007_851700_S</v>
      </c>
      <c r="F109" s="2" t="s">
        <v>271</v>
      </c>
      <c r="G109" s="167">
        <f t="shared" si="24"/>
        <v>2759</v>
      </c>
      <c r="H109">
        <f t="shared" si="25"/>
        <v>235</v>
      </c>
      <c r="I109" s="2">
        <f t="shared" si="18"/>
        <v>3</v>
      </c>
      <c r="J109" s="2">
        <f t="shared" si="19"/>
        <v>67</v>
      </c>
      <c r="K109" s="2">
        <v>205</v>
      </c>
      <c r="L109" s="2">
        <f t="shared" si="20"/>
        <v>1</v>
      </c>
      <c r="M109" s="2">
        <f t="shared" si="21"/>
        <v>1</v>
      </c>
      <c r="N109" s="2">
        <f t="shared" si="22"/>
        <v>9</v>
      </c>
      <c r="P109" s="168">
        <f t="shared" si="23"/>
        <v>53</v>
      </c>
      <c r="AT109" s="19">
        <v>3</v>
      </c>
      <c r="AU109" s="14">
        <v>67</v>
      </c>
      <c r="AV109" s="14">
        <v>43</v>
      </c>
      <c r="AW109" s="13"/>
      <c r="AX109" s="13"/>
      <c r="AY109" s="19">
        <v>1</v>
      </c>
      <c r="AZ109" s="14">
        <v>9</v>
      </c>
      <c r="BA109" s="34">
        <v>9</v>
      </c>
      <c r="BB109" s="13" t="s">
        <v>271</v>
      </c>
      <c r="BF109" s="13" t="s">
        <v>444</v>
      </c>
    </row>
    <row r="110" spans="1:58" ht="14.25" x14ac:dyDescent="0.2">
      <c r="A110" t="str">
        <f t="shared" si="15"/>
        <v>A7</v>
      </c>
      <c r="B110" s="2" t="s">
        <v>655</v>
      </c>
      <c r="C110">
        <f t="shared" si="16"/>
        <v>851.7</v>
      </c>
      <c r="D110" t="str">
        <f t="shared" si="17"/>
        <v>UFD</v>
      </c>
      <c r="E110" s="169" t="str">
        <f>IF(OR(A110="",B110="",C110=""),"eine der Spalten BAB, FR, km leer?",CONCATENATE(VLOOKUP(VALUE(I110),[1]Grundlage!$A$1:$B$14,2,0),IF(LEFT(A110,1)="A",IF(VALUE(MID(A110,2,10))&lt;10,"A00"&amp;VALUE(MID(A110,2,10)),IF(VALUE(MID(A110,2,10))&lt;100,"A0"&amp;VALUE(MID(A110,2,10)),IF(VALUE(MID(A110,2,10))&lt;1000,"A"&amp;VALUE(MID(A110,2,10))))),IF(LEFT(A110,1)="B",IF(VALUE(MID(A110,2,10))&lt;10,"B00"&amp;VALUE(MID(A110,2,10)),IF(VALUE(MID(A110,2,10))&lt;100,"B0"&amp;VALUE(MID(A110,2,10)),IF(VALUE(MID(A110,2,10))&lt;1000,"B"&amp;VALUE(MID(A110,2,10))))),A110)),"_",IF(NOT(OR(C110=1000,C110&gt;1000)),MID(TEXT((C110+1000)*1000,0),2,6),"keine Meter in Spalte km!!!"),IF(VALUE(I110)=1,CONCATENATE("_",VLOOKUP(IF(V110&gt;0,V110,J110),[1]Grundlage!$A$20:$B$181,2,0)),CONCATENATE("_",B110))))</f>
        <v>UQ_A007_851700_S</v>
      </c>
      <c r="F110" s="2" t="s">
        <v>272</v>
      </c>
      <c r="G110" s="167">
        <f t="shared" si="24"/>
        <v>2759</v>
      </c>
      <c r="H110">
        <f t="shared" si="25"/>
        <v>235</v>
      </c>
      <c r="I110" s="2">
        <f t="shared" si="18"/>
        <v>3</v>
      </c>
      <c r="J110" s="2">
        <f t="shared" si="19"/>
        <v>82</v>
      </c>
      <c r="K110" s="2">
        <v>205</v>
      </c>
      <c r="L110" s="2">
        <f t="shared" si="20"/>
        <v>1</v>
      </c>
      <c r="M110" s="2">
        <f t="shared" si="21"/>
        <v>1</v>
      </c>
      <c r="N110" s="2">
        <f t="shared" si="22"/>
        <v>10</v>
      </c>
      <c r="P110" s="168">
        <f t="shared" si="23"/>
        <v>72</v>
      </c>
      <c r="AT110" s="19">
        <v>3</v>
      </c>
      <c r="AU110" s="14">
        <v>82</v>
      </c>
      <c r="AV110" s="14">
        <v>52</v>
      </c>
      <c r="AW110" s="13"/>
      <c r="AX110" s="13"/>
      <c r="AY110" s="19">
        <v>1</v>
      </c>
      <c r="AZ110" s="14">
        <v>10</v>
      </c>
      <c r="BA110" s="34" t="s">
        <v>95</v>
      </c>
      <c r="BB110" s="13" t="s">
        <v>272</v>
      </c>
      <c r="BF110" s="13" t="s">
        <v>525</v>
      </c>
    </row>
    <row r="111" spans="1:58" ht="14.25" x14ac:dyDescent="0.2">
      <c r="A111" t="str">
        <f t="shared" si="15"/>
        <v>A7</v>
      </c>
      <c r="C111">
        <f t="shared" si="16"/>
        <v>851.7</v>
      </c>
      <c r="D111" t="str">
        <f t="shared" si="17"/>
        <v/>
      </c>
      <c r="E111" s="169" t="str">
        <f>IF(OR(A111="",B111="",C111=""),"",CONCATENATE(VLOOKUP(VALUE(I111),[1]Grundlage!$A$1:$B$14,2,0),IF(LEFT(A111,1)="A",IF(VALUE(MID(A111,2,10))&lt;10,"A00"&amp;VALUE(MID(A111,2,10)),IF(VALUE(MID(A111,2,10))&lt;100,"A0"&amp;VALUE(MID(A111,2,10)),IF(VALUE(MID(A111,2,10))&lt;1000,"A"&amp;VALUE(MID(A111,2,10))))),IF(LEFT(A111,1)="B",IF(VALUE(MID(A111,2,10))&lt;10,"B00"&amp;VALUE(MID(A111,2,10)),IF(VALUE(MID(A111,2,10))&lt;100,"B0"&amp;VALUE(MID(A111,2,10)),IF(VALUE(MID(A111,2,10))&lt;1000,"B"&amp;VALUE(MID(A111,2,10))))),A111)),"_",IF(NOT(OR(C111=1000,C111&gt;1000)),MID(TEXT((C111+1000)*1000,0),2,6),"keine Meter in Spalte km!!!"),IF(VALUE(I111)=1,CONCATENATE("_",VLOOKUP(IF(V111&gt;0,V111,J111),[1]Grundlage!$A$20:$B$181,2,0)),CONCATENATE("_",B111))))</f>
        <v/>
      </c>
      <c r="F111" s="2" t="s">
        <v>669</v>
      </c>
      <c r="G111" s="167">
        <f t="shared" si="24"/>
        <v>2759</v>
      </c>
      <c r="H111">
        <f t="shared" si="25"/>
        <v>235</v>
      </c>
      <c r="I111" s="2">
        <f t="shared" si="18"/>
        <v>0</v>
      </c>
      <c r="J111" s="2">
        <f t="shared" si="19"/>
        <v>0</v>
      </c>
      <c r="K111" s="2">
        <v>205</v>
      </c>
      <c r="L111" s="2">
        <f t="shared" si="20"/>
        <v>1</v>
      </c>
      <c r="M111" s="2" t="str">
        <f t="shared" si="21"/>
        <v/>
      </c>
      <c r="N111" s="2" t="str">
        <f t="shared" si="22"/>
        <v/>
      </c>
      <c r="P111" s="168" t="str">
        <f t="shared" si="23"/>
        <v/>
      </c>
    </row>
    <row r="112" spans="1:58" ht="14.25" x14ac:dyDescent="0.2">
      <c r="A112" t="str">
        <f t="shared" si="15"/>
        <v>A7</v>
      </c>
      <c r="B112" s="2" t="s">
        <v>656</v>
      </c>
      <c r="C112">
        <f t="shared" si="16"/>
        <v>874.2</v>
      </c>
      <c r="D112" t="str">
        <f t="shared" si="17"/>
        <v>SS</v>
      </c>
      <c r="E112" s="169" t="str">
        <f>IF(OR(A112="",B112="",C112=""),"eine der Spalten BAB, FR, km leer?",CONCATENATE(VLOOKUP(VALUE(I112),[1]Grundlage!$A$1:$B$14,2,0),IF(LEFT(A112,1)="A",IF(VALUE(MID(A112,2,10))&lt;10,"A00"&amp;VALUE(MID(A112,2,10)),IF(VALUE(MID(A112,2,10))&lt;100,"A0"&amp;VALUE(MID(A112,2,10)),IF(VALUE(MID(A112,2,10))&lt;1000,"A"&amp;VALUE(MID(A112,2,10))))),IF(LEFT(A112,1)="B",IF(VALUE(MID(A112,2,10))&lt;10,"B00"&amp;VALUE(MID(A112,2,10)),IF(VALUE(MID(A112,2,10))&lt;100,"B0"&amp;VALUE(MID(A112,2,10)),IF(VALUE(MID(A112,2,10))&lt;1000,"B"&amp;VALUE(MID(A112,2,10))))),A112)),"_",IF(NOT(OR(C112=1000,C112&gt;1000)),MID(TEXT((C112+1000)*1000,0),2,6),"keine Meter in Spalte km!!!"),IF(VALUE(I112)=1,CONCATENATE("_",VLOOKUP(IF(V112&gt;0,V112,J112),[1]Grundlage!$A$20:$B$181,2,0)),CONCATENATE("_",B112))))</f>
        <v>SSt_A007_874200_N</v>
      </c>
      <c r="F112" s="2" t="s">
        <v>32</v>
      </c>
      <c r="G112" s="167">
        <f t="shared" si="24"/>
        <v>2801</v>
      </c>
      <c r="H112">
        <f t="shared" si="25"/>
        <v>177</v>
      </c>
      <c r="I112" s="2">
        <f t="shared" si="18"/>
        <v>254</v>
      </c>
      <c r="J112" s="2">
        <f t="shared" si="19"/>
        <v>0</v>
      </c>
      <c r="K112" s="2">
        <v>205</v>
      </c>
      <c r="L112" s="2">
        <f t="shared" si="20"/>
        <v>2</v>
      </c>
      <c r="M112" s="2" t="str">
        <f t="shared" si="21"/>
        <v/>
      </c>
      <c r="N112" s="2" t="str">
        <f t="shared" si="22"/>
        <v/>
      </c>
      <c r="P112" s="168" t="str">
        <f t="shared" si="23"/>
        <v/>
      </c>
      <c r="AI112" s="35">
        <v>874.2</v>
      </c>
      <c r="AJ112" s="36" t="s">
        <v>19</v>
      </c>
      <c r="AK112" s="36" t="s">
        <v>31</v>
      </c>
      <c r="AL112" s="36"/>
      <c r="AM112" s="36"/>
      <c r="AN112" s="36"/>
      <c r="AO112" s="36"/>
      <c r="AP112" s="42">
        <v>717233</v>
      </c>
      <c r="AQ112" s="42" t="s">
        <v>95</v>
      </c>
      <c r="AR112" s="42" t="s">
        <v>222</v>
      </c>
      <c r="AS112" s="42" t="s">
        <v>221</v>
      </c>
      <c r="AT112" s="36"/>
      <c r="AU112" s="36"/>
      <c r="AV112" s="36"/>
      <c r="AW112" s="36"/>
      <c r="AX112" s="36">
        <v>2</v>
      </c>
      <c r="AY112" s="36"/>
      <c r="AZ112" s="36"/>
      <c r="BA112" s="36"/>
      <c r="BB112" s="37" t="s">
        <v>32</v>
      </c>
      <c r="BC112" s="38"/>
      <c r="BD112" s="99" t="s">
        <v>163</v>
      </c>
      <c r="BE112" s="39" t="s">
        <v>18</v>
      </c>
      <c r="BF112" s="2" t="s">
        <v>452</v>
      </c>
    </row>
    <row r="113" spans="1:58" ht="14.25" x14ac:dyDescent="0.2">
      <c r="A113" t="str">
        <f t="shared" si="15"/>
        <v>A7</v>
      </c>
      <c r="B113" s="2" t="s">
        <v>656</v>
      </c>
      <c r="C113">
        <f t="shared" si="16"/>
        <v>874.2</v>
      </c>
      <c r="D113" t="str">
        <f t="shared" si="17"/>
        <v>UFD</v>
      </c>
      <c r="E113" s="169" t="str">
        <f>IF(OR(A113="",B113="",C113=""),"eine der Spalten BAB, FR, km leer?",CONCATENATE(VLOOKUP(VALUE(I113),[1]Grundlage!$A$1:$B$14,2,0),IF(LEFT(A113,1)="A",IF(VALUE(MID(A113,2,10))&lt;10,"A00"&amp;VALUE(MID(A113,2,10)),IF(VALUE(MID(A113,2,10))&lt;100,"A0"&amp;VALUE(MID(A113,2,10)),IF(VALUE(MID(A113,2,10))&lt;1000,"A"&amp;VALUE(MID(A113,2,10))))),IF(LEFT(A113,1)="B",IF(VALUE(MID(A113,2,10))&lt;10,"B00"&amp;VALUE(MID(A113,2,10)),IF(VALUE(MID(A113,2,10))&lt;100,"B0"&amp;VALUE(MID(A113,2,10)),IF(VALUE(MID(A113,2,10))&lt;1000,"B"&amp;VALUE(MID(A113,2,10))))),A113)),"_",IF(NOT(OR(C113=1000,C113&gt;1000)),MID(TEXT((C113+1000)*1000,0),2,6),"keine Meter in Spalte km!!!"),IF(VALUE(I113)=1,CONCATENATE("_",VLOOKUP(IF(V113&gt;0,V113,J113),[1]Grundlage!$A$20:$B$181,2,0)),CONCATENATE("_",B113))))</f>
        <v>UQ_A007_874200_N</v>
      </c>
      <c r="F113" s="2" t="s">
        <v>269</v>
      </c>
      <c r="G113" s="167">
        <f t="shared" si="24"/>
        <v>2801</v>
      </c>
      <c r="H113">
        <f t="shared" si="25"/>
        <v>177</v>
      </c>
      <c r="I113" s="2">
        <f t="shared" si="18"/>
        <v>3</v>
      </c>
      <c r="J113" s="2">
        <f t="shared" si="19"/>
        <v>6</v>
      </c>
      <c r="K113" s="2">
        <v>205</v>
      </c>
      <c r="L113" s="2">
        <f t="shared" si="20"/>
        <v>2</v>
      </c>
      <c r="M113" s="2">
        <f t="shared" si="21"/>
        <v>1</v>
      </c>
      <c r="N113" s="2">
        <f t="shared" si="22"/>
        <v>1</v>
      </c>
      <c r="P113" s="168">
        <f t="shared" si="23"/>
        <v>71</v>
      </c>
      <c r="AP113" s="40"/>
      <c r="AQ113" s="40"/>
      <c r="AR113" s="40"/>
      <c r="AS113" s="40"/>
      <c r="AT113" s="19">
        <v>3</v>
      </c>
      <c r="AU113" s="14">
        <v>6</v>
      </c>
      <c r="AV113" s="27">
        <v>6</v>
      </c>
      <c r="AW113" s="19"/>
      <c r="AX113" s="19"/>
      <c r="AY113" s="19">
        <v>1</v>
      </c>
      <c r="AZ113" s="14">
        <v>1</v>
      </c>
      <c r="BA113" s="27">
        <v>1</v>
      </c>
      <c r="BB113" s="13" t="s">
        <v>269</v>
      </c>
      <c r="BF113" s="2" t="s">
        <v>440</v>
      </c>
    </row>
    <row r="114" spans="1:58" ht="14.25" x14ac:dyDescent="0.2">
      <c r="A114" t="str">
        <f t="shared" si="15"/>
        <v>A7</v>
      </c>
      <c r="B114" s="2" t="s">
        <v>656</v>
      </c>
      <c r="C114">
        <f t="shared" si="16"/>
        <v>874.2</v>
      </c>
      <c r="D114" t="str">
        <f t="shared" si="17"/>
        <v>UFD</v>
      </c>
      <c r="E114" s="169" t="str">
        <f>IF(OR(A114="",B114="",C114=""),"eine der Spalten BAB, FR, km leer?",CONCATENATE(VLOOKUP(VALUE(I114),[1]Grundlage!$A$1:$B$14,2,0),IF(LEFT(A114,1)="A",IF(VALUE(MID(A114,2,10))&lt;10,"A00"&amp;VALUE(MID(A114,2,10)),IF(VALUE(MID(A114,2,10))&lt;100,"A0"&amp;VALUE(MID(A114,2,10)),IF(VALUE(MID(A114,2,10))&lt;1000,"A"&amp;VALUE(MID(A114,2,10))))),IF(LEFT(A114,1)="B",IF(VALUE(MID(A114,2,10))&lt;10,"B00"&amp;VALUE(MID(A114,2,10)),IF(VALUE(MID(A114,2,10))&lt;100,"B0"&amp;VALUE(MID(A114,2,10)),IF(VALUE(MID(A114,2,10))&lt;1000,"B"&amp;VALUE(MID(A114,2,10))))),A114)),"_",IF(NOT(OR(C114=1000,C114&gt;1000)),MID(TEXT((C114+1000)*1000,0),2,6),"keine Meter in Spalte km!!!"),IF(VALUE(I114)=1,CONCATENATE("_",VLOOKUP(IF(V114&gt;0,V114,J114),[1]Grundlage!$A$20:$B$181,2,0)),CONCATENATE("_",B114))))</f>
        <v>UQ_A007_874200_N</v>
      </c>
      <c r="F114" s="2" t="s">
        <v>270</v>
      </c>
      <c r="G114" s="167">
        <f t="shared" si="24"/>
        <v>2801</v>
      </c>
      <c r="H114">
        <f t="shared" si="25"/>
        <v>177</v>
      </c>
      <c r="I114" s="2">
        <f t="shared" si="18"/>
        <v>3</v>
      </c>
      <c r="J114" s="2">
        <f t="shared" si="19"/>
        <v>11</v>
      </c>
      <c r="K114" s="2">
        <v>205</v>
      </c>
      <c r="L114" s="2">
        <f t="shared" si="20"/>
        <v>2</v>
      </c>
      <c r="M114" s="2">
        <f t="shared" si="21"/>
        <v>1</v>
      </c>
      <c r="N114" s="2">
        <f t="shared" si="22"/>
        <v>2</v>
      </c>
      <c r="P114" s="168">
        <f t="shared" si="23"/>
        <v>70</v>
      </c>
      <c r="AT114" s="19">
        <v>3</v>
      </c>
      <c r="AU114" s="14">
        <v>11</v>
      </c>
      <c r="AV114" s="14" t="s">
        <v>78</v>
      </c>
      <c r="AW114" s="13"/>
      <c r="AX114" s="13"/>
      <c r="AY114" s="19">
        <v>1</v>
      </c>
      <c r="AZ114" s="14">
        <v>2</v>
      </c>
      <c r="BA114" s="14">
        <v>2</v>
      </c>
      <c r="BB114" s="13" t="s">
        <v>270</v>
      </c>
      <c r="BF114" s="2" t="s">
        <v>520</v>
      </c>
    </row>
    <row r="115" spans="1:58" ht="14.25" x14ac:dyDescent="0.2">
      <c r="A115" t="str">
        <f t="shared" si="15"/>
        <v>A7</v>
      </c>
      <c r="B115" s="2" t="s">
        <v>656</v>
      </c>
      <c r="C115">
        <f t="shared" si="16"/>
        <v>874.2</v>
      </c>
      <c r="D115" t="str">
        <f t="shared" si="17"/>
        <v>UFD</v>
      </c>
      <c r="E115" s="169" t="str">
        <f>IF(OR(A115="",B115="",C115=""),"eine der Spalten BAB, FR, km leer?",CONCATENATE(VLOOKUP(VALUE(I115),[1]Grundlage!$A$1:$B$14,2,0),IF(LEFT(A115,1)="A",IF(VALUE(MID(A115,2,10))&lt;10,"A00"&amp;VALUE(MID(A115,2,10)),IF(VALUE(MID(A115,2,10))&lt;100,"A0"&amp;VALUE(MID(A115,2,10)),IF(VALUE(MID(A115,2,10))&lt;1000,"A"&amp;VALUE(MID(A115,2,10))))),IF(LEFT(A115,1)="B",IF(VALUE(MID(A115,2,10))&lt;10,"B00"&amp;VALUE(MID(A115,2,10)),IF(VALUE(MID(A115,2,10))&lt;100,"B0"&amp;VALUE(MID(A115,2,10)),IF(VALUE(MID(A115,2,10))&lt;1000,"B"&amp;VALUE(MID(A115,2,10))))),A115)),"_",IF(NOT(OR(C115=1000,C115&gt;1000)),MID(TEXT((C115+1000)*1000,0),2,6),"keine Meter in Spalte km!!!"),IF(VALUE(I115)=1,CONCATENATE("_",VLOOKUP(IF(V115&gt;0,V115,J115),[1]Grundlage!$A$20:$B$181,2,0)),CONCATENATE("_",B115))))</f>
        <v>UQ_A007_874200_N</v>
      </c>
      <c r="F115" s="2" t="s">
        <v>25</v>
      </c>
      <c r="G115" s="167">
        <f t="shared" si="24"/>
        <v>2801</v>
      </c>
      <c r="H115">
        <f t="shared" si="25"/>
        <v>177</v>
      </c>
      <c r="I115" s="2">
        <f t="shared" si="18"/>
        <v>3</v>
      </c>
      <c r="J115" s="2">
        <f t="shared" si="19"/>
        <v>12</v>
      </c>
      <c r="K115" s="2">
        <v>205</v>
      </c>
      <c r="L115" s="2">
        <f t="shared" si="20"/>
        <v>2</v>
      </c>
      <c r="M115" s="2">
        <f t="shared" si="21"/>
        <v>1</v>
      </c>
      <c r="N115" s="2">
        <f t="shared" si="22"/>
        <v>3</v>
      </c>
      <c r="P115" s="168">
        <f t="shared" si="23"/>
        <v>48</v>
      </c>
      <c r="AT115" s="19">
        <v>3</v>
      </c>
      <c r="AU115" s="14">
        <v>12</v>
      </c>
      <c r="AV115" s="14" t="s">
        <v>79</v>
      </c>
      <c r="AW115" s="13"/>
      <c r="AX115" s="13"/>
      <c r="AY115" s="19">
        <v>1</v>
      </c>
      <c r="AZ115" s="14">
        <v>3</v>
      </c>
      <c r="BA115" s="14">
        <v>3</v>
      </c>
      <c r="BB115" s="13" t="s">
        <v>25</v>
      </c>
      <c r="BF115" s="13" t="s">
        <v>441</v>
      </c>
    </row>
    <row r="116" spans="1:58" ht="14.25" x14ac:dyDescent="0.2">
      <c r="A116" t="str">
        <f t="shared" si="15"/>
        <v>A7</v>
      </c>
      <c r="B116" s="2" t="s">
        <v>656</v>
      </c>
      <c r="C116">
        <f t="shared" si="16"/>
        <v>874.2</v>
      </c>
      <c r="D116" t="str">
        <f t="shared" si="17"/>
        <v>UFD</v>
      </c>
      <c r="E116" s="169" t="str">
        <f>IF(OR(A116="",B116="",C116=""),"eine der Spalten BAB, FR, km leer?",CONCATENATE(VLOOKUP(VALUE(I116),[1]Grundlage!$A$1:$B$14,2,0),IF(LEFT(A116,1)="A",IF(VALUE(MID(A116,2,10))&lt;10,"A00"&amp;VALUE(MID(A116,2,10)),IF(VALUE(MID(A116,2,10))&lt;100,"A0"&amp;VALUE(MID(A116,2,10)),IF(VALUE(MID(A116,2,10))&lt;1000,"A"&amp;VALUE(MID(A116,2,10))))),IF(LEFT(A116,1)="B",IF(VALUE(MID(A116,2,10))&lt;10,"B00"&amp;VALUE(MID(A116,2,10)),IF(VALUE(MID(A116,2,10))&lt;100,"B0"&amp;VALUE(MID(A116,2,10)),IF(VALUE(MID(A116,2,10))&lt;1000,"B"&amp;VALUE(MID(A116,2,10))))),A116)),"_",IF(NOT(OR(C116=1000,C116&gt;1000)),MID(TEXT((C116+1000)*1000,0),2,6),"keine Meter in Spalte km!!!"),IF(VALUE(I116)=1,CONCATENATE("_",VLOOKUP(IF(V116&gt;0,V116,J116),[1]Grundlage!$A$20:$B$181,2,0)),CONCATENATE("_",B116))))</f>
        <v>UQ_A007_874200_N</v>
      </c>
      <c r="F116" s="2" t="s">
        <v>26</v>
      </c>
      <c r="G116" s="167">
        <f t="shared" si="24"/>
        <v>2801</v>
      </c>
      <c r="H116">
        <f t="shared" si="25"/>
        <v>177</v>
      </c>
      <c r="I116" s="2">
        <f t="shared" si="18"/>
        <v>3</v>
      </c>
      <c r="J116" s="2">
        <f t="shared" si="19"/>
        <v>13</v>
      </c>
      <c r="K116" s="2">
        <v>205</v>
      </c>
      <c r="L116" s="2">
        <f t="shared" si="20"/>
        <v>2</v>
      </c>
      <c r="M116" s="2">
        <f t="shared" si="21"/>
        <v>1</v>
      </c>
      <c r="N116" s="2">
        <f t="shared" si="22"/>
        <v>4</v>
      </c>
      <c r="P116" s="168">
        <f t="shared" si="23"/>
        <v>55</v>
      </c>
      <c r="AT116" s="19">
        <v>3</v>
      </c>
      <c r="AU116" s="14">
        <v>13</v>
      </c>
      <c r="AV116" s="14" t="s">
        <v>80</v>
      </c>
      <c r="AW116" s="13"/>
      <c r="AX116" s="13"/>
      <c r="AY116" s="19">
        <v>1</v>
      </c>
      <c r="AZ116" s="14">
        <v>4</v>
      </c>
      <c r="BA116" s="14">
        <v>4</v>
      </c>
      <c r="BB116" s="13" t="s">
        <v>26</v>
      </c>
      <c r="BF116" s="13" t="s">
        <v>442</v>
      </c>
    </row>
    <row r="117" spans="1:58" ht="14.25" x14ac:dyDescent="0.2">
      <c r="A117" t="str">
        <f t="shared" si="15"/>
        <v>A7</v>
      </c>
      <c r="B117" s="2" t="s">
        <v>656</v>
      </c>
      <c r="C117">
        <f t="shared" si="16"/>
        <v>874.2</v>
      </c>
      <c r="D117" t="str">
        <f t="shared" si="17"/>
        <v>UFD</v>
      </c>
      <c r="E117" s="169" t="str">
        <f>IF(OR(A117="",B117="",C117=""),"eine der Spalten BAB, FR, km leer?",CONCATENATE(VLOOKUP(VALUE(I117),[1]Grundlage!$A$1:$B$14,2,0),IF(LEFT(A117,1)="A",IF(VALUE(MID(A117,2,10))&lt;10,"A00"&amp;VALUE(MID(A117,2,10)),IF(VALUE(MID(A117,2,10))&lt;100,"A0"&amp;VALUE(MID(A117,2,10)),IF(VALUE(MID(A117,2,10))&lt;1000,"A"&amp;VALUE(MID(A117,2,10))))),IF(LEFT(A117,1)="B",IF(VALUE(MID(A117,2,10))&lt;10,"B00"&amp;VALUE(MID(A117,2,10)),IF(VALUE(MID(A117,2,10))&lt;100,"B0"&amp;VALUE(MID(A117,2,10)),IF(VALUE(MID(A117,2,10))&lt;1000,"B"&amp;VALUE(MID(A117,2,10))))),A117)),"_",IF(NOT(OR(C117=1000,C117&gt;1000)),MID(TEXT((C117+1000)*1000,0),2,6),"keine Meter in Spalte km!!!"),IF(VALUE(I117)=1,CONCATENATE("_",VLOOKUP(IF(V117&gt;0,V117,J117),[1]Grundlage!$A$20:$B$181,2,0)),CONCATENATE("_",B117))))</f>
        <v>UQ_A007_874200_N</v>
      </c>
      <c r="F117" s="2" t="s">
        <v>27</v>
      </c>
      <c r="G117" s="167">
        <f t="shared" si="24"/>
        <v>2801</v>
      </c>
      <c r="H117">
        <f t="shared" si="25"/>
        <v>177</v>
      </c>
      <c r="I117" s="2">
        <f t="shared" si="18"/>
        <v>3</v>
      </c>
      <c r="J117" s="2">
        <f t="shared" si="19"/>
        <v>14</v>
      </c>
      <c r="K117" s="2">
        <v>205</v>
      </c>
      <c r="L117" s="2">
        <f t="shared" si="20"/>
        <v>2</v>
      </c>
      <c r="M117" s="2">
        <f t="shared" si="21"/>
        <v>1</v>
      </c>
      <c r="N117" s="2">
        <f t="shared" si="22"/>
        <v>5</v>
      </c>
      <c r="P117" s="168">
        <f t="shared" si="23"/>
        <v>66</v>
      </c>
      <c r="AT117" s="19">
        <v>3</v>
      </c>
      <c r="AU117" s="14">
        <v>14</v>
      </c>
      <c r="AV117" s="14" t="s">
        <v>81</v>
      </c>
      <c r="AW117" s="13"/>
      <c r="AX117" s="13"/>
      <c r="AY117" s="19">
        <v>1</v>
      </c>
      <c r="AZ117" s="14">
        <v>5</v>
      </c>
      <c r="BA117" s="14">
        <v>5</v>
      </c>
      <c r="BB117" s="13" t="s">
        <v>27</v>
      </c>
      <c r="BF117" s="13" t="s">
        <v>443</v>
      </c>
    </row>
    <row r="118" spans="1:58" ht="14.25" x14ac:dyDescent="0.2">
      <c r="A118" t="str">
        <f t="shared" si="15"/>
        <v>A7</v>
      </c>
      <c r="B118" s="2" t="s">
        <v>656</v>
      </c>
      <c r="C118">
        <f t="shared" si="16"/>
        <v>874.2</v>
      </c>
      <c r="D118" t="str">
        <f t="shared" si="17"/>
        <v>UFD</v>
      </c>
      <c r="E118" s="169" t="str">
        <f>IF(OR(A118="",B118="",C118=""),"eine der Spalten BAB, FR, km leer?",CONCATENATE(VLOOKUP(VALUE(I118),[1]Grundlage!$A$1:$B$14,2,0),IF(LEFT(A118,1)="A",IF(VALUE(MID(A118,2,10))&lt;10,"A00"&amp;VALUE(MID(A118,2,10)),IF(VALUE(MID(A118,2,10))&lt;100,"A0"&amp;VALUE(MID(A118,2,10)),IF(VALUE(MID(A118,2,10))&lt;1000,"A"&amp;VALUE(MID(A118,2,10))))),IF(LEFT(A118,1)="B",IF(VALUE(MID(A118,2,10))&lt;10,"B00"&amp;VALUE(MID(A118,2,10)),IF(VALUE(MID(A118,2,10))&lt;100,"B0"&amp;VALUE(MID(A118,2,10)),IF(VALUE(MID(A118,2,10))&lt;1000,"B"&amp;VALUE(MID(A118,2,10))))),A118)),"_",IF(NOT(OR(C118=1000,C118&gt;1000)),MID(TEXT((C118+1000)*1000,0),2,6),"keine Meter in Spalte km!!!"),IF(VALUE(I118)=1,CONCATENATE("_",VLOOKUP(IF(V118&gt;0,V118,J118),[1]Grundlage!$A$20:$B$181,2,0)),CONCATENATE("_",B118))))</f>
        <v>UQ_A007_874200_N</v>
      </c>
      <c r="F118" s="2" t="s">
        <v>28</v>
      </c>
      <c r="G118" s="167">
        <f t="shared" si="24"/>
        <v>2801</v>
      </c>
      <c r="H118">
        <f t="shared" si="25"/>
        <v>177</v>
      </c>
      <c r="I118" s="2">
        <f t="shared" si="18"/>
        <v>3</v>
      </c>
      <c r="J118" s="2">
        <f t="shared" si="19"/>
        <v>15</v>
      </c>
      <c r="K118" s="2">
        <v>205</v>
      </c>
      <c r="L118" s="2">
        <f t="shared" si="20"/>
        <v>2</v>
      </c>
      <c r="M118" s="2">
        <f t="shared" si="21"/>
        <v>1</v>
      </c>
      <c r="N118" s="2">
        <f t="shared" si="22"/>
        <v>6</v>
      </c>
      <c r="P118" s="168">
        <f t="shared" si="23"/>
        <v>65</v>
      </c>
      <c r="AT118" s="19">
        <v>3</v>
      </c>
      <c r="AU118" s="14">
        <v>15</v>
      </c>
      <c r="AV118" s="14" t="s">
        <v>82</v>
      </c>
      <c r="AW118" s="13"/>
      <c r="AX118" s="13"/>
      <c r="AY118" s="19">
        <v>1</v>
      </c>
      <c r="AZ118" s="14">
        <v>6</v>
      </c>
      <c r="BA118" s="14">
        <v>6</v>
      </c>
      <c r="BB118" s="13" t="s">
        <v>28</v>
      </c>
      <c r="BF118" s="13" t="s">
        <v>516</v>
      </c>
    </row>
    <row r="119" spans="1:58" ht="14.25" x14ac:dyDescent="0.2">
      <c r="A119" t="str">
        <f t="shared" si="15"/>
        <v>A7</v>
      </c>
      <c r="B119" s="2" t="s">
        <v>656</v>
      </c>
      <c r="C119">
        <f t="shared" si="16"/>
        <v>874.2</v>
      </c>
      <c r="D119" t="str">
        <f t="shared" si="17"/>
        <v>UFD</v>
      </c>
      <c r="E119" s="169" t="str">
        <f>IF(OR(A119="",B119="",C119=""),"eine der Spalten BAB, FR, km leer?",CONCATENATE(VLOOKUP(VALUE(I119),[1]Grundlage!$A$1:$B$14,2,0),IF(LEFT(A119,1)="A",IF(VALUE(MID(A119,2,10))&lt;10,"A00"&amp;VALUE(MID(A119,2,10)),IF(VALUE(MID(A119,2,10))&lt;100,"A0"&amp;VALUE(MID(A119,2,10)),IF(VALUE(MID(A119,2,10))&lt;1000,"A"&amp;VALUE(MID(A119,2,10))))),IF(LEFT(A119,1)="B",IF(VALUE(MID(A119,2,10))&lt;10,"B00"&amp;VALUE(MID(A119,2,10)),IF(VALUE(MID(A119,2,10))&lt;100,"B0"&amp;VALUE(MID(A119,2,10)),IF(VALUE(MID(A119,2,10))&lt;1000,"B"&amp;VALUE(MID(A119,2,10))))),A119)),"_",IF(NOT(OR(C119=1000,C119&gt;1000)),MID(TEXT((C119+1000)*1000,0),2,6),"keine Meter in Spalte km!!!"),IF(VALUE(I119)=1,CONCATENATE("_",VLOOKUP(IF(V119&gt;0,V119,J119),[1]Grundlage!$A$20:$B$181,2,0)),CONCATENATE("_",B119))))</f>
        <v>UQ_A007_874200_N</v>
      </c>
      <c r="F119" s="2" t="s">
        <v>29</v>
      </c>
      <c r="G119" s="167">
        <f t="shared" si="24"/>
        <v>2801</v>
      </c>
      <c r="H119">
        <f t="shared" si="25"/>
        <v>177</v>
      </c>
      <c r="I119" s="2">
        <f t="shared" si="18"/>
        <v>3</v>
      </c>
      <c r="J119" s="2">
        <f t="shared" si="19"/>
        <v>19</v>
      </c>
      <c r="K119" s="2">
        <v>205</v>
      </c>
      <c r="L119" s="2">
        <f t="shared" si="20"/>
        <v>2</v>
      </c>
      <c r="M119" s="2">
        <f t="shared" si="21"/>
        <v>1</v>
      </c>
      <c r="N119" s="2">
        <f t="shared" si="22"/>
        <v>7</v>
      </c>
      <c r="P119" s="168">
        <f t="shared" si="23"/>
        <v>49</v>
      </c>
      <c r="AT119" s="19">
        <v>3</v>
      </c>
      <c r="AU119" s="14">
        <v>19</v>
      </c>
      <c r="AV119" s="14">
        <v>13</v>
      </c>
      <c r="AW119" s="13"/>
      <c r="AX119" s="13"/>
      <c r="AY119" s="19">
        <v>1</v>
      </c>
      <c r="AZ119" s="14">
        <v>7</v>
      </c>
      <c r="BA119" s="14">
        <v>7</v>
      </c>
      <c r="BB119" s="13" t="s">
        <v>29</v>
      </c>
      <c r="BF119" s="13" t="s">
        <v>517</v>
      </c>
    </row>
    <row r="120" spans="1:58" ht="14.25" x14ac:dyDescent="0.2">
      <c r="A120" t="str">
        <f t="shared" si="15"/>
        <v>A7</v>
      </c>
      <c r="B120" s="2" t="s">
        <v>656</v>
      </c>
      <c r="C120">
        <f t="shared" si="16"/>
        <v>874.2</v>
      </c>
      <c r="D120" t="str">
        <f t="shared" si="17"/>
        <v>UFD</v>
      </c>
      <c r="E120" s="169" t="str">
        <f>IF(OR(A120="",B120="",C120=""),"eine der Spalten BAB, FR, km leer?",CONCATENATE(VLOOKUP(VALUE(I120),[1]Grundlage!$A$1:$B$14,2,0),IF(LEFT(A120,1)="A",IF(VALUE(MID(A120,2,10))&lt;10,"A00"&amp;VALUE(MID(A120,2,10)),IF(VALUE(MID(A120,2,10))&lt;100,"A0"&amp;VALUE(MID(A120,2,10)),IF(VALUE(MID(A120,2,10))&lt;1000,"A"&amp;VALUE(MID(A120,2,10))))),IF(LEFT(A120,1)="B",IF(VALUE(MID(A120,2,10))&lt;10,"B00"&amp;VALUE(MID(A120,2,10)),IF(VALUE(MID(A120,2,10))&lt;100,"B0"&amp;VALUE(MID(A120,2,10)),IF(VALUE(MID(A120,2,10))&lt;1000,"B"&amp;VALUE(MID(A120,2,10))))),A120)),"_",IF(NOT(OR(C120=1000,C120&gt;1000)),MID(TEXT((C120+1000)*1000,0),2,6),"keine Meter in Spalte km!!!"),IF(VALUE(I120)=1,CONCATENATE("_",VLOOKUP(IF(V120&gt;0,V120,J120),[1]Grundlage!$A$20:$B$181,2,0)),CONCATENATE("_",B120))))</f>
        <v>UQ_A007_874200_N</v>
      </c>
      <c r="F120" s="2" t="s">
        <v>30</v>
      </c>
      <c r="G120" s="167">
        <f t="shared" si="24"/>
        <v>2801</v>
      </c>
      <c r="H120">
        <f t="shared" si="25"/>
        <v>177</v>
      </c>
      <c r="I120" s="2">
        <f t="shared" si="18"/>
        <v>3</v>
      </c>
      <c r="J120" s="2">
        <f t="shared" si="19"/>
        <v>21</v>
      </c>
      <c r="K120" s="2">
        <v>205</v>
      </c>
      <c r="L120" s="2">
        <f t="shared" si="20"/>
        <v>2</v>
      </c>
      <c r="M120" s="2">
        <f t="shared" si="21"/>
        <v>1</v>
      </c>
      <c r="N120" s="2">
        <f t="shared" si="22"/>
        <v>8</v>
      </c>
      <c r="P120" s="168">
        <f t="shared" si="23"/>
        <v>67</v>
      </c>
      <c r="AT120" s="19">
        <v>3</v>
      </c>
      <c r="AU120" s="14">
        <v>21</v>
      </c>
      <c r="AV120" s="14">
        <v>15</v>
      </c>
      <c r="AW120" s="13"/>
      <c r="AX120" s="13"/>
      <c r="AY120" s="19">
        <v>1</v>
      </c>
      <c r="AZ120" s="14">
        <v>8</v>
      </c>
      <c r="BA120" s="14">
        <v>9</v>
      </c>
      <c r="BB120" s="13" t="s">
        <v>30</v>
      </c>
      <c r="BF120" s="13" t="s">
        <v>518</v>
      </c>
    </row>
    <row r="121" spans="1:58" ht="14.25" x14ac:dyDescent="0.2">
      <c r="A121" t="str">
        <f t="shared" si="15"/>
        <v>A7</v>
      </c>
      <c r="B121" s="2" t="s">
        <v>656</v>
      </c>
      <c r="C121">
        <f t="shared" si="16"/>
        <v>874.2</v>
      </c>
      <c r="D121" t="str">
        <f t="shared" si="17"/>
        <v>UFD</v>
      </c>
      <c r="E121" s="169" t="str">
        <f>IF(OR(A121="",B121="",C121=""),"eine der Spalten BAB, FR, km leer?",CONCATENATE(VLOOKUP(VALUE(I121),[1]Grundlage!$A$1:$B$14,2,0),IF(LEFT(A121,1)="A",IF(VALUE(MID(A121,2,10))&lt;10,"A00"&amp;VALUE(MID(A121,2,10)),IF(VALUE(MID(A121,2,10))&lt;100,"A0"&amp;VALUE(MID(A121,2,10)),IF(VALUE(MID(A121,2,10))&lt;1000,"A"&amp;VALUE(MID(A121,2,10))))),IF(LEFT(A121,1)="B",IF(VALUE(MID(A121,2,10))&lt;10,"B00"&amp;VALUE(MID(A121,2,10)),IF(VALUE(MID(A121,2,10))&lt;100,"B0"&amp;VALUE(MID(A121,2,10)),IF(VALUE(MID(A121,2,10))&lt;1000,"B"&amp;VALUE(MID(A121,2,10))))),A121)),"_",IF(NOT(OR(C121=1000,C121&gt;1000)),MID(TEXT((C121+1000)*1000,0),2,6),"keine Meter in Spalte km!!!"),IF(VALUE(I121)=1,CONCATENATE("_",VLOOKUP(IF(V121&gt;0,V121,J121),[1]Grundlage!$A$20:$B$181,2,0)),CONCATENATE("_",B121))))</f>
        <v>UQ_A007_874200_N</v>
      </c>
      <c r="F121" s="2" t="s">
        <v>271</v>
      </c>
      <c r="G121" s="167">
        <f t="shared" si="24"/>
        <v>2801</v>
      </c>
      <c r="H121">
        <f t="shared" si="25"/>
        <v>177</v>
      </c>
      <c r="I121" s="2">
        <f t="shared" si="18"/>
        <v>3</v>
      </c>
      <c r="J121" s="2">
        <f t="shared" si="19"/>
        <v>67</v>
      </c>
      <c r="K121" s="2">
        <v>205</v>
      </c>
      <c r="L121" s="2">
        <f t="shared" si="20"/>
        <v>2</v>
      </c>
      <c r="M121" s="2">
        <f t="shared" si="21"/>
        <v>1</v>
      </c>
      <c r="N121" s="2">
        <f t="shared" si="22"/>
        <v>9</v>
      </c>
      <c r="P121" s="168">
        <f t="shared" si="23"/>
        <v>53</v>
      </c>
      <c r="AT121" s="19">
        <v>3</v>
      </c>
      <c r="AU121" s="14">
        <v>67</v>
      </c>
      <c r="AV121" s="14">
        <v>43</v>
      </c>
      <c r="AW121" s="13"/>
      <c r="AX121" s="13"/>
      <c r="AY121" s="19">
        <v>1</v>
      </c>
      <c r="AZ121" s="14">
        <v>9</v>
      </c>
      <c r="BA121" s="34">
        <v>9</v>
      </c>
      <c r="BB121" s="13" t="s">
        <v>271</v>
      </c>
      <c r="BF121" s="13" t="s">
        <v>444</v>
      </c>
    </row>
    <row r="122" spans="1:58" ht="14.25" x14ac:dyDescent="0.2">
      <c r="A122" t="str">
        <f t="shared" si="15"/>
        <v>A7</v>
      </c>
      <c r="B122" s="2" t="s">
        <v>656</v>
      </c>
      <c r="C122">
        <f t="shared" si="16"/>
        <v>874.2</v>
      </c>
      <c r="D122" t="str">
        <f t="shared" si="17"/>
        <v>UFD</v>
      </c>
      <c r="E122" s="169" t="str">
        <f>IF(OR(A122="",B122="",C122=""),"eine der Spalten BAB, FR, km leer?",CONCATENATE(VLOOKUP(VALUE(I122),[1]Grundlage!$A$1:$B$14,2,0),IF(LEFT(A122,1)="A",IF(VALUE(MID(A122,2,10))&lt;10,"A00"&amp;VALUE(MID(A122,2,10)),IF(VALUE(MID(A122,2,10))&lt;100,"A0"&amp;VALUE(MID(A122,2,10)),IF(VALUE(MID(A122,2,10))&lt;1000,"A"&amp;VALUE(MID(A122,2,10))))),IF(LEFT(A122,1)="B",IF(VALUE(MID(A122,2,10))&lt;10,"B00"&amp;VALUE(MID(A122,2,10)),IF(VALUE(MID(A122,2,10))&lt;100,"B0"&amp;VALUE(MID(A122,2,10)),IF(VALUE(MID(A122,2,10))&lt;1000,"B"&amp;VALUE(MID(A122,2,10))))),A122)),"_",IF(NOT(OR(C122=1000,C122&gt;1000)),MID(TEXT((C122+1000)*1000,0),2,6),"keine Meter in Spalte km!!!"),IF(VALUE(I122)=1,CONCATENATE("_",VLOOKUP(IF(V122&gt;0,V122,J122),[1]Grundlage!$A$20:$B$181,2,0)),CONCATENATE("_",B122))))</f>
        <v>UQ_A007_874200_N</v>
      </c>
      <c r="F122" s="2" t="s">
        <v>272</v>
      </c>
      <c r="G122" s="167">
        <f t="shared" si="24"/>
        <v>2801</v>
      </c>
      <c r="H122">
        <f t="shared" si="25"/>
        <v>177</v>
      </c>
      <c r="I122" s="2">
        <f t="shared" si="18"/>
        <v>3</v>
      </c>
      <c r="J122" s="2">
        <f t="shared" si="19"/>
        <v>82</v>
      </c>
      <c r="K122" s="2">
        <v>205</v>
      </c>
      <c r="L122" s="2">
        <f t="shared" si="20"/>
        <v>2</v>
      </c>
      <c r="M122" s="2">
        <f t="shared" si="21"/>
        <v>1</v>
      </c>
      <c r="N122" s="2">
        <f t="shared" si="22"/>
        <v>10</v>
      </c>
      <c r="P122" s="168">
        <f t="shared" si="23"/>
        <v>72</v>
      </c>
      <c r="AT122" s="19">
        <v>3</v>
      </c>
      <c r="AU122" s="14">
        <v>82</v>
      </c>
      <c r="AV122" s="14">
        <v>52</v>
      </c>
      <c r="AW122" s="13"/>
      <c r="AX122" s="13"/>
      <c r="AY122" s="19">
        <v>1</v>
      </c>
      <c r="AZ122" s="14">
        <v>10</v>
      </c>
      <c r="BA122" s="34" t="s">
        <v>95</v>
      </c>
      <c r="BB122" s="13" t="s">
        <v>272</v>
      </c>
      <c r="BF122" s="13" t="s">
        <v>519</v>
      </c>
    </row>
    <row r="123" spans="1:58" ht="14.25" x14ac:dyDescent="0.2">
      <c r="A123" t="str">
        <f t="shared" si="15"/>
        <v>A7</v>
      </c>
      <c r="C123">
        <f t="shared" si="16"/>
        <v>874.2</v>
      </c>
      <c r="D123" t="str">
        <f t="shared" si="17"/>
        <v/>
      </c>
      <c r="E123" s="169" t="str">
        <f>IF(OR(A123="",B123="",C123=""),"",CONCATENATE(VLOOKUP(VALUE(I123),[1]Grundlage!$A$1:$B$14,2,0),IF(LEFT(A123,1)="A",IF(VALUE(MID(A123,2,10))&lt;10,"A00"&amp;VALUE(MID(A123,2,10)),IF(VALUE(MID(A123,2,10))&lt;100,"A0"&amp;VALUE(MID(A123,2,10)),IF(VALUE(MID(A123,2,10))&lt;1000,"A"&amp;VALUE(MID(A123,2,10))))),IF(LEFT(A123,1)="B",IF(VALUE(MID(A123,2,10))&lt;10,"B00"&amp;VALUE(MID(A123,2,10)),IF(VALUE(MID(A123,2,10))&lt;100,"B0"&amp;VALUE(MID(A123,2,10)),IF(VALUE(MID(A123,2,10))&lt;1000,"B"&amp;VALUE(MID(A123,2,10))))),A123)),"_",IF(NOT(OR(C123=1000,C123&gt;1000)),MID(TEXT((C123+1000)*1000,0),2,6),"keine Meter in Spalte km!!!"),IF(VALUE(I123)=1,CONCATENATE("_",VLOOKUP(IF(V123&gt;0,V123,J123),[1]Grundlage!$A$20:$B$181,2,0)),CONCATENATE("_",B123))))</f>
        <v/>
      </c>
      <c r="F123" s="2" t="s">
        <v>669</v>
      </c>
      <c r="G123" s="167">
        <f t="shared" si="24"/>
        <v>2801</v>
      </c>
      <c r="H123">
        <f t="shared" si="25"/>
        <v>177</v>
      </c>
      <c r="I123" s="2">
        <f t="shared" si="18"/>
        <v>0</v>
      </c>
      <c r="J123" s="2">
        <f t="shared" si="19"/>
        <v>0</v>
      </c>
      <c r="K123" s="2">
        <v>205</v>
      </c>
      <c r="L123" s="2">
        <f t="shared" si="20"/>
        <v>2</v>
      </c>
      <c r="M123" s="2" t="str">
        <f t="shared" si="21"/>
        <v/>
      </c>
      <c r="N123" s="2" t="str">
        <f t="shared" si="22"/>
        <v/>
      </c>
      <c r="P123" s="168" t="str">
        <f t="shared" si="23"/>
        <v/>
      </c>
      <c r="AT123" s="1"/>
      <c r="AU123" s="11"/>
      <c r="AV123" s="11"/>
      <c r="AZ123" s="14"/>
      <c r="BA123" s="11"/>
    </row>
    <row r="124" spans="1:58" ht="14.25" x14ac:dyDescent="0.2">
      <c r="A124" t="str">
        <f t="shared" si="15"/>
        <v>A96</v>
      </c>
      <c r="B124" s="2" t="s">
        <v>657</v>
      </c>
      <c r="C124">
        <f t="shared" si="16"/>
        <v>66.099999999999994</v>
      </c>
      <c r="D124" t="str">
        <f t="shared" si="17"/>
        <v>SS</v>
      </c>
      <c r="E124" s="169" t="str">
        <f>IF(OR(A124="",B124="",C124=""),"eine der Spalten BAB, FR, km leer?",CONCATENATE(VLOOKUP(VALUE(I124),[1]Grundlage!$A$1:$B$14,2,0),IF(LEFT(A124,1)="A",IF(VALUE(MID(A124,2,10))&lt;10,"A00"&amp;VALUE(MID(A124,2,10)),IF(VALUE(MID(A124,2,10))&lt;100,"A0"&amp;VALUE(MID(A124,2,10)),IF(VALUE(MID(A124,2,10))&lt;1000,"A"&amp;VALUE(MID(A124,2,10))))),IF(LEFT(A124,1)="B",IF(VALUE(MID(A124,2,10))&lt;10,"B00"&amp;VALUE(MID(A124,2,10)),IF(VALUE(MID(A124,2,10))&lt;100,"B0"&amp;VALUE(MID(A124,2,10)),IF(VALUE(MID(A124,2,10))&lt;1000,"B"&amp;VALUE(MID(A124,2,10))))),A124)),"_",IF(NOT(OR(C124=1000,C124&gt;1000)),MID(TEXT((C124+1000)*1000,0),2,6),"keine Meter in Spalte km!!!"),IF(VALUE(I124)=1,CONCATENATE("_",VLOOKUP(IF(V124&gt;0,V124,J124),[1]Grundlage!$A$20:$B$181,2,0)),CONCATENATE("_",B124))))</f>
        <v>SSt_A096_066100_W</v>
      </c>
      <c r="F124" s="2" t="s">
        <v>88</v>
      </c>
      <c r="G124" s="167">
        <f t="shared" si="24"/>
        <v>37566</v>
      </c>
      <c r="H124">
        <f t="shared" si="25"/>
        <v>162</v>
      </c>
      <c r="I124" s="2">
        <f t="shared" si="18"/>
        <v>254</v>
      </c>
      <c r="J124" s="2">
        <f t="shared" si="19"/>
        <v>0</v>
      </c>
      <c r="K124" s="2">
        <v>205</v>
      </c>
      <c r="L124" s="2">
        <f t="shared" si="20"/>
        <v>9</v>
      </c>
      <c r="M124" s="2" t="str">
        <f t="shared" si="21"/>
        <v/>
      </c>
      <c r="N124" s="2" t="str">
        <f t="shared" si="22"/>
        <v/>
      </c>
      <c r="P124" s="168" t="str">
        <f t="shared" si="23"/>
        <v/>
      </c>
      <c r="AI124" s="35">
        <v>66.099999999999994</v>
      </c>
      <c r="AJ124" s="36" t="s">
        <v>19</v>
      </c>
      <c r="AK124" s="36" t="s">
        <v>51</v>
      </c>
      <c r="AL124" s="36"/>
      <c r="AM124" s="36"/>
      <c r="AN124" s="36"/>
      <c r="AO124" s="36"/>
      <c r="AP124" s="36">
        <v>9617058</v>
      </c>
      <c r="AQ124" s="36">
        <v>92</v>
      </c>
      <c r="AR124" s="36" t="s">
        <v>223</v>
      </c>
      <c r="AS124" s="36" t="s">
        <v>202</v>
      </c>
      <c r="AT124" s="36"/>
      <c r="AU124" s="36"/>
      <c r="AV124" s="36"/>
      <c r="AW124" s="36"/>
      <c r="AX124" s="36">
        <v>9</v>
      </c>
      <c r="AY124" s="36"/>
      <c r="AZ124" s="36"/>
      <c r="BA124" s="36"/>
      <c r="BB124" s="37" t="s">
        <v>88</v>
      </c>
      <c r="BC124" s="38"/>
      <c r="BD124" s="99" t="s">
        <v>163</v>
      </c>
      <c r="BE124" s="39" t="s">
        <v>18</v>
      </c>
      <c r="BF124" s="2" t="s">
        <v>452</v>
      </c>
    </row>
    <row r="125" spans="1:58" ht="14.25" x14ac:dyDescent="0.2">
      <c r="A125" t="str">
        <f t="shared" si="15"/>
        <v>A96</v>
      </c>
      <c r="B125" s="2" t="s">
        <v>657</v>
      </c>
      <c r="C125">
        <f t="shared" si="16"/>
        <v>66.099999999999994</v>
      </c>
      <c r="D125" t="str">
        <f t="shared" si="17"/>
        <v>UFD</v>
      </c>
      <c r="E125" s="169" t="str">
        <f>IF(OR(A125="",B125="",C125=""),"eine der Spalten BAB, FR, km leer?",CONCATENATE(VLOOKUP(VALUE(I125),[1]Grundlage!$A$1:$B$14,2,0),IF(LEFT(A125,1)="A",IF(VALUE(MID(A125,2,10))&lt;10,"A00"&amp;VALUE(MID(A125,2,10)),IF(VALUE(MID(A125,2,10))&lt;100,"A0"&amp;VALUE(MID(A125,2,10)),IF(VALUE(MID(A125,2,10))&lt;1000,"A"&amp;VALUE(MID(A125,2,10))))),IF(LEFT(A125,1)="B",IF(VALUE(MID(A125,2,10))&lt;10,"B00"&amp;VALUE(MID(A125,2,10)),IF(VALUE(MID(A125,2,10))&lt;100,"B0"&amp;VALUE(MID(A125,2,10)),IF(VALUE(MID(A125,2,10))&lt;1000,"B"&amp;VALUE(MID(A125,2,10))))),A125)),"_",IF(NOT(OR(C125=1000,C125&gt;1000)),MID(TEXT((C125+1000)*1000,0),2,6),"keine Meter in Spalte km!!!"),IF(VALUE(I125)=1,CONCATENATE("_",VLOOKUP(IF(V125&gt;0,V125,J125),[1]Grundlage!$A$20:$B$181,2,0)),CONCATENATE("_",B125))))</f>
        <v>UQ_A096_066100_W</v>
      </c>
      <c r="F125" s="2" t="s">
        <v>269</v>
      </c>
      <c r="G125" s="167">
        <f t="shared" si="24"/>
        <v>37566</v>
      </c>
      <c r="H125">
        <f t="shared" si="25"/>
        <v>162</v>
      </c>
      <c r="I125" s="2">
        <f t="shared" si="18"/>
        <v>3</v>
      </c>
      <c r="J125" s="2">
        <f t="shared" si="19"/>
        <v>6</v>
      </c>
      <c r="K125" s="2">
        <v>205</v>
      </c>
      <c r="L125" s="2">
        <f t="shared" si="20"/>
        <v>9</v>
      </c>
      <c r="M125" s="2">
        <f t="shared" si="21"/>
        <v>1</v>
      </c>
      <c r="N125" s="2">
        <f t="shared" si="22"/>
        <v>1</v>
      </c>
      <c r="P125" s="168">
        <f t="shared" si="23"/>
        <v>71</v>
      </c>
      <c r="AT125" s="19">
        <v>3</v>
      </c>
      <c r="AU125" s="14">
        <v>6</v>
      </c>
      <c r="AV125" s="27">
        <v>6</v>
      </c>
      <c r="AW125" s="19"/>
      <c r="AX125" s="19"/>
      <c r="AY125" s="19">
        <v>1</v>
      </c>
      <c r="AZ125" s="14">
        <v>1</v>
      </c>
      <c r="BA125" s="27">
        <v>1</v>
      </c>
      <c r="BB125" s="13" t="s">
        <v>269</v>
      </c>
      <c r="BF125" s="2" t="s">
        <v>440</v>
      </c>
    </row>
    <row r="126" spans="1:58" ht="14.25" x14ac:dyDescent="0.2">
      <c r="A126" t="str">
        <f t="shared" si="15"/>
        <v>A96</v>
      </c>
      <c r="B126" s="2" t="s">
        <v>657</v>
      </c>
      <c r="C126">
        <f t="shared" si="16"/>
        <v>66.099999999999994</v>
      </c>
      <c r="D126" t="str">
        <f t="shared" si="17"/>
        <v>UFD</v>
      </c>
      <c r="E126" s="169" t="str">
        <f>IF(OR(A126="",B126="",C126=""),"eine der Spalten BAB, FR, km leer?",CONCATENATE(VLOOKUP(VALUE(I126),[1]Grundlage!$A$1:$B$14,2,0),IF(LEFT(A126,1)="A",IF(VALUE(MID(A126,2,10))&lt;10,"A00"&amp;VALUE(MID(A126,2,10)),IF(VALUE(MID(A126,2,10))&lt;100,"A0"&amp;VALUE(MID(A126,2,10)),IF(VALUE(MID(A126,2,10))&lt;1000,"A"&amp;VALUE(MID(A126,2,10))))),IF(LEFT(A126,1)="B",IF(VALUE(MID(A126,2,10))&lt;10,"B00"&amp;VALUE(MID(A126,2,10)),IF(VALUE(MID(A126,2,10))&lt;100,"B0"&amp;VALUE(MID(A126,2,10)),IF(VALUE(MID(A126,2,10))&lt;1000,"B"&amp;VALUE(MID(A126,2,10))))),A126)),"_",IF(NOT(OR(C126=1000,C126&gt;1000)),MID(TEXT((C126+1000)*1000,0),2,6),"keine Meter in Spalte km!!!"),IF(VALUE(I126)=1,CONCATENATE("_",VLOOKUP(IF(V126&gt;0,V126,J126),[1]Grundlage!$A$20:$B$181,2,0)),CONCATENATE("_",B126))))</f>
        <v>UQ_A096_066100_W</v>
      </c>
      <c r="F126" s="2" t="s">
        <v>270</v>
      </c>
      <c r="G126" s="167">
        <f t="shared" si="24"/>
        <v>37566</v>
      </c>
      <c r="H126">
        <f t="shared" si="25"/>
        <v>162</v>
      </c>
      <c r="I126" s="2">
        <f t="shared" si="18"/>
        <v>3</v>
      </c>
      <c r="J126" s="2">
        <f t="shared" si="19"/>
        <v>11</v>
      </c>
      <c r="K126" s="2">
        <v>205</v>
      </c>
      <c r="L126" s="2">
        <f t="shared" si="20"/>
        <v>9</v>
      </c>
      <c r="M126" s="2">
        <f t="shared" si="21"/>
        <v>1</v>
      </c>
      <c r="N126" s="2">
        <f t="shared" si="22"/>
        <v>2</v>
      </c>
      <c r="P126" s="168">
        <f t="shared" si="23"/>
        <v>70</v>
      </c>
      <c r="AT126" s="19">
        <v>3</v>
      </c>
      <c r="AU126" s="14">
        <v>11</v>
      </c>
      <c r="AV126" s="14" t="s">
        <v>78</v>
      </c>
      <c r="AW126" s="13"/>
      <c r="AX126" s="13"/>
      <c r="AY126" s="19">
        <v>1</v>
      </c>
      <c r="AZ126" s="14">
        <v>2</v>
      </c>
      <c r="BA126" s="14">
        <v>2</v>
      </c>
      <c r="BB126" s="13" t="s">
        <v>270</v>
      </c>
      <c r="BF126" s="2" t="s">
        <v>520</v>
      </c>
    </row>
    <row r="127" spans="1:58" ht="14.25" x14ac:dyDescent="0.2">
      <c r="A127" t="str">
        <f t="shared" si="15"/>
        <v>A96</v>
      </c>
      <c r="B127" s="2" t="s">
        <v>657</v>
      </c>
      <c r="C127">
        <f t="shared" si="16"/>
        <v>66.099999999999994</v>
      </c>
      <c r="D127" t="str">
        <f t="shared" si="17"/>
        <v>UFD</v>
      </c>
      <c r="E127" s="169" t="str">
        <f>IF(OR(A127="",B127="",C127=""),"eine der Spalten BAB, FR, km leer?",CONCATENATE(VLOOKUP(VALUE(I127),[1]Grundlage!$A$1:$B$14,2,0),IF(LEFT(A127,1)="A",IF(VALUE(MID(A127,2,10))&lt;10,"A00"&amp;VALUE(MID(A127,2,10)),IF(VALUE(MID(A127,2,10))&lt;100,"A0"&amp;VALUE(MID(A127,2,10)),IF(VALUE(MID(A127,2,10))&lt;1000,"A"&amp;VALUE(MID(A127,2,10))))),IF(LEFT(A127,1)="B",IF(VALUE(MID(A127,2,10))&lt;10,"B00"&amp;VALUE(MID(A127,2,10)),IF(VALUE(MID(A127,2,10))&lt;100,"B0"&amp;VALUE(MID(A127,2,10)),IF(VALUE(MID(A127,2,10))&lt;1000,"B"&amp;VALUE(MID(A127,2,10))))),A127)),"_",IF(NOT(OR(C127=1000,C127&gt;1000)),MID(TEXT((C127+1000)*1000,0),2,6),"keine Meter in Spalte km!!!"),IF(VALUE(I127)=1,CONCATENATE("_",VLOOKUP(IF(V127&gt;0,V127,J127),[1]Grundlage!$A$20:$B$181,2,0)),CONCATENATE("_",B127))))</f>
        <v>UQ_A096_066100_W</v>
      </c>
      <c r="F127" s="2" t="s">
        <v>25</v>
      </c>
      <c r="G127" s="167">
        <f t="shared" si="24"/>
        <v>37566</v>
      </c>
      <c r="H127">
        <f t="shared" si="25"/>
        <v>162</v>
      </c>
      <c r="I127" s="2">
        <f t="shared" si="18"/>
        <v>3</v>
      </c>
      <c r="J127" s="2">
        <f t="shared" si="19"/>
        <v>12</v>
      </c>
      <c r="K127" s="2">
        <v>205</v>
      </c>
      <c r="L127" s="2">
        <f t="shared" si="20"/>
        <v>9</v>
      </c>
      <c r="M127" s="2">
        <f t="shared" si="21"/>
        <v>1</v>
      </c>
      <c r="N127" s="2">
        <f t="shared" si="22"/>
        <v>3</v>
      </c>
      <c r="P127" s="168">
        <f t="shared" si="23"/>
        <v>48</v>
      </c>
      <c r="AT127" s="19">
        <v>3</v>
      </c>
      <c r="AU127" s="14">
        <v>12</v>
      </c>
      <c r="AV127" s="14" t="s">
        <v>79</v>
      </c>
      <c r="AW127" s="13"/>
      <c r="AX127" s="13"/>
      <c r="AY127" s="19">
        <v>1</v>
      </c>
      <c r="AZ127" s="14">
        <v>3</v>
      </c>
      <c r="BA127" s="14">
        <v>3</v>
      </c>
      <c r="BB127" s="13" t="s">
        <v>25</v>
      </c>
      <c r="BF127" s="13" t="s">
        <v>441</v>
      </c>
    </row>
    <row r="128" spans="1:58" ht="14.25" x14ac:dyDescent="0.2">
      <c r="A128" t="str">
        <f t="shared" si="15"/>
        <v>A96</v>
      </c>
      <c r="B128" s="2" t="s">
        <v>657</v>
      </c>
      <c r="C128">
        <f t="shared" si="16"/>
        <v>66.099999999999994</v>
      </c>
      <c r="D128" t="str">
        <f t="shared" si="17"/>
        <v>UFD</v>
      </c>
      <c r="E128" s="169" t="str">
        <f>IF(OR(A128="",B128="",C128=""),"eine der Spalten BAB, FR, km leer?",CONCATENATE(VLOOKUP(VALUE(I128),[1]Grundlage!$A$1:$B$14,2,0),IF(LEFT(A128,1)="A",IF(VALUE(MID(A128,2,10))&lt;10,"A00"&amp;VALUE(MID(A128,2,10)),IF(VALUE(MID(A128,2,10))&lt;100,"A0"&amp;VALUE(MID(A128,2,10)),IF(VALUE(MID(A128,2,10))&lt;1000,"A"&amp;VALUE(MID(A128,2,10))))),IF(LEFT(A128,1)="B",IF(VALUE(MID(A128,2,10))&lt;10,"B00"&amp;VALUE(MID(A128,2,10)),IF(VALUE(MID(A128,2,10))&lt;100,"B0"&amp;VALUE(MID(A128,2,10)),IF(VALUE(MID(A128,2,10))&lt;1000,"B"&amp;VALUE(MID(A128,2,10))))),A128)),"_",IF(NOT(OR(C128=1000,C128&gt;1000)),MID(TEXT((C128+1000)*1000,0),2,6),"keine Meter in Spalte km!!!"),IF(VALUE(I128)=1,CONCATENATE("_",VLOOKUP(IF(V128&gt;0,V128,J128),[1]Grundlage!$A$20:$B$181,2,0)),CONCATENATE("_",B128))))</f>
        <v>UQ_A096_066100_W</v>
      </c>
      <c r="F128" s="2" t="s">
        <v>26</v>
      </c>
      <c r="G128" s="167">
        <f t="shared" si="24"/>
        <v>37566</v>
      </c>
      <c r="H128">
        <f t="shared" si="25"/>
        <v>162</v>
      </c>
      <c r="I128" s="2">
        <f t="shared" si="18"/>
        <v>3</v>
      </c>
      <c r="J128" s="2">
        <f t="shared" si="19"/>
        <v>13</v>
      </c>
      <c r="K128" s="2">
        <v>205</v>
      </c>
      <c r="L128" s="2">
        <f t="shared" si="20"/>
        <v>9</v>
      </c>
      <c r="M128" s="2">
        <f t="shared" si="21"/>
        <v>1</v>
      </c>
      <c r="N128" s="2">
        <f t="shared" si="22"/>
        <v>4</v>
      </c>
      <c r="P128" s="168">
        <f t="shared" si="23"/>
        <v>55</v>
      </c>
      <c r="AT128" s="19">
        <v>3</v>
      </c>
      <c r="AU128" s="14">
        <v>13</v>
      </c>
      <c r="AV128" s="14" t="s">
        <v>80</v>
      </c>
      <c r="AW128" s="13"/>
      <c r="AX128" s="13"/>
      <c r="AY128" s="19">
        <v>1</v>
      </c>
      <c r="AZ128" s="14">
        <v>4</v>
      </c>
      <c r="BA128" s="14">
        <v>4</v>
      </c>
      <c r="BB128" s="13" t="s">
        <v>26</v>
      </c>
      <c r="BF128" s="13" t="s">
        <v>442</v>
      </c>
    </row>
    <row r="129" spans="1:58" ht="14.25" x14ac:dyDescent="0.2">
      <c r="A129" t="str">
        <f t="shared" si="15"/>
        <v>A96</v>
      </c>
      <c r="B129" s="2" t="s">
        <v>657</v>
      </c>
      <c r="C129">
        <f t="shared" si="16"/>
        <v>66.099999999999994</v>
      </c>
      <c r="D129" t="str">
        <f t="shared" si="17"/>
        <v>UFD</v>
      </c>
      <c r="E129" s="169" t="str">
        <f>IF(OR(A129="",B129="",C129=""),"eine der Spalten BAB, FR, km leer?",CONCATENATE(VLOOKUP(VALUE(I129),[1]Grundlage!$A$1:$B$14,2,0),IF(LEFT(A129,1)="A",IF(VALUE(MID(A129,2,10))&lt;10,"A00"&amp;VALUE(MID(A129,2,10)),IF(VALUE(MID(A129,2,10))&lt;100,"A0"&amp;VALUE(MID(A129,2,10)),IF(VALUE(MID(A129,2,10))&lt;1000,"A"&amp;VALUE(MID(A129,2,10))))),IF(LEFT(A129,1)="B",IF(VALUE(MID(A129,2,10))&lt;10,"B00"&amp;VALUE(MID(A129,2,10)),IF(VALUE(MID(A129,2,10))&lt;100,"B0"&amp;VALUE(MID(A129,2,10)),IF(VALUE(MID(A129,2,10))&lt;1000,"B"&amp;VALUE(MID(A129,2,10))))),A129)),"_",IF(NOT(OR(C129=1000,C129&gt;1000)),MID(TEXT((C129+1000)*1000,0),2,6),"keine Meter in Spalte km!!!"),IF(VALUE(I129)=1,CONCATENATE("_",VLOOKUP(IF(V129&gt;0,V129,J129),[1]Grundlage!$A$20:$B$181,2,0)),CONCATENATE("_",B129))))</f>
        <v>UQ_A096_066100_W</v>
      </c>
      <c r="F129" s="2" t="s">
        <v>27</v>
      </c>
      <c r="G129" s="167">
        <f t="shared" si="24"/>
        <v>37566</v>
      </c>
      <c r="H129">
        <f t="shared" si="25"/>
        <v>162</v>
      </c>
      <c r="I129" s="2">
        <f t="shared" si="18"/>
        <v>3</v>
      </c>
      <c r="J129" s="2">
        <f t="shared" si="19"/>
        <v>14</v>
      </c>
      <c r="K129" s="2">
        <v>205</v>
      </c>
      <c r="L129" s="2">
        <f t="shared" si="20"/>
        <v>9</v>
      </c>
      <c r="M129" s="2">
        <f t="shared" si="21"/>
        <v>1</v>
      </c>
      <c r="N129" s="2">
        <f t="shared" si="22"/>
        <v>5</v>
      </c>
      <c r="P129" s="168">
        <f t="shared" si="23"/>
        <v>66</v>
      </c>
      <c r="AT129" s="19">
        <v>3</v>
      </c>
      <c r="AU129" s="14">
        <v>14</v>
      </c>
      <c r="AV129" s="14" t="s">
        <v>81</v>
      </c>
      <c r="AW129" s="13"/>
      <c r="AX129" s="13"/>
      <c r="AY129" s="19">
        <v>1</v>
      </c>
      <c r="AZ129" s="14">
        <v>5</v>
      </c>
      <c r="BA129" s="14">
        <v>5</v>
      </c>
      <c r="BB129" s="13" t="s">
        <v>27</v>
      </c>
      <c r="BF129" s="13" t="s">
        <v>443</v>
      </c>
    </row>
    <row r="130" spans="1:58" ht="14.25" x14ac:dyDescent="0.2">
      <c r="A130" t="str">
        <f t="shared" si="15"/>
        <v>A96</v>
      </c>
      <c r="B130" s="2" t="s">
        <v>657</v>
      </c>
      <c r="C130">
        <f t="shared" si="16"/>
        <v>66.099999999999994</v>
      </c>
      <c r="D130" t="str">
        <f t="shared" si="17"/>
        <v>UFD</v>
      </c>
      <c r="E130" s="169" t="str">
        <f>IF(OR(A130="",B130="",C130=""),"eine der Spalten BAB, FR, km leer?",CONCATENATE(VLOOKUP(VALUE(I130),[1]Grundlage!$A$1:$B$14,2,0),IF(LEFT(A130,1)="A",IF(VALUE(MID(A130,2,10))&lt;10,"A00"&amp;VALUE(MID(A130,2,10)),IF(VALUE(MID(A130,2,10))&lt;100,"A0"&amp;VALUE(MID(A130,2,10)),IF(VALUE(MID(A130,2,10))&lt;1000,"A"&amp;VALUE(MID(A130,2,10))))),IF(LEFT(A130,1)="B",IF(VALUE(MID(A130,2,10))&lt;10,"B00"&amp;VALUE(MID(A130,2,10)),IF(VALUE(MID(A130,2,10))&lt;100,"B0"&amp;VALUE(MID(A130,2,10)),IF(VALUE(MID(A130,2,10))&lt;1000,"B"&amp;VALUE(MID(A130,2,10))))),A130)),"_",IF(NOT(OR(C130=1000,C130&gt;1000)),MID(TEXT((C130+1000)*1000,0),2,6),"keine Meter in Spalte km!!!"),IF(VALUE(I130)=1,CONCATENATE("_",VLOOKUP(IF(V130&gt;0,V130,J130),[1]Grundlage!$A$20:$B$181,2,0)),CONCATENATE("_",B130))))</f>
        <v>UQ_A096_066100_W</v>
      </c>
      <c r="F130" s="2" t="s">
        <v>28</v>
      </c>
      <c r="G130" s="167">
        <f t="shared" si="24"/>
        <v>37566</v>
      </c>
      <c r="H130">
        <f t="shared" si="25"/>
        <v>162</v>
      </c>
      <c r="I130" s="2">
        <f t="shared" si="18"/>
        <v>3</v>
      </c>
      <c r="J130" s="2">
        <f t="shared" si="19"/>
        <v>15</v>
      </c>
      <c r="K130" s="2">
        <v>205</v>
      </c>
      <c r="L130" s="2">
        <f t="shared" si="20"/>
        <v>9</v>
      </c>
      <c r="M130" s="2">
        <f t="shared" si="21"/>
        <v>1</v>
      </c>
      <c r="N130" s="2">
        <f t="shared" si="22"/>
        <v>6</v>
      </c>
      <c r="P130" s="168">
        <f t="shared" si="23"/>
        <v>65</v>
      </c>
      <c r="AT130" s="19">
        <v>3</v>
      </c>
      <c r="AU130" s="14">
        <v>15</v>
      </c>
      <c r="AV130" s="14" t="s">
        <v>82</v>
      </c>
      <c r="AW130" s="13"/>
      <c r="AX130" s="13"/>
      <c r="AY130" s="19">
        <v>1</v>
      </c>
      <c r="AZ130" s="14">
        <v>6</v>
      </c>
      <c r="BA130" s="14">
        <v>6</v>
      </c>
      <c r="BB130" s="13" t="s">
        <v>28</v>
      </c>
      <c r="BF130" s="13" t="s">
        <v>516</v>
      </c>
    </row>
    <row r="131" spans="1:58" ht="14.25" x14ac:dyDescent="0.2">
      <c r="A131" t="str">
        <f t="shared" si="15"/>
        <v>A96</v>
      </c>
      <c r="B131" s="2" t="s">
        <v>657</v>
      </c>
      <c r="C131">
        <f t="shared" si="16"/>
        <v>66.099999999999994</v>
      </c>
      <c r="D131" t="str">
        <f t="shared" si="17"/>
        <v>UFD</v>
      </c>
      <c r="E131" s="169" t="str">
        <f>IF(OR(A131="",B131="",C131=""),"eine der Spalten BAB, FR, km leer?",CONCATENATE(VLOOKUP(VALUE(I131),[1]Grundlage!$A$1:$B$14,2,0),IF(LEFT(A131,1)="A",IF(VALUE(MID(A131,2,10))&lt;10,"A00"&amp;VALUE(MID(A131,2,10)),IF(VALUE(MID(A131,2,10))&lt;100,"A0"&amp;VALUE(MID(A131,2,10)),IF(VALUE(MID(A131,2,10))&lt;1000,"A"&amp;VALUE(MID(A131,2,10))))),IF(LEFT(A131,1)="B",IF(VALUE(MID(A131,2,10))&lt;10,"B00"&amp;VALUE(MID(A131,2,10)),IF(VALUE(MID(A131,2,10))&lt;100,"B0"&amp;VALUE(MID(A131,2,10)),IF(VALUE(MID(A131,2,10))&lt;1000,"B"&amp;VALUE(MID(A131,2,10))))),A131)),"_",IF(NOT(OR(C131=1000,C131&gt;1000)),MID(TEXT((C131+1000)*1000,0),2,6),"keine Meter in Spalte km!!!"),IF(VALUE(I131)=1,CONCATENATE("_",VLOOKUP(IF(V131&gt;0,V131,J131),[1]Grundlage!$A$20:$B$181,2,0)),CONCATENATE("_",B131))))</f>
        <v>UQ_A096_066100_W</v>
      </c>
      <c r="F131" s="2" t="s">
        <v>29</v>
      </c>
      <c r="G131" s="167">
        <f t="shared" si="24"/>
        <v>37566</v>
      </c>
      <c r="H131">
        <f t="shared" si="25"/>
        <v>162</v>
      </c>
      <c r="I131" s="2">
        <f t="shared" si="18"/>
        <v>3</v>
      </c>
      <c r="J131" s="2">
        <f t="shared" si="19"/>
        <v>19</v>
      </c>
      <c r="K131" s="2">
        <v>205</v>
      </c>
      <c r="L131" s="2">
        <f t="shared" si="20"/>
        <v>9</v>
      </c>
      <c r="M131" s="2">
        <f t="shared" si="21"/>
        <v>1</v>
      </c>
      <c r="N131" s="2">
        <f t="shared" si="22"/>
        <v>7</v>
      </c>
      <c r="P131" s="168">
        <f t="shared" si="23"/>
        <v>49</v>
      </c>
      <c r="AT131" s="19">
        <v>3</v>
      </c>
      <c r="AU131" s="14">
        <v>19</v>
      </c>
      <c r="AV131" s="14">
        <v>13</v>
      </c>
      <c r="AW131" s="13"/>
      <c r="AX131" s="13"/>
      <c r="AY131" s="19">
        <v>1</v>
      </c>
      <c r="AZ131" s="14">
        <v>7</v>
      </c>
      <c r="BA131" s="14">
        <v>7</v>
      </c>
      <c r="BB131" s="13" t="s">
        <v>29</v>
      </c>
      <c r="BF131" s="13" t="s">
        <v>517</v>
      </c>
    </row>
    <row r="132" spans="1:58" ht="14.25" x14ac:dyDescent="0.2">
      <c r="A132" t="str">
        <f t="shared" si="15"/>
        <v>A96</v>
      </c>
      <c r="B132" s="2" t="s">
        <v>657</v>
      </c>
      <c r="C132">
        <f t="shared" si="16"/>
        <v>66.099999999999994</v>
      </c>
      <c r="D132" t="str">
        <f t="shared" si="17"/>
        <v>UFD</v>
      </c>
      <c r="E132" s="169" t="str">
        <f>IF(OR(A132="",B132="",C132=""),"eine der Spalten BAB, FR, km leer?",CONCATENATE(VLOOKUP(VALUE(I132),[1]Grundlage!$A$1:$B$14,2,0),IF(LEFT(A132,1)="A",IF(VALUE(MID(A132,2,10))&lt;10,"A00"&amp;VALUE(MID(A132,2,10)),IF(VALUE(MID(A132,2,10))&lt;100,"A0"&amp;VALUE(MID(A132,2,10)),IF(VALUE(MID(A132,2,10))&lt;1000,"A"&amp;VALUE(MID(A132,2,10))))),IF(LEFT(A132,1)="B",IF(VALUE(MID(A132,2,10))&lt;10,"B00"&amp;VALUE(MID(A132,2,10)),IF(VALUE(MID(A132,2,10))&lt;100,"B0"&amp;VALUE(MID(A132,2,10)),IF(VALUE(MID(A132,2,10))&lt;1000,"B"&amp;VALUE(MID(A132,2,10))))),A132)),"_",IF(NOT(OR(C132=1000,C132&gt;1000)),MID(TEXT((C132+1000)*1000,0),2,6),"keine Meter in Spalte km!!!"),IF(VALUE(I132)=1,CONCATENATE("_",VLOOKUP(IF(V132&gt;0,V132,J132),[1]Grundlage!$A$20:$B$181,2,0)),CONCATENATE("_",B132))))</f>
        <v>UQ_A096_066100_W</v>
      </c>
      <c r="F132" s="2" t="s">
        <v>30</v>
      </c>
      <c r="G132" s="167">
        <f t="shared" si="24"/>
        <v>37566</v>
      </c>
      <c r="H132">
        <f t="shared" si="25"/>
        <v>162</v>
      </c>
      <c r="I132" s="2">
        <f t="shared" si="18"/>
        <v>3</v>
      </c>
      <c r="J132" s="2">
        <f t="shared" si="19"/>
        <v>21</v>
      </c>
      <c r="K132" s="2">
        <v>205</v>
      </c>
      <c r="L132" s="2">
        <f t="shared" si="20"/>
        <v>9</v>
      </c>
      <c r="M132" s="2">
        <f t="shared" si="21"/>
        <v>1</v>
      </c>
      <c r="N132" s="2">
        <f t="shared" si="22"/>
        <v>8</v>
      </c>
      <c r="P132" s="168">
        <f t="shared" si="23"/>
        <v>67</v>
      </c>
      <c r="AT132" s="19">
        <v>3</v>
      </c>
      <c r="AU132" s="14">
        <v>21</v>
      </c>
      <c r="AV132" s="14">
        <v>15</v>
      </c>
      <c r="AW132" s="13"/>
      <c r="AX132" s="13"/>
      <c r="AY132" s="19">
        <v>1</v>
      </c>
      <c r="AZ132" s="14">
        <v>8</v>
      </c>
      <c r="BA132" s="14">
        <v>8</v>
      </c>
      <c r="BB132" s="13" t="s">
        <v>30</v>
      </c>
      <c r="BF132" s="13" t="s">
        <v>518</v>
      </c>
    </row>
    <row r="133" spans="1:58" ht="14.25" x14ac:dyDescent="0.2">
      <c r="A133" t="str">
        <f t="shared" si="15"/>
        <v>A96</v>
      </c>
      <c r="B133" s="2" t="s">
        <v>657</v>
      </c>
      <c r="C133">
        <f t="shared" si="16"/>
        <v>66.099999999999994</v>
      </c>
      <c r="D133" t="str">
        <f t="shared" si="17"/>
        <v>UFD</v>
      </c>
      <c r="E133" s="169" t="str">
        <f>IF(OR(A133="",B133="",C133=""),"eine der Spalten BAB, FR, km leer?",CONCATENATE(VLOOKUP(VALUE(I133),[1]Grundlage!$A$1:$B$14,2,0),IF(LEFT(A133,1)="A",IF(VALUE(MID(A133,2,10))&lt;10,"A00"&amp;VALUE(MID(A133,2,10)),IF(VALUE(MID(A133,2,10))&lt;100,"A0"&amp;VALUE(MID(A133,2,10)),IF(VALUE(MID(A133,2,10))&lt;1000,"A"&amp;VALUE(MID(A133,2,10))))),IF(LEFT(A133,1)="B",IF(VALUE(MID(A133,2,10))&lt;10,"B00"&amp;VALUE(MID(A133,2,10)),IF(VALUE(MID(A133,2,10))&lt;100,"B0"&amp;VALUE(MID(A133,2,10)),IF(VALUE(MID(A133,2,10))&lt;1000,"B"&amp;VALUE(MID(A133,2,10))))),A133)),"_",IF(NOT(OR(C133=1000,C133&gt;1000)),MID(TEXT((C133+1000)*1000,0),2,6),"keine Meter in Spalte km!!!"),IF(VALUE(I133)=1,CONCATENATE("_",VLOOKUP(IF(V133&gt;0,V133,J133),[1]Grundlage!$A$20:$B$181,2,0)),CONCATENATE("_",B133))))</f>
        <v>UQ_A096_066100_W</v>
      </c>
      <c r="F133" s="2" t="s">
        <v>271</v>
      </c>
      <c r="G133" s="167">
        <f t="shared" si="24"/>
        <v>37566</v>
      </c>
      <c r="H133">
        <f t="shared" si="25"/>
        <v>162</v>
      </c>
      <c r="I133" s="2">
        <f t="shared" si="18"/>
        <v>3</v>
      </c>
      <c r="J133" s="2">
        <f t="shared" si="19"/>
        <v>67</v>
      </c>
      <c r="K133" s="2">
        <v>205</v>
      </c>
      <c r="L133" s="2">
        <f t="shared" si="20"/>
        <v>9</v>
      </c>
      <c r="M133" s="2">
        <f t="shared" si="21"/>
        <v>1</v>
      </c>
      <c r="N133" s="2">
        <f t="shared" si="22"/>
        <v>9</v>
      </c>
      <c r="P133" s="168">
        <f t="shared" si="23"/>
        <v>53</v>
      </c>
      <c r="AT133" s="19">
        <v>3</v>
      </c>
      <c r="AU133" s="14">
        <v>67</v>
      </c>
      <c r="AV133" s="14">
        <v>43</v>
      </c>
      <c r="AW133" s="13"/>
      <c r="AX133" s="13"/>
      <c r="AY133" s="19">
        <v>1</v>
      </c>
      <c r="AZ133" s="14">
        <v>9</v>
      </c>
      <c r="BA133" s="34">
        <v>9</v>
      </c>
      <c r="BB133" s="13" t="s">
        <v>271</v>
      </c>
      <c r="BF133" s="13" t="s">
        <v>444</v>
      </c>
    </row>
    <row r="134" spans="1:58" ht="14.25" x14ac:dyDescent="0.2">
      <c r="A134" t="str">
        <f t="shared" si="15"/>
        <v>A96</v>
      </c>
      <c r="B134" s="2" t="s">
        <v>657</v>
      </c>
      <c r="C134">
        <f t="shared" si="16"/>
        <v>66.099999999999994</v>
      </c>
      <c r="D134" t="str">
        <f t="shared" si="17"/>
        <v>UFD</v>
      </c>
      <c r="E134" s="169" t="str">
        <f>IF(OR(A134="",B134="",C134=""),"eine der Spalten BAB, FR, km leer?",CONCATENATE(VLOOKUP(VALUE(I134),[1]Grundlage!$A$1:$B$14,2,0),IF(LEFT(A134,1)="A",IF(VALUE(MID(A134,2,10))&lt;10,"A00"&amp;VALUE(MID(A134,2,10)),IF(VALUE(MID(A134,2,10))&lt;100,"A0"&amp;VALUE(MID(A134,2,10)),IF(VALUE(MID(A134,2,10))&lt;1000,"A"&amp;VALUE(MID(A134,2,10))))),IF(LEFT(A134,1)="B",IF(VALUE(MID(A134,2,10))&lt;10,"B00"&amp;VALUE(MID(A134,2,10)),IF(VALUE(MID(A134,2,10))&lt;100,"B0"&amp;VALUE(MID(A134,2,10)),IF(VALUE(MID(A134,2,10))&lt;1000,"B"&amp;VALUE(MID(A134,2,10))))),A134)),"_",IF(NOT(OR(C134=1000,C134&gt;1000)),MID(TEXT((C134+1000)*1000,0),2,6),"keine Meter in Spalte km!!!"),IF(VALUE(I134)=1,CONCATENATE("_",VLOOKUP(IF(V134&gt;0,V134,J134),[1]Grundlage!$A$20:$B$181,2,0)),CONCATENATE("_",B134))))</f>
        <v>UQ_A096_066100_W</v>
      </c>
      <c r="F134" s="2" t="s">
        <v>272</v>
      </c>
      <c r="G134" s="167">
        <f t="shared" si="24"/>
        <v>37566</v>
      </c>
      <c r="H134">
        <f t="shared" si="25"/>
        <v>162</v>
      </c>
      <c r="I134" s="2">
        <f t="shared" si="18"/>
        <v>3</v>
      </c>
      <c r="J134" s="2">
        <f t="shared" si="19"/>
        <v>82</v>
      </c>
      <c r="K134" s="2">
        <v>205</v>
      </c>
      <c r="L134" s="2">
        <f t="shared" si="20"/>
        <v>9</v>
      </c>
      <c r="M134" s="2">
        <f t="shared" si="21"/>
        <v>1</v>
      </c>
      <c r="N134" s="2">
        <f t="shared" si="22"/>
        <v>10</v>
      </c>
      <c r="P134" s="168">
        <f t="shared" si="23"/>
        <v>72</v>
      </c>
      <c r="AT134" s="19">
        <v>3</v>
      </c>
      <c r="AU134" s="14">
        <v>82</v>
      </c>
      <c r="AV134" s="14">
        <v>52</v>
      </c>
      <c r="AW134" s="13"/>
      <c r="AX134" s="13"/>
      <c r="AY134" s="19">
        <v>1</v>
      </c>
      <c r="AZ134" s="14">
        <v>10</v>
      </c>
      <c r="BA134" s="34" t="s">
        <v>95</v>
      </c>
      <c r="BB134" s="13" t="s">
        <v>272</v>
      </c>
      <c r="BF134" s="13" t="s">
        <v>519</v>
      </c>
    </row>
    <row r="135" spans="1:58" ht="14.25" x14ac:dyDescent="0.2">
      <c r="A135" t="str">
        <f t="shared" si="15"/>
        <v>A96</v>
      </c>
      <c r="C135">
        <f t="shared" si="16"/>
        <v>66.099999999999994</v>
      </c>
      <c r="D135" t="str">
        <f t="shared" si="17"/>
        <v/>
      </c>
      <c r="E135" s="169" t="str">
        <f>IF(OR(A135="",B135="",C135=""),"",CONCATENATE(VLOOKUP(VALUE(I135),[1]Grundlage!$A$1:$B$14,2,0),IF(LEFT(A135,1)="A",IF(VALUE(MID(A135,2,10))&lt;10,"A00"&amp;VALUE(MID(A135,2,10)),IF(VALUE(MID(A135,2,10))&lt;100,"A0"&amp;VALUE(MID(A135,2,10)),IF(VALUE(MID(A135,2,10))&lt;1000,"A"&amp;VALUE(MID(A135,2,10))))),IF(LEFT(A135,1)="B",IF(VALUE(MID(A135,2,10))&lt;10,"B00"&amp;VALUE(MID(A135,2,10)),IF(VALUE(MID(A135,2,10))&lt;100,"B0"&amp;VALUE(MID(A135,2,10)),IF(VALUE(MID(A135,2,10))&lt;1000,"B"&amp;VALUE(MID(A135,2,10))))),A135)),"_",IF(NOT(OR(C135=1000,C135&gt;1000)),MID(TEXT((C135+1000)*1000,0),2,6),"keine Meter in Spalte km!!!"),IF(VALUE(I135)=1,CONCATENATE("_",VLOOKUP(IF(V135&gt;0,V135,J135),[1]Grundlage!$A$20:$B$181,2,0)),CONCATENATE("_",B135))))</f>
        <v/>
      </c>
      <c r="F135" s="2" t="s">
        <v>669</v>
      </c>
      <c r="G135" s="167" t="e">
        <f>IF(ISBLANK(#REF!),G134,INT(#REF!/256))</f>
        <v>#REF!</v>
      </c>
      <c r="H135" t="e">
        <f>IF(ISBLANK(#REF!),H134,MOD(#REF!,256))</f>
        <v>#REF!</v>
      </c>
      <c r="I135" s="2" t="str">
        <f t="shared" si="18"/>
        <v>stand unter KNR 9607304</v>
      </c>
      <c r="J135" s="2">
        <f t="shared" si="19"/>
        <v>0</v>
      </c>
      <c r="K135" s="2">
        <v>205</v>
      </c>
      <c r="L135" s="2">
        <f t="shared" si="20"/>
        <v>9</v>
      </c>
      <c r="M135" s="2" t="str">
        <f t="shared" si="21"/>
        <v/>
      </c>
      <c r="N135" s="2" t="str">
        <f t="shared" si="22"/>
        <v/>
      </c>
      <c r="P135" s="168" t="str">
        <f t="shared" si="23"/>
        <v/>
      </c>
      <c r="AP135" s="29">
        <v>929888</v>
      </c>
      <c r="AQ135" s="29">
        <v>146</v>
      </c>
      <c r="AR135" s="29">
        <v>152</v>
      </c>
      <c r="AS135" s="29">
        <v>136</v>
      </c>
      <c r="AT135" s="19" t="s">
        <v>668</v>
      </c>
      <c r="AU135" s="14"/>
      <c r="AV135" s="14"/>
      <c r="AW135" s="13"/>
      <c r="AX135" s="13"/>
      <c r="AY135" s="13"/>
      <c r="AZ135" s="14"/>
      <c r="BA135" s="14"/>
      <c r="BB135" s="13"/>
    </row>
    <row r="136" spans="1:58" s="29" customFormat="1" ht="14.25" x14ac:dyDescent="0.2">
      <c r="A136" t="str">
        <f t="shared" si="15"/>
        <v>A96</v>
      </c>
      <c r="B136" s="13" t="s">
        <v>658</v>
      </c>
      <c r="C136">
        <f t="shared" si="16"/>
        <v>81.5</v>
      </c>
      <c r="D136" t="str">
        <f t="shared" si="17"/>
        <v>SS</v>
      </c>
      <c r="E136" s="169" t="str">
        <f>IF(OR(A136="",B136="",C136=""),"eine der Spalten BAB, FR, km leer?",CONCATENATE(VLOOKUP(VALUE(I136),[1]Grundlage!$A$1:$B$14,2,0),IF(LEFT(A136,1)="A",IF(VALUE(MID(A136,2,10))&lt;10,"A00"&amp;VALUE(MID(A136,2,10)),IF(VALUE(MID(A136,2,10))&lt;100,"A0"&amp;VALUE(MID(A136,2,10)),IF(VALUE(MID(A136,2,10))&lt;1000,"A"&amp;VALUE(MID(A136,2,10))))),IF(LEFT(A136,1)="B",IF(VALUE(MID(A136,2,10))&lt;10,"B00"&amp;VALUE(MID(A136,2,10)),IF(VALUE(MID(A136,2,10))&lt;100,"B0"&amp;VALUE(MID(A136,2,10)),IF(VALUE(MID(A136,2,10))&lt;1000,"B"&amp;VALUE(MID(A136,2,10))))),A136)),"_",IF(NOT(OR(C136=1000,C136&gt;1000)),MID(TEXT((C136+1000)*1000,0),2,6),"keine Meter in Spalte km!!!"),IF(VALUE(I136)=1,CONCATENATE("_",VLOOKUP(IF(V136&gt;0,V136,J136),[1]Grundlage!$A$20:$B$181,2,0)),CONCATENATE("_",B136))))</f>
        <v>SSt_A096_081500_O</v>
      </c>
      <c r="F136" s="2" t="s">
        <v>89</v>
      </c>
      <c r="G136" s="167">
        <f t="shared" si="24"/>
        <v>37528</v>
      </c>
      <c r="H136">
        <f t="shared" si="25"/>
        <v>136</v>
      </c>
      <c r="I136" s="2">
        <f t="shared" si="18"/>
        <v>254</v>
      </c>
      <c r="J136" s="2">
        <f t="shared" si="19"/>
        <v>0</v>
      </c>
      <c r="K136" s="2">
        <v>205</v>
      </c>
      <c r="L136" s="2">
        <f t="shared" si="20"/>
        <v>10</v>
      </c>
      <c r="M136" s="2" t="str">
        <f t="shared" si="21"/>
        <v/>
      </c>
      <c r="N136" s="2" t="str">
        <f t="shared" si="22"/>
        <v/>
      </c>
      <c r="O136" s="2"/>
      <c r="P136" s="168" t="str">
        <f t="shared" si="23"/>
        <v/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44">
        <v>81.5</v>
      </c>
      <c r="AJ136" s="45" t="s">
        <v>19</v>
      </c>
      <c r="AK136" s="45" t="s">
        <v>51</v>
      </c>
      <c r="AL136" s="45"/>
      <c r="AM136" s="45"/>
      <c r="AN136" s="45"/>
      <c r="AO136" s="45"/>
      <c r="AP136" s="45">
        <v>9607304</v>
      </c>
      <c r="AQ136" s="45">
        <v>92</v>
      </c>
      <c r="AR136" s="45">
        <v>98</v>
      </c>
      <c r="AS136" s="45">
        <v>88</v>
      </c>
      <c r="AT136" s="45"/>
      <c r="AU136" s="45"/>
      <c r="AV136" s="45"/>
      <c r="AW136" s="45"/>
      <c r="AX136" s="45">
        <v>10</v>
      </c>
      <c r="AY136" s="45"/>
      <c r="AZ136" s="45"/>
      <c r="BA136" s="45"/>
      <c r="BB136" s="37" t="s">
        <v>89</v>
      </c>
      <c r="BC136" s="45"/>
      <c r="BD136" s="99" t="s">
        <v>163</v>
      </c>
      <c r="BE136" s="46" t="s">
        <v>90</v>
      </c>
      <c r="BF136" s="29" t="s">
        <v>451</v>
      </c>
    </row>
    <row r="137" spans="1:58" s="29" customFormat="1" ht="14.25" x14ac:dyDescent="0.2">
      <c r="A137" t="str">
        <f t="shared" si="15"/>
        <v>A96</v>
      </c>
      <c r="B137" s="13" t="s">
        <v>658</v>
      </c>
      <c r="C137">
        <f t="shared" si="16"/>
        <v>81.5</v>
      </c>
      <c r="D137" t="str">
        <f t="shared" si="17"/>
        <v>UFD</v>
      </c>
      <c r="E137" s="169" t="str">
        <f>IF(OR(A137="",B137="",C137=""),"eine der Spalten BAB, FR, km leer?",CONCATENATE(VLOOKUP(VALUE(I137),[1]Grundlage!$A$1:$B$14,2,0),IF(LEFT(A137,1)="A",IF(VALUE(MID(A137,2,10))&lt;10,"A00"&amp;VALUE(MID(A137,2,10)),IF(VALUE(MID(A137,2,10))&lt;100,"A0"&amp;VALUE(MID(A137,2,10)),IF(VALUE(MID(A137,2,10))&lt;1000,"A"&amp;VALUE(MID(A137,2,10))))),IF(LEFT(A137,1)="B",IF(VALUE(MID(A137,2,10))&lt;10,"B00"&amp;VALUE(MID(A137,2,10)),IF(VALUE(MID(A137,2,10))&lt;100,"B0"&amp;VALUE(MID(A137,2,10)),IF(VALUE(MID(A137,2,10))&lt;1000,"B"&amp;VALUE(MID(A137,2,10))))),A137)),"_",IF(NOT(OR(C137=1000,C137&gt;1000)),MID(TEXT((C137+1000)*1000,0),2,6),"keine Meter in Spalte km!!!"),IF(VALUE(I137)=1,CONCATENATE("_",VLOOKUP(IF(V137&gt;0,V137,J137),[1]Grundlage!$A$20:$B$181,2,0)),CONCATENATE("_",B137))))</f>
        <v>UQ_A096_081500_O</v>
      </c>
      <c r="F137" s="2" t="s">
        <v>269</v>
      </c>
      <c r="G137" s="167">
        <f>IF(ISBLANK(AP137),G136,INT(AP137/256))</f>
        <v>37528</v>
      </c>
      <c r="H137">
        <f>IF(ISBLANK(AP136),H136,MOD(AP136,256))</f>
        <v>136</v>
      </c>
      <c r="I137" s="2">
        <f t="shared" si="18"/>
        <v>3</v>
      </c>
      <c r="J137" s="2">
        <f t="shared" si="19"/>
        <v>6</v>
      </c>
      <c r="K137" s="2">
        <v>205</v>
      </c>
      <c r="L137" s="2">
        <f t="shared" si="20"/>
        <v>10</v>
      </c>
      <c r="M137" s="2">
        <f t="shared" si="21"/>
        <v>1</v>
      </c>
      <c r="N137" s="2">
        <f t="shared" si="22"/>
        <v>1</v>
      </c>
      <c r="O137" s="2"/>
      <c r="P137" s="168">
        <f t="shared" si="23"/>
        <v>71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8"/>
      <c r="AT137" s="91">
        <v>3</v>
      </c>
      <c r="AU137" s="34">
        <v>6</v>
      </c>
      <c r="AV137" s="105">
        <v>6</v>
      </c>
      <c r="AW137" s="91"/>
      <c r="AX137" s="91"/>
      <c r="AY137" s="91">
        <v>1</v>
      </c>
      <c r="AZ137" s="34">
        <v>1</v>
      </c>
      <c r="BA137" s="104" t="s">
        <v>418</v>
      </c>
      <c r="BB137" s="101" t="s">
        <v>269</v>
      </c>
      <c r="BC137" s="30"/>
      <c r="BD137" s="30"/>
      <c r="BF137" s="2" t="s">
        <v>440</v>
      </c>
    </row>
    <row r="138" spans="1:58" s="29" customFormat="1" ht="14.25" x14ac:dyDescent="0.2">
      <c r="A138" t="str">
        <f t="shared" ref="A138:A199" si="26">IF(ISBLANK(AK138),A137,AK138)</f>
        <v>A96</v>
      </c>
      <c r="B138" s="13" t="s">
        <v>658</v>
      </c>
      <c r="C138">
        <f t="shared" ref="C138:C201" si="27">IF(ISBLANK(AI138),C137,AI138)</f>
        <v>81.5</v>
      </c>
      <c r="D138" t="str">
        <f t="shared" ref="D138:D201" si="28">IF(AJ138="SST","SS",IF(AND(AJ138="",ISTEXT(BB138)),"UFD",""))</f>
        <v>UFD</v>
      </c>
      <c r="E138" s="169" t="str">
        <f>IF(OR(A138="",B138="",C138=""),"eine der Spalten BAB, FR, km leer?",CONCATENATE(VLOOKUP(VALUE(I138),[1]Grundlage!$A$1:$B$14,2,0),IF(LEFT(A138,1)="A",IF(VALUE(MID(A138,2,10))&lt;10,"A00"&amp;VALUE(MID(A138,2,10)),IF(VALUE(MID(A138,2,10))&lt;100,"A0"&amp;VALUE(MID(A138,2,10)),IF(VALUE(MID(A138,2,10))&lt;1000,"A"&amp;VALUE(MID(A138,2,10))))),IF(LEFT(A138,1)="B",IF(VALUE(MID(A138,2,10))&lt;10,"B00"&amp;VALUE(MID(A138,2,10)),IF(VALUE(MID(A138,2,10))&lt;100,"B0"&amp;VALUE(MID(A138,2,10)),IF(VALUE(MID(A138,2,10))&lt;1000,"B"&amp;VALUE(MID(A138,2,10))))),A138)),"_",IF(NOT(OR(C138=1000,C138&gt;1000)),MID(TEXT((C138+1000)*1000,0),2,6),"keine Meter in Spalte km!!!"),IF(VALUE(I138)=1,CONCATENATE("_",VLOOKUP(IF(V138&gt;0,V138,J138),[1]Grundlage!$A$20:$B$181,2,0)),CONCATENATE("_",B138))))</f>
        <v>UQ_A096_081500_O</v>
      </c>
      <c r="F138" s="2" t="s">
        <v>270</v>
      </c>
      <c r="G138" s="167">
        <f t="shared" si="24"/>
        <v>37528</v>
      </c>
      <c r="H138">
        <f t="shared" si="25"/>
        <v>136</v>
      </c>
      <c r="I138" s="2">
        <f t="shared" ref="I138:I201" si="29">IF(D138="SS",254,AT138)</f>
        <v>3</v>
      </c>
      <c r="J138" s="2">
        <f t="shared" ref="J138:J201" si="30">IF(D138="SS",0,AU138)</f>
        <v>11</v>
      </c>
      <c r="K138" s="2">
        <v>205</v>
      </c>
      <c r="L138" s="2">
        <f t="shared" ref="L138:L201" si="31">IF(ISBLANK(AX138),L137,AX138)</f>
        <v>10</v>
      </c>
      <c r="M138" s="2">
        <f t="shared" ref="M138:M201" si="32">IF(ISBLANK(AY138),"",AY138)</f>
        <v>1</v>
      </c>
      <c r="N138" s="2">
        <f t="shared" ref="N138:N201" si="33">IF(ISBLANK(AZ138),"",AZ138)</f>
        <v>2</v>
      </c>
      <c r="O138" s="2"/>
      <c r="P138" s="168">
        <f t="shared" si="23"/>
        <v>70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8"/>
      <c r="AT138" s="91">
        <v>3</v>
      </c>
      <c r="AU138" s="34">
        <v>11</v>
      </c>
      <c r="AV138" s="34" t="s">
        <v>78</v>
      </c>
      <c r="AW138" s="101"/>
      <c r="AX138" s="101"/>
      <c r="AY138" s="91">
        <v>1</v>
      </c>
      <c r="AZ138" s="34">
        <v>2</v>
      </c>
      <c r="BA138" s="104" t="s">
        <v>405</v>
      </c>
      <c r="BB138" s="101" t="s">
        <v>270</v>
      </c>
      <c r="BC138" s="30"/>
      <c r="BD138" s="30"/>
      <c r="BF138" s="2" t="s">
        <v>478</v>
      </c>
    </row>
    <row r="139" spans="1:58" s="29" customFormat="1" ht="14.25" x14ac:dyDescent="0.2">
      <c r="A139" t="str">
        <f t="shared" si="26"/>
        <v>A96</v>
      </c>
      <c r="B139" s="13" t="s">
        <v>658</v>
      </c>
      <c r="C139">
        <f t="shared" si="27"/>
        <v>81.5</v>
      </c>
      <c r="D139" t="str">
        <f t="shared" si="28"/>
        <v>UFD</v>
      </c>
      <c r="E139" s="169" t="str">
        <f>IF(OR(A139="",B139="",C139=""),"eine der Spalten BAB, FR, km leer?",CONCATENATE(VLOOKUP(VALUE(I139),[1]Grundlage!$A$1:$B$14,2,0),IF(LEFT(A139,1)="A",IF(VALUE(MID(A139,2,10))&lt;10,"A00"&amp;VALUE(MID(A139,2,10)),IF(VALUE(MID(A139,2,10))&lt;100,"A0"&amp;VALUE(MID(A139,2,10)),IF(VALUE(MID(A139,2,10))&lt;1000,"A"&amp;VALUE(MID(A139,2,10))))),IF(LEFT(A139,1)="B",IF(VALUE(MID(A139,2,10))&lt;10,"B00"&amp;VALUE(MID(A139,2,10)),IF(VALUE(MID(A139,2,10))&lt;100,"B0"&amp;VALUE(MID(A139,2,10)),IF(VALUE(MID(A139,2,10))&lt;1000,"B"&amp;VALUE(MID(A139,2,10))))),A139)),"_",IF(NOT(OR(C139=1000,C139&gt;1000)),MID(TEXT((C139+1000)*1000,0),2,6),"keine Meter in Spalte km!!!"),IF(VALUE(I139)=1,CONCATENATE("_",VLOOKUP(IF(V139&gt;0,V139,J139),[1]Grundlage!$A$20:$B$181,2,0)),CONCATENATE("_",B139))))</f>
        <v>UQ_A096_081500_O</v>
      </c>
      <c r="F139" s="2" t="s">
        <v>25</v>
      </c>
      <c r="G139" s="167">
        <f t="shared" si="24"/>
        <v>37528</v>
      </c>
      <c r="H139">
        <f t="shared" si="25"/>
        <v>136</v>
      </c>
      <c r="I139" s="2">
        <f t="shared" si="29"/>
        <v>3</v>
      </c>
      <c r="J139" s="2">
        <f t="shared" si="30"/>
        <v>12</v>
      </c>
      <c r="K139" s="2">
        <v>205</v>
      </c>
      <c r="L139" s="2">
        <f t="shared" si="31"/>
        <v>10</v>
      </c>
      <c r="M139" s="2">
        <f t="shared" si="32"/>
        <v>1</v>
      </c>
      <c r="N139" s="2">
        <f t="shared" si="33"/>
        <v>3</v>
      </c>
      <c r="O139" s="2"/>
      <c r="P139" s="168">
        <f t="shared" ref="P139:P202" si="34">IF(AT139&lt;&gt;3,"",IF(BB139="Helligkeitssensor",61,IF(BB139="Helligkeit",61,IF(BB140="Lichtsensor",61,IF(BB139="Lufttemperatur",48,IF(BB139="Niederschlagsart",71,IF(BB139="Niederschlagsintensität",53,IF(BB139="relative Luftfeuchte RLF",55,IF(BB139="Sichtweite",60,IF(BB139="Sichtweite 1",60,IF(BB139="Zustand der Fahrbahnoberfläche FBZ",79,IF(BB139="Wasserfilmdicke WFD",72,IF(BB139="Clusterkanal FG3","",IF(BB139="Gefriertemperatur GT",65,IF(BB139="Fahrbahnoberflächentemperatur FBT",49,VALUE(RIGHT(BB139,2)))))))))))))))))</f>
        <v>48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8"/>
      <c r="AT139" s="91">
        <v>3</v>
      </c>
      <c r="AU139" s="34">
        <v>12</v>
      </c>
      <c r="AV139" s="34" t="s">
        <v>79</v>
      </c>
      <c r="AW139" s="101"/>
      <c r="AX139" s="101"/>
      <c r="AY139" s="91">
        <v>1</v>
      </c>
      <c r="AZ139" s="34">
        <v>3</v>
      </c>
      <c r="BA139" s="104" t="s">
        <v>278</v>
      </c>
      <c r="BB139" s="101" t="s">
        <v>25</v>
      </c>
      <c r="BC139" s="30"/>
      <c r="BD139" s="30"/>
      <c r="BF139" s="13" t="s">
        <v>441</v>
      </c>
    </row>
    <row r="140" spans="1:58" s="29" customFormat="1" ht="14.25" x14ac:dyDescent="0.2">
      <c r="A140" t="str">
        <f t="shared" si="26"/>
        <v>A96</v>
      </c>
      <c r="B140" s="13" t="s">
        <v>658</v>
      </c>
      <c r="C140">
        <f t="shared" si="27"/>
        <v>81.5</v>
      </c>
      <c r="D140" t="str">
        <f t="shared" si="28"/>
        <v>UFD</v>
      </c>
      <c r="E140" s="169" t="str">
        <f>IF(OR(A140="",B140="",C140=""),"eine der Spalten BAB, FR, km leer?",CONCATENATE(VLOOKUP(VALUE(I140),[1]Grundlage!$A$1:$B$14,2,0),IF(LEFT(A140,1)="A",IF(VALUE(MID(A140,2,10))&lt;10,"A00"&amp;VALUE(MID(A140,2,10)),IF(VALUE(MID(A140,2,10))&lt;100,"A0"&amp;VALUE(MID(A140,2,10)),IF(VALUE(MID(A140,2,10))&lt;1000,"A"&amp;VALUE(MID(A140,2,10))))),IF(LEFT(A140,1)="B",IF(VALUE(MID(A140,2,10))&lt;10,"B00"&amp;VALUE(MID(A140,2,10)),IF(VALUE(MID(A140,2,10))&lt;100,"B0"&amp;VALUE(MID(A140,2,10)),IF(VALUE(MID(A140,2,10))&lt;1000,"B"&amp;VALUE(MID(A140,2,10))))),A140)),"_",IF(NOT(OR(C140=1000,C140&gt;1000)),MID(TEXT((C140+1000)*1000,0),2,6),"keine Meter in Spalte km!!!"),IF(VALUE(I140)=1,CONCATENATE("_",VLOOKUP(IF(V140&gt;0,V140,J140),[1]Grundlage!$A$20:$B$181,2,0)),CONCATENATE("_",B140))))</f>
        <v>UQ_A096_081500_O</v>
      </c>
      <c r="F140" s="2" t="s">
        <v>26</v>
      </c>
      <c r="G140" s="167">
        <f t="shared" si="24"/>
        <v>37528</v>
      </c>
      <c r="H140">
        <f t="shared" si="25"/>
        <v>136</v>
      </c>
      <c r="I140" s="2">
        <f t="shared" si="29"/>
        <v>3</v>
      </c>
      <c r="J140" s="2">
        <f t="shared" si="30"/>
        <v>13</v>
      </c>
      <c r="K140" s="2">
        <v>205</v>
      </c>
      <c r="L140" s="2">
        <f t="shared" si="31"/>
        <v>10</v>
      </c>
      <c r="M140" s="2">
        <f t="shared" si="32"/>
        <v>1</v>
      </c>
      <c r="N140" s="2">
        <f t="shared" si="33"/>
        <v>4</v>
      </c>
      <c r="O140" s="2"/>
      <c r="P140" s="168">
        <f t="shared" si="34"/>
        <v>55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8"/>
      <c r="AT140" s="91">
        <v>3</v>
      </c>
      <c r="AU140" s="34">
        <v>13</v>
      </c>
      <c r="AV140" s="34" t="s">
        <v>80</v>
      </c>
      <c r="AW140" s="101"/>
      <c r="AX140" s="101"/>
      <c r="AY140" s="91">
        <v>1</v>
      </c>
      <c r="AZ140" s="34">
        <v>4</v>
      </c>
      <c r="BA140" s="104" t="s">
        <v>277</v>
      </c>
      <c r="BB140" s="101" t="s">
        <v>26</v>
      </c>
      <c r="BC140" s="30"/>
      <c r="BD140" s="30"/>
      <c r="BF140" s="13" t="s">
        <v>442</v>
      </c>
    </row>
    <row r="141" spans="1:58" s="29" customFormat="1" ht="14.25" x14ac:dyDescent="0.2">
      <c r="A141" t="str">
        <f t="shared" si="26"/>
        <v>A96</v>
      </c>
      <c r="B141" s="13" t="s">
        <v>658</v>
      </c>
      <c r="C141">
        <f t="shared" si="27"/>
        <v>81.5</v>
      </c>
      <c r="D141" t="str">
        <f t="shared" si="28"/>
        <v>UFD</v>
      </c>
      <c r="E141" s="169" t="str">
        <f>IF(OR(A141="",B141="",C141=""),"eine der Spalten BAB, FR, km leer?",CONCATENATE(VLOOKUP(VALUE(I141),[1]Grundlage!$A$1:$B$14,2,0),IF(LEFT(A141,1)="A",IF(VALUE(MID(A141,2,10))&lt;10,"A00"&amp;VALUE(MID(A141,2,10)),IF(VALUE(MID(A141,2,10))&lt;100,"A0"&amp;VALUE(MID(A141,2,10)),IF(VALUE(MID(A141,2,10))&lt;1000,"A"&amp;VALUE(MID(A141,2,10))))),IF(LEFT(A141,1)="B",IF(VALUE(MID(A141,2,10))&lt;10,"B00"&amp;VALUE(MID(A141,2,10)),IF(VALUE(MID(A141,2,10))&lt;100,"B0"&amp;VALUE(MID(A141,2,10)),IF(VALUE(MID(A141,2,10))&lt;1000,"B"&amp;VALUE(MID(A141,2,10))))),A141)),"_",IF(NOT(OR(C141=1000,C141&gt;1000)),MID(TEXT((C141+1000)*1000,0),2,6),"keine Meter in Spalte km!!!"),IF(VALUE(I141)=1,CONCATENATE("_",VLOOKUP(IF(V141&gt;0,V141,J141),[1]Grundlage!$A$20:$B$181,2,0)),CONCATENATE("_",B141))))</f>
        <v>UQ_A096_081500_O</v>
      </c>
      <c r="F141" s="2" t="s">
        <v>27</v>
      </c>
      <c r="G141" s="167">
        <f t="shared" si="24"/>
        <v>37528</v>
      </c>
      <c r="H141">
        <f t="shared" si="25"/>
        <v>136</v>
      </c>
      <c r="I141" s="2">
        <f t="shared" si="29"/>
        <v>3</v>
      </c>
      <c r="J141" s="2">
        <f t="shared" si="30"/>
        <v>14</v>
      </c>
      <c r="K141" s="2">
        <v>205</v>
      </c>
      <c r="L141" s="2">
        <f t="shared" si="31"/>
        <v>10</v>
      </c>
      <c r="M141" s="2">
        <f t="shared" si="32"/>
        <v>1</v>
      </c>
      <c r="N141" s="2">
        <f t="shared" si="33"/>
        <v>5</v>
      </c>
      <c r="O141" s="2"/>
      <c r="P141" s="168">
        <f t="shared" si="34"/>
        <v>66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8"/>
      <c r="AT141" s="91">
        <v>3</v>
      </c>
      <c r="AU141" s="34">
        <v>14</v>
      </c>
      <c r="AV141" s="34" t="s">
        <v>81</v>
      </c>
      <c r="AW141" s="101"/>
      <c r="AX141" s="101"/>
      <c r="AY141" s="91">
        <v>1</v>
      </c>
      <c r="AZ141" s="34">
        <v>5</v>
      </c>
      <c r="BA141" s="104" t="s">
        <v>279</v>
      </c>
      <c r="BB141" s="101" t="s">
        <v>27</v>
      </c>
      <c r="BC141" s="30"/>
      <c r="BD141" s="30"/>
      <c r="BF141" s="13" t="s">
        <v>443</v>
      </c>
    </row>
    <row r="142" spans="1:58" s="29" customFormat="1" ht="14.25" x14ac:dyDescent="0.2">
      <c r="A142" t="str">
        <f t="shared" si="26"/>
        <v>A96</v>
      </c>
      <c r="B142" s="13" t="s">
        <v>658</v>
      </c>
      <c r="C142">
        <f t="shared" si="27"/>
        <v>81.5</v>
      </c>
      <c r="D142" t="str">
        <f t="shared" si="28"/>
        <v>UFD</v>
      </c>
      <c r="E142" s="169" t="str">
        <f>IF(OR(A142="",B142="",C142=""),"eine der Spalten BAB, FR, km leer?",CONCATENATE(VLOOKUP(VALUE(I142),[1]Grundlage!$A$1:$B$14,2,0),IF(LEFT(A142,1)="A",IF(VALUE(MID(A142,2,10))&lt;10,"A00"&amp;VALUE(MID(A142,2,10)),IF(VALUE(MID(A142,2,10))&lt;100,"A0"&amp;VALUE(MID(A142,2,10)),IF(VALUE(MID(A142,2,10))&lt;1000,"A"&amp;VALUE(MID(A142,2,10))))),IF(LEFT(A142,1)="B",IF(VALUE(MID(A142,2,10))&lt;10,"B00"&amp;VALUE(MID(A142,2,10)),IF(VALUE(MID(A142,2,10))&lt;100,"B0"&amp;VALUE(MID(A142,2,10)),IF(VALUE(MID(A142,2,10))&lt;1000,"B"&amp;VALUE(MID(A142,2,10))))),A142)),"_",IF(NOT(OR(C142=1000,C142&gt;1000)),MID(TEXT((C142+1000)*1000,0),2,6),"keine Meter in Spalte km!!!"),IF(VALUE(I142)=1,CONCATENATE("_",VLOOKUP(IF(V142&gt;0,V142,J142),[1]Grundlage!$A$20:$B$181,2,0)),CONCATENATE("_",B142))))</f>
        <v>UQ_A096_081500_O</v>
      </c>
      <c r="F142" s="2" t="s">
        <v>28</v>
      </c>
      <c r="G142" s="167">
        <f t="shared" si="24"/>
        <v>37528</v>
      </c>
      <c r="H142">
        <f t="shared" si="25"/>
        <v>136</v>
      </c>
      <c r="I142" s="2">
        <f t="shared" si="29"/>
        <v>3</v>
      </c>
      <c r="J142" s="2">
        <f t="shared" si="30"/>
        <v>15</v>
      </c>
      <c r="K142" s="2">
        <v>205</v>
      </c>
      <c r="L142" s="2">
        <f t="shared" si="31"/>
        <v>10</v>
      </c>
      <c r="M142" s="2">
        <f t="shared" si="32"/>
        <v>1</v>
      </c>
      <c r="N142" s="2">
        <f t="shared" si="33"/>
        <v>6</v>
      </c>
      <c r="O142" s="2"/>
      <c r="P142" s="168">
        <f t="shared" si="34"/>
        <v>65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8"/>
      <c r="AT142" s="91">
        <v>3</v>
      </c>
      <c r="AU142" s="34">
        <v>15</v>
      </c>
      <c r="AV142" s="34" t="s">
        <v>82</v>
      </c>
      <c r="AW142" s="101"/>
      <c r="AX142" s="101"/>
      <c r="AY142" s="91">
        <v>1</v>
      </c>
      <c r="AZ142" s="34">
        <v>6</v>
      </c>
      <c r="BA142" s="104" t="s">
        <v>280</v>
      </c>
      <c r="BB142" s="101" t="s">
        <v>28</v>
      </c>
      <c r="BC142" s="30"/>
      <c r="BD142" s="30"/>
      <c r="BF142" s="13" t="s">
        <v>526</v>
      </c>
    </row>
    <row r="143" spans="1:58" s="29" customFormat="1" ht="14.25" x14ac:dyDescent="0.2">
      <c r="A143" t="str">
        <f t="shared" si="26"/>
        <v>A96</v>
      </c>
      <c r="B143" s="13" t="s">
        <v>658</v>
      </c>
      <c r="C143">
        <f t="shared" si="27"/>
        <v>81.5</v>
      </c>
      <c r="D143" t="str">
        <f t="shared" si="28"/>
        <v>UFD</v>
      </c>
      <c r="E143" s="169" t="str">
        <f>IF(OR(A143="",B143="",C143=""),"eine der Spalten BAB, FR, km leer?",CONCATENATE(VLOOKUP(VALUE(I143),[1]Grundlage!$A$1:$B$14,2,0),IF(LEFT(A143,1)="A",IF(VALUE(MID(A143,2,10))&lt;10,"A00"&amp;VALUE(MID(A143,2,10)),IF(VALUE(MID(A143,2,10))&lt;100,"A0"&amp;VALUE(MID(A143,2,10)),IF(VALUE(MID(A143,2,10))&lt;1000,"A"&amp;VALUE(MID(A143,2,10))))),IF(LEFT(A143,1)="B",IF(VALUE(MID(A143,2,10))&lt;10,"B00"&amp;VALUE(MID(A143,2,10)),IF(VALUE(MID(A143,2,10))&lt;100,"B0"&amp;VALUE(MID(A143,2,10)),IF(VALUE(MID(A143,2,10))&lt;1000,"B"&amp;VALUE(MID(A143,2,10))))),A143)),"_",IF(NOT(OR(C143=1000,C143&gt;1000)),MID(TEXT((C143+1000)*1000,0),2,6),"keine Meter in Spalte km!!!"),IF(VALUE(I143)=1,CONCATENATE("_",VLOOKUP(IF(V143&gt;0,V143,J143),[1]Grundlage!$A$20:$B$181,2,0)),CONCATENATE("_",B143))))</f>
        <v>UQ_A096_081500_O</v>
      </c>
      <c r="F143" s="2" t="s">
        <v>670</v>
      </c>
      <c r="G143" s="167">
        <f t="shared" si="24"/>
        <v>37528</v>
      </c>
      <c r="H143">
        <f t="shared" si="25"/>
        <v>136</v>
      </c>
      <c r="I143" s="2">
        <f t="shared" si="29"/>
        <v>3</v>
      </c>
      <c r="J143" s="2">
        <f t="shared" si="30"/>
        <v>19</v>
      </c>
      <c r="K143" s="2">
        <v>205</v>
      </c>
      <c r="L143" s="2">
        <f t="shared" si="31"/>
        <v>10</v>
      </c>
      <c r="M143" s="2">
        <f t="shared" si="32"/>
        <v>1</v>
      </c>
      <c r="N143" s="2">
        <f t="shared" si="33"/>
        <v>7</v>
      </c>
      <c r="O143" s="2"/>
      <c r="P143" s="168">
        <v>49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8"/>
      <c r="AT143" s="91">
        <v>3</v>
      </c>
      <c r="AU143" s="34">
        <v>19</v>
      </c>
      <c r="AV143" s="34">
        <v>13</v>
      </c>
      <c r="AW143" s="101"/>
      <c r="AX143" s="101"/>
      <c r="AY143" s="91">
        <v>1</v>
      </c>
      <c r="AZ143" s="34">
        <v>7</v>
      </c>
      <c r="BA143" s="104" t="s">
        <v>281</v>
      </c>
      <c r="BB143" s="101" t="s">
        <v>420</v>
      </c>
      <c r="BC143" s="30"/>
      <c r="BD143" s="30"/>
      <c r="BF143" s="13" t="s">
        <v>527</v>
      </c>
    </row>
    <row r="144" spans="1:58" s="29" customFormat="1" ht="14.25" x14ac:dyDescent="0.2">
      <c r="A144" t="str">
        <f t="shared" si="26"/>
        <v>A96</v>
      </c>
      <c r="B144" s="13" t="s">
        <v>658</v>
      </c>
      <c r="C144">
        <f t="shared" si="27"/>
        <v>81.5</v>
      </c>
      <c r="D144" t="str">
        <f t="shared" si="28"/>
        <v>UFD</v>
      </c>
      <c r="E144" s="169" t="str">
        <f>IF(OR(A144="",B144="",C144=""),"eine der Spalten BAB, FR, km leer?",CONCATENATE(VLOOKUP(VALUE(I144),[1]Grundlage!$A$1:$B$14,2,0),IF(LEFT(A144,1)="A",IF(VALUE(MID(A144,2,10))&lt;10,"A00"&amp;VALUE(MID(A144,2,10)),IF(VALUE(MID(A144,2,10))&lt;100,"A0"&amp;VALUE(MID(A144,2,10)),IF(VALUE(MID(A144,2,10))&lt;1000,"A"&amp;VALUE(MID(A144,2,10))))),IF(LEFT(A144,1)="B",IF(VALUE(MID(A144,2,10))&lt;10,"B00"&amp;VALUE(MID(A144,2,10)),IF(VALUE(MID(A144,2,10))&lt;100,"B0"&amp;VALUE(MID(A144,2,10)),IF(VALUE(MID(A144,2,10))&lt;1000,"B"&amp;VALUE(MID(A144,2,10))))),A144)),"_",IF(NOT(OR(C144=1000,C144&gt;1000)),MID(TEXT((C144+1000)*1000,0),2,6),"keine Meter in Spalte km!!!"),IF(VALUE(I144)=1,CONCATENATE("_",VLOOKUP(IF(V144&gt;0,V144,J144),[1]Grundlage!$A$20:$B$181,2,0)),CONCATENATE("_",B144))))</f>
        <v>UQ_A096_081500_O</v>
      </c>
      <c r="F144" s="2" t="s">
        <v>671</v>
      </c>
      <c r="G144" s="167">
        <f t="shared" si="24"/>
        <v>37528</v>
      </c>
      <c r="H144">
        <f t="shared" si="25"/>
        <v>136</v>
      </c>
      <c r="I144" s="2">
        <f t="shared" si="29"/>
        <v>3</v>
      </c>
      <c r="J144" s="2">
        <f t="shared" si="30"/>
        <v>21</v>
      </c>
      <c r="K144" s="2">
        <v>205</v>
      </c>
      <c r="L144" s="2">
        <f t="shared" si="31"/>
        <v>10</v>
      </c>
      <c r="M144" s="2">
        <f t="shared" si="32"/>
        <v>1</v>
      </c>
      <c r="N144" s="2">
        <f t="shared" si="33"/>
        <v>8</v>
      </c>
      <c r="O144" s="2"/>
      <c r="P144" s="168">
        <v>67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8"/>
      <c r="AT144" s="91">
        <v>3</v>
      </c>
      <c r="AU144" s="34">
        <v>21</v>
      </c>
      <c r="AV144" s="34">
        <v>15</v>
      </c>
      <c r="AW144" s="101"/>
      <c r="AX144" s="101"/>
      <c r="AY144" s="91">
        <v>1</v>
      </c>
      <c r="AZ144" s="34">
        <v>8</v>
      </c>
      <c r="BA144" s="104" t="s">
        <v>282</v>
      </c>
      <c r="BB144" s="101" t="s">
        <v>421</v>
      </c>
      <c r="BC144" s="30"/>
      <c r="BD144" s="30"/>
      <c r="BF144" s="13" t="s">
        <v>480</v>
      </c>
    </row>
    <row r="145" spans="1:58" s="29" customFormat="1" ht="14.25" x14ac:dyDescent="0.2">
      <c r="A145" t="str">
        <f t="shared" si="26"/>
        <v>A96</v>
      </c>
      <c r="B145" s="13" t="s">
        <v>658</v>
      </c>
      <c r="C145">
        <f t="shared" si="27"/>
        <v>81.5</v>
      </c>
      <c r="D145" t="str">
        <f t="shared" si="28"/>
        <v>UFD</v>
      </c>
      <c r="E145" s="169" t="str">
        <f>IF(OR(A145="",B145="",C145=""),"eine der Spalten BAB, FR, km leer?",CONCATENATE(VLOOKUP(VALUE(I145),[1]Grundlage!$A$1:$B$14,2,0),IF(LEFT(A145,1)="A",IF(VALUE(MID(A145,2,10))&lt;10,"A00"&amp;VALUE(MID(A145,2,10)),IF(VALUE(MID(A145,2,10))&lt;100,"A0"&amp;VALUE(MID(A145,2,10)),IF(VALUE(MID(A145,2,10))&lt;1000,"A"&amp;VALUE(MID(A145,2,10))))),IF(LEFT(A145,1)="B",IF(VALUE(MID(A145,2,10))&lt;10,"B00"&amp;VALUE(MID(A145,2,10)),IF(VALUE(MID(A145,2,10))&lt;100,"B0"&amp;VALUE(MID(A145,2,10)),IF(VALUE(MID(A145,2,10))&lt;1000,"B"&amp;VALUE(MID(A145,2,10))))),A145)),"_",IF(NOT(OR(C145=1000,C145&gt;1000)),MID(TEXT((C145+1000)*1000,0),2,6),"keine Meter in Spalte km!!!"),IF(VALUE(I145)=1,CONCATENATE("_",VLOOKUP(IF(V145&gt;0,V145,J145),[1]Grundlage!$A$20:$B$181,2,0)),CONCATENATE("_",B145))))</f>
        <v>UQ_A096_081500_O</v>
      </c>
      <c r="F145" s="2" t="s">
        <v>41</v>
      </c>
      <c r="G145" s="167">
        <f t="shared" si="24"/>
        <v>37528</v>
      </c>
      <c r="H145">
        <f t="shared" si="25"/>
        <v>136</v>
      </c>
      <c r="I145" s="2">
        <f t="shared" si="29"/>
        <v>3</v>
      </c>
      <c r="J145" s="2">
        <f t="shared" si="30"/>
        <v>24</v>
      </c>
      <c r="K145" s="2">
        <v>205</v>
      </c>
      <c r="L145" s="2">
        <f t="shared" si="31"/>
        <v>10</v>
      </c>
      <c r="M145" s="2">
        <f t="shared" si="32"/>
        <v>1</v>
      </c>
      <c r="N145" s="2">
        <f t="shared" si="33"/>
        <v>9</v>
      </c>
      <c r="O145" s="2"/>
      <c r="P145" s="168">
        <f t="shared" si="34"/>
        <v>69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8"/>
      <c r="AT145" s="91">
        <v>3</v>
      </c>
      <c r="AU145" s="34">
        <v>24</v>
      </c>
      <c r="AV145" s="34">
        <v>18</v>
      </c>
      <c r="AW145" s="101"/>
      <c r="AX145" s="101"/>
      <c r="AY145" s="91">
        <v>1</v>
      </c>
      <c r="AZ145" s="34">
        <v>9</v>
      </c>
      <c r="BA145" s="104" t="s">
        <v>283</v>
      </c>
      <c r="BB145" s="101" t="s">
        <v>41</v>
      </c>
      <c r="BC145" s="30"/>
      <c r="BD145" s="30"/>
      <c r="BF145" s="13" t="s">
        <v>465</v>
      </c>
    </row>
    <row r="146" spans="1:58" s="29" customFormat="1" ht="14.25" x14ac:dyDescent="0.2">
      <c r="A146" t="str">
        <f t="shared" si="26"/>
        <v>A96</v>
      </c>
      <c r="B146" s="13" t="s">
        <v>658</v>
      </c>
      <c r="C146">
        <f t="shared" si="27"/>
        <v>81.5</v>
      </c>
      <c r="D146" t="str">
        <f t="shared" si="28"/>
        <v>UFD</v>
      </c>
      <c r="E146" s="169" t="str">
        <f>IF(OR(A146="",B146="",C146=""),"eine der Spalten BAB, FR, km leer?",CONCATENATE(VLOOKUP(VALUE(I146),[1]Grundlage!$A$1:$B$14,2,0),IF(LEFT(A146,1)="A",IF(VALUE(MID(A146,2,10))&lt;10,"A00"&amp;VALUE(MID(A146,2,10)),IF(VALUE(MID(A146,2,10))&lt;100,"A0"&amp;VALUE(MID(A146,2,10)),IF(VALUE(MID(A146,2,10))&lt;1000,"A"&amp;VALUE(MID(A146,2,10))))),IF(LEFT(A146,1)="B",IF(VALUE(MID(A146,2,10))&lt;10,"B00"&amp;VALUE(MID(A146,2,10)),IF(VALUE(MID(A146,2,10))&lt;100,"B0"&amp;VALUE(MID(A146,2,10)),IF(VALUE(MID(A146,2,10))&lt;1000,"B"&amp;VALUE(MID(A146,2,10))))),A146)),"_",IF(NOT(OR(C146=1000,C146&gt;1000)),MID(TEXT((C146+1000)*1000,0),2,6),"keine Meter in Spalte km!!!"),IF(VALUE(I146)=1,CONCATENATE("_",VLOOKUP(IF(V146&gt;0,V146,J146),[1]Grundlage!$A$20:$B$181,2,0)),CONCATENATE("_",B146))))</f>
        <v>UQ_A096_081500_O</v>
      </c>
      <c r="F146" s="2" t="s">
        <v>42</v>
      </c>
      <c r="G146" s="167">
        <f t="shared" si="24"/>
        <v>37528</v>
      </c>
      <c r="H146">
        <f t="shared" si="25"/>
        <v>136</v>
      </c>
      <c r="I146" s="2">
        <f t="shared" si="29"/>
        <v>3</v>
      </c>
      <c r="J146" s="2">
        <f t="shared" si="30"/>
        <v>25</v>
      </c>
      <c r="K146" s="2">
        <v>205</v>
      </c>
      <c r="L146" s="2">
        <f t="shared" si="31"/>
        <v>10</v>
      </c>
      <c r="M146" s="2">
        <f t="shared" si="32"/>
        <v>1</v>
      </c>
      <c r="N146" s="2">
        <f t="shared" si="33"/>
        <v>10</v>
      </c>
      <c r="O146" s="2"/>
      <c r="P146" s="168">
        <v>56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8"/>
      <c r="AT146" s="91">
        <v>3</v>
      </c>
      <c r="AU146" s="34">
        <v>25</v>
      </c>
      <c r="AV146" s="34">
        <v>19</v>
      </c>
      <c r="AW146" s="101"/>
      <c r="AX146" s="101"/>
      <c r="AY146" s="91">
        <v>1</v>
      </c>
      <c r="AZ146" s="34">
        <v>10</v>
      </c>
      <c r="BA146" s="104" t="s">
        <v>95</v>
      </c>
      <c r="BB146" s="101" t="s">
        <v>42</v>
      </c>
      <c r="BC146" s="30"/>
      <c r="BD146" s="30"/>
      <c r="BF146" s="13" t="s">
        <v>515</v>
      </c>
    </row>
    <row r="147" spans="1:58" s="29" customFormat="1" ht="14.25" x14ac:dyDescent="0.2">
      <c r="A147" t="str">
        <f t="shared" si="26"/>
        <v>A96</v>
      </c>
      <c r="B147" s="13" t="s">
        <v>658</v>
      </c>
      <c r="C147">
        <f t="shared" si="27"/>
        <v>81.5</v>
      </c>
      <c r="D147" t="str">
        <f t="shared" si="28"/>
        <v>UFD</v>
      </c>
      <c r="E147" s="169" t="str">
        <f>IF(OR(A147="",B147="",C147=""),"eine der Spalten BAB, FR, km leer?",CONCATENATE(VLOOKUP(VALUE(I147),[1]Grundlage!$A$1:$B$14,2,0),IF(LEFT(A147,1)="A",IF(VALUE(MID(A147,2,10))&lt;10,"A00"&amp;VALUE(MID(A147,2,10)),IF(VALUE(MID(A147,2,10))&lt;100,"A0"&amp;VALUE(MID(A147,2,10)),IF(VALUE(MID(A147,2,10))&lt;1000,"A"&amp;VALUE(MID(A147,2,10))))),IF(LEFT(A147,1)="B",IF(VALUE(MID(A147,2,10))&lt;10,"B00"&amp;VALUE(MID(A147,2,10)),IF(VALUE(MID(A147,2,10))&lt;100,"B0"&amp;VALUE(MID(A147,2,10)),IF(VALUE(MID(A147,2,10))&lt;1000,"B"&amp;VALUE(MID(A147,2,10))))),A147)),"_",IF(NOT(OR(C147=1000,C147&gt;1000)),MID(TEXT((C147+1000)*1000,0),2,6),"keine Meter in Spalte km!!!"),IF(VALUE(I147)=1,CONCATENATE("_",VLOOKUP(IF(V147&gt;0,V147,J147),[1]Grundlage!$A$20:$B$181,2,0)),CONCATENATE("_",B147))))</f>
        <v>UQ_A096_081500_O</v>
      </c>
      <c r="F147" s="2" t="s">
        <v>43</v>
      </c>
      <c r="G147" s="167">
        <f t="shared" si="24"/>
        <v>37528</v>
      </c>
      <c r="H147">
        <f t="shared" si="25"/>
        <v>136</v>
      </c>
      <c r="I147" s="2">
        <f t="shared" si="29"/>
        <v>3</v>
      </c>
      <c r="J147" s="2">
        <f t="shared" si="30"/>
        <v>26</v>
      </c>
      <c r="K147" s="2">
        <v>205</v>
      </c>
      <c r="L147" s="2">
        <f t="shared" si="31"/>
        <v>10</v>
      </c>
      <c r="M147" s="2">
        <f t="shared" si="32"/>
        <v>1</v>
      </c>
      <c r="N147" s="2">
        <f t="shared" si="33"/>
        <v>11</v>
      </c>
      <c r="O147" s="2"/>
      <c r="P147" s="168">
        <f t="shared" si="34"/>
        <v>57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8"/>
      <c r="AT147" s="91">
        <v>3</v>
      </c>
      <c r="AU147" s="34">
        <v>26</v>
      </c>
      <c r="AV147" s="34" t="s">
        <v>86</v>
      </c>
      <c r="AW147" s="101"/>
      <c r="AX147" s="101"/>
      <c r="AY147" s="91">
        <v>1</v>
      </c>
      <c r="AZ147" s="34">
        <v>11</v>
      </c>
      <c r="BA147" s="104" t="s">
        <v>78</v>
      </c>
      <c r="BB147" s="101" t="s">
        <v>43</v>
      </c>
      <c r="BC147" s="30"/>
      <c r="BD147" s="30"/>
      <c r="BF147" s="58" t="s">
        <v>446</v>
      </c>
    </row>
    <row r="148" spans="1:58" s="29" customFormat="1" ht="14.25" x14ac:dyDescent="0.2">
      <c r="A148" t="str">
        <f t="shared" si="26"/>
        <v>A96</v>
      </c>
      <c r="B148" s="13" t="s">
        <v>658</v>
      </c>
      <c r="C148">
        <f t="shared" si="27"/>
        <v>81.5</v>
      </c>
      <c r="D148" t="str">
        <f t="shared" si="28"/>
        <v>UFD</v>
      </c>
      <c r="E148" s="169" t="str">
        <f>IF(OR(A148="",B148="",C148=""),"eine der Spalten BAB, FR, km leer?",CONCATENATE(VLOOKUP(VALUE(I148),[1]Grundlage!$A$1:$B$14,2,0),IF(LEFT(A148,1)="A",IF(VALUE(MID(A148,2,10))&lt;10,"A00"&amp;VALUE(MID(A148,2,10)),IF(VALUE(MID(A148,2,10))&lt;100,"A0"&amp;VALUE(MID(A148,2,10)),IF(VALUE(MID(A148,2,10))&lt;1000,"A"&amp;VALUE(MID(A148,2,10))))),IF(LEFT(A148,1)="B",IF(VALUE(MID(A148,2,10))&lt;10,"B00"&amp;VALUE(MID(A148,2,10)),IF(VALUE(MID(A148,2,10))&lt;100,"B0"&amp;VALUE(MID(A148,2,10)),IF(VALUE(MID(A148,2,10))&lt;1000,"B"&amp;VALUE(MID(A148,2,10))))),A148)),"_",IF(NOT(OR(C148=1000,C148&gt;1000)),MID(TEXT((C148+1000)*1000,0),2,6),"keine Meter in Spalte km!!!"),IF(VALUE(I148)=1,CONCATENATE("_",VLOOKUP(IF(V148&gt;0,V148,J148),[1]Grundlage!$A$20:$B$181,2,0)),CONCATENATE("_",B148))))</f>
        <v>UQ_A096_081500_O</v>
      </c>
      <c r="F148" s="2" t="s">
        <v>271</v>
      </c>
      <c r="G148" s="167">
        <f t="shared" si="24"/>
        <v>37528</v>
      </c>
      <c r="H148">
        <f t="shared" si="25"/>
        <v>136</v>
      </c>
      <c r="I148" s="2">
        <f t="shared" si="29"/>
        <v>3</v>
      </c>
      <c r="J148" s="2">
        <f t="shared" si="30"/>
        <v>67</v>
      </c>
      <c r="K148" s="2">
        <v>205</v>
      </c>
      <c r="L148" s="2">
        <f t="shared" si="31"/>
        <v>10</v>
      </c>
      <c r="M148" s="2">
        <f t="shared" si="32"/>
        <v>1</v>
      </c>
      <c r="N148" s="2">
        <f t="shared" si="33"/>
        <v>12</v>
      </c>
      <c r="O148" s="2"/>
      <c r="P148" s="168">
        <f t="shared" si="34"/>
        <v>53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8"/>
      <c r="AT148" s="19">
        <v>3</v>
      </c>
      <c r="AU148" s="14">
        <v>67</v>
      </c>
      <c r="AV148" s="14">
        <v>43</v>
      </c>
      <c r="AW148" s="13"/>
      <c r="AX148" s="13"/>
      <c r="AY148" s="19">
        <v>1</v>
      </c>
      <c r="AZ148" s="14">
        <v>12</v>
      </c>
      <c r="BA148" s="14" t="s">
        <v>79</v>
      </c>
      <c r="BB148" s="13" t="s">
        <v>271</v>
      </c>
      <c r="BC148" s="30"/>
      <c r="BD148" s="30"/>
      <c r="BF148" s="58" t="s">
        <v>444</v>
      </c>
    </row>
    <row r="149" spans="1:58" s="29" customFormat="1" ht="14.25" x14ac:dyDescent="0.2">
      <c r="A149" t="str">
        <f t="shared" si="26"/>
        <v>A96</v>
      </c>
      <c r="B149" s="13" t="s">
        <v>658</v>
      </c>
      <c r="C149">
        <f t="shared" si="27"/>
        <v>81.5</v>
      </c>
      <c r="D149" t="str">
        <f t="shared" si="28"/>
        <v>UFD</v>
      </c>
      <c r="E149" s="169" t="str">
        <f>IF(OR(A149="",B149="",C149=""),"eine der Spalten BAB, FR, km leer?",CONCATENATE(VLOOKUP(VALUE(I149),[1]Grundlage!$A$1:$B$14,2,0),IF(LEFT(A149,1)="A",IF(VALUE(MID(A149,2,10))&lt;10,"A00"&amp;VALUE(MID(A149,2,10)),IF(VALUE(MID(A149,2,10))&lt;100,"A0"&amp;VALUE(MID(A149,2,10)),IF(VALUE(MID(A149,2,10))&lt;1000,"A"&amp;VALUE(MID(A149,2,10))))),IF(LEFT(A149,1)="B",IF(VALUE(MID(A149,2,10))&lt;10,"B00"&amp;VALUE(MID(A149,2,10)),IF(VALUE(MID(A149,2,10))&lt;100,"B0"&amp;VALUE(MID(A149,2,10)),IF(VALUE(MID(A149,2,10))&lt;1000,"B"&amp;VALUE(MID(A149,2,10))))),A149)),"_",IF(NOT(OR(C149=1000,C149&gt;1000)),MID(TEXT((C149+1000)*1000,0),2,6),"keine Meter in Spalte km!!!"),IF(VALUE(I149)=1,CONCATENATE("_",VLOOKUP(IF(V149&gt;0,V149,J149),[1]Grundlage!$A$20:$B$181,2,0)),CONCATENATE("_",B149))))</f>
        <v>UQ_A096_081500_O</v>
      </c>
      <c r="F149" s="2" t="s">
        <v>697</v>
      </c>
      <c r="G149" s="167">
        <f t="shared" si="24"/>
        <v>37528</v>
      </c>
      <c r="H149">
        <f t="shared" si="25"/>
        <v>136</v>
      </c>
      <c r="I149" s="2">
        <f t="shared" si="29"/>
        <v>3</v>
      </c>
      <c r="J149" s="2">
        <f t="shared" si="30"/>
        <v>82</v>
      </c>
      <c r="K149" s="2">
        <v>205</v>
      </c>
      <c r="L149" s="2">
        <f t="shared" si="31"/>
        <v>10</v>
      </c>
      <c r="M149" s="2">
        <f t="shared" si="32"/>
        <v>1</v>
      </c>
      <c r="N149" s="2">
        <f t="shared" si="33"/>
        <v>13</v>
      </c>
      <c r="O149" s="2"/>
      <c r="P149" s="168">
        <v>72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8"/>
      <c r="AT149" s="19">
        <v>3</v>
      </c>
      <c r="AU149" s="14">
        <v>82</v>
      </c>
      <c r="AV149" s="14">
        <v>52</v>
      </c>
      <c r="AW149" s="13"/>
      <c r="AX149" s="13"/>
      <c r="AY149" s="19">
        <v>1</v>
      </c>
      <c r="AZ149" s="14">
        <v>13</v>
      </c>
      <c r="BA149" s="14" t="s">
        <v>80</v>
      </c>
      <c r="BB149" s="13" t="s">
        <v>400</v>
      </c>
      <c r="BC149" s="30"/>
      <c r="BD149" s="30"/>
      <c r="BF149" s="58" t="s">
        <v>528</v>
      </c>
    </row>
    <row r="150" spans="1:58" s="29" customFormat="1" ht="14.25" x14ac:dyDescent="0.2">
      <c r="A150" t="str">
        <f t="shared" si="26"/>
        <v>A96</v>
      </c>
      <c r="B150" s="13" t="s">
        <v>658</v>
      </c>
      <c r="C150">
        <f t="shared" si="27"/>
        <v>81.5</v>
      </c>
      <c r="D150" t="str">
        <f t="shared" si="28"/>
        <v>UFD</v>
      </c>
      <c r="E150" s="169" t="str">
        <f>IF(OR(A150="",B150="",C150=""),"eine der Spalten BAB, FR, km leer?",CONCATENATE(VLOOKUP(VALUE(I150),[1]Grundlage!$A$1:$B$14,2,0),IF(LEFT(A150,1)="A",IF(VALUE(MID(A150,2,10))&lt;10,"A00"&amp;VALUE(MID(A150,2,10)),IF(VALUE(MID(A150,2,10))&lt;100,"A0"&amp;VALUE(MID(A150,2,10)),IF(VALUE(MID(A150,2,10))&lt;1000,"A"&amp;VALUE(MID(A150,2,10))))),IF(LEFT(A150,1)="B",IF(VALUE(MID(A150,2,10))&lt;10,"B00"&amp;VALUE(MID(A150,2,10)),IF(VALUE(MID(A150,2,10))&lt;100,"B0"&amp;VALUE(MID(A150,2,10)),IF(VALUE(MID(A150,2,10))&lt;1000,"B"&amp;VALUE(MID(A150,2,10))))),A150)),"_",IF(NOT(OR(C150=1000,C150&gt;1000)),MID(TEXT((C150+1000)*1000,0),2,6),"keine Meter in Spalte km!!!"),IF(VALUE(I150)=1,CONCATENATE("_",VLOOKUP(IF(V150&gt;0,V150,J150),[1]Grundlage!$A$20:$B$181,2,0)),CONCATENATE("_",B150))))</f>
        <v>UQ_A096_081500_O</v>
      </c>
      <c r="F150" s="2" t="s">
        <v>685</v>
      </c>
      <c r="G150" s="167">
        <f t="shared" si="24"/>
        <v>37528</v>
      </c>
      <c r="H150">
        <f t="shared" si="25"/>
        <v>136</v>
      </c>
      <c r="I150" s="2">
        <f t="shared" si="29"/>
        <v>3</v>
      </c>
      <c r="J150" s="2">
        <f t="shared" si="30"/>
        <v>10</v>
      </c>
      <c r="K150" s="2">
        <v>205</v>
      </c>
      <c r="L150" s="2">
        <f t="shared" si="31"/>
        <v>10</v>
      </c>
      <c r="M150" s="2">
        <f t="shared" si="32"/>
        <v>1</v>
      </c>
      <c r="N150" s="2">
        <f t="shared" si="33"/>
        <v>14</v>
      </c>
      <c r="O150" s="2"/>
      <c r="P150" s="168">
        <v>51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8"/>
      <c r="AT150" s="91">
        <v>3</v>
      </c>
      <c r="AU150" s="34">
        <v>10</v>
      </c>
      <c r="AV150" s="34" t="s">
        <v>95</v>
      </c>
      <c r="AW150" s="101"/>
      <c r="AX150" s="101"/>
      <c r="AY150" s="91">
        <v>1</v>
      </c>
      <c r="AZ150" s="34">
        <v>14</v>
      </c>
      <c r="BA150" s="104" t="s">
        <v>81</v>
      </c>
      <c r="BB150" s="101" t="s">
        <v>96</v>
      </c>
      <c r="BC150" s="30"/>
      <c r="BD150" s="30"/>
      <c r="BF150" s="58" t="s">
        <v>529</v>
      </c>
    </row>
    <row r="151" spans="1:58" s="29" customFormat="1" ht="14.25" x14ac:dyDescent="0.2">
      <c r="A151" t="str">
        <f t="shared" si="26"/>
        <v>A96</v>
      </c>
      <c r="B151" s="13" t="s">
        <v>658</v>
      </c>
      <c r="C151">
        <f t="shared" si="27"/>
        <v>81.5</v>
      </c>
      <c r="D151" t="str">
        <f t="shared" si="28"/>
        <v>UFD</v>
      </c>
      <c r="E151" s="169" t="str">
        <f>IF(OR(A151="",B151="",C151=""),"eine der Spalten BAB, FR, km leer?",CONCATENATE(VLOOKUP(VALUE(I151),[1]Grundlage!$A$1:$B$14,2,0),IF(LEFT(A151,1)="A",IF(VALUE(MID(A151,2,10))&lt;10,"A00"&amp;VALUE(MID(A151,2,10)),IF(VALUE(MID(A151,2,10))&lt;100,"A0"&amp;VALUE(MID(A151,2,10)),IF(VALUE(MID(A151,2,10))&lt;1000,"A"&amp;VALUE(MID(A151,2,10))))),IF(LEFT(A151,1)="B",IF(VALUE(MID(A151,2,10))&lt;10,"B00"&amp;VALUE(MID(A151,2,10)),IF(VALUE(MID(A151,2,10))&lt;100,"B0"&amp;VALUE(MID(A151,2,10)),IF(VALUE(MID(A151,2,10))&lt;1000,"B"&amp;VALUE(MID(A151,2,10))))),A151)),"_",IF(NOT(OR(C151=1000,C151&gt;1000)),MID(TEXT((C151+1000)*1000,0),2,6),"keine Meter in Spalte km!!!"),IF(VALUE(I151)=1,CONCATENATE("_",VLOOKUP(IF(V151&gt;0,V151,J151),[1]Grundlage!$A$20:$B$181,2,0)),CONCATENATE("_",B151))))</f>
        <v>UQ_A096_081500_O</v>
      </c>
      <c r="F151" s="2" t="s">
        <v>684</v>
      </c>
      <c r="G151" s="167">
        <f t="shared" si="24"/>
        <v>37528</v>
      </c>
      <c r="H151">
        <f t="shared" si="25"/>
        <v>136</v>
      </c>
      <c r="I151" s="2">
        <f t="shared" si="29"/>
        <v>3</v>
      </c>
      <c r="J151" s="2">
        <f t="shared" si="30"/>
        <v>16</v>
      </c>
      <c r="K151" s="2">
        <v>205</v>
      </c>
      <c r="L151" s="2">
        <f t="shared" si="31"/>
        <v>10</v>
      </c>
      <c r="M151" s="2">
        <f t="shared" si="32"/>
        <v>1</v>
      </c>
      <c r="N151" s="2">
        <f t="shared" si="33"/>
        <v>15</v>
      </c>
      <c r="O151" s="2"/>
      <c r="P151" s="168">
        <v>65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8"/>
      <c r="AT151" s="91">
        <v>3</v>
      </c>
      <c r="AU151" s="34">
        <v>16</v>
      </c>
      <c r="AV151" s="34">
        <v>10</v>
      </c>
      <c r="AW151" s="101"/>
      <c r="AX151" s="101"/>
      <c r="AY151" s="91">
        <v>1</v>
      </c>
      <c r="AZ151" s="34">
        <v>15</v>
      </c>
      <c r="BA151" s="104" t="s">
        <v>82</v>
      </c>
      <c r="BB151" s="101" t="s">
        <v>99</v>
      </c>
      <c r="BC151" s="30"/>
      <c r="BD151" s="30"/>
      <c r="BF151" s="58" t="s">
        <v>530</v>
      </c>
    </row>
    <row r="152" spans="1:58" s="29" customFormat="1" ht="14.25" x14ac:dyDescent="0.2">
      <c r="A152" t="str">
        <f t="shared" si="26"/>
        <v>A96</v>
      </c>
      <c r="B152" s="13" t="s">
        <v>658</v>
      </c>
      <c r="C152">
        <f t="shared" si="27"/>
        <v>81.5</v>
      </c>
      <c r="D152" t="str">
        <f t="shared" si="28"/>
        <v>UFD</v>
      </c>
      <c r="E152" s="169" t="str">
        <f>IF(OR(A152="",B152="",C152=""),"eine der Spalten BAB, FR, km leer?",CONCATENATE(VLOOKUP(VALUE(I152),[1]Grundlage!$A$1:$B$14,2,0),IF(LEFT(A152,1)="A",IF(VALUE(MID(A152,2,10))&lt;10,"A00"&amp;VALUE(MID(A152,2,10)),IF(VALUE(MID(A152,2,10))&lt;100,"A0"&amp;VALUE(MID(A152,2,10)),IF(VALUE(MID(A152,2,10))&lt;1000,"A"&amp;VALUE(MID(A152,2,10))))),IF(LEFT(A152,1)="B",IF(VALUE(MID(A152,2,10))&lt;10,"B00"&amp;VALUE(MID(A152,2,10)),IF(VALUE(MID(A152,2,10))&lt;100,"B0"&amp;VALUE(MID(A152,2,10)),IF(VALUE(MID(A152,2,10))&lt;1000,"B"&amp;VALUE(MID(A152,2,10))))),A152)),"_",IF(NOT(OR(C152=1000,C152&gt;1000)),MID(TEXT((C152+1000)*1000,0),2,6),"keine Meter in Spalte km!!!"),IF(VALUE(I152)=1,CONCATENATE("_",VLOOKUP(IF(V152&gt;0,V152,J152),[1]Grundlage!$A$20:$B$181,2,0)),CONCATENATE("_",B152))))</f>
        <v>UQ_A096_081500_O</v>
      </c>
      <c r="F152" s="2" t="s">
        <v>670</v>
      </c>
      <c r="G152" s="167">
        <f t="shared" si="24"/>
        <v>37528</v>
      </c>
      <c r="H152">
        <f t="shared" si="25"/>
        <v>136</v>
      </c>
      <c r="I152" s="2">
        <f t="shared" si="29"/>
        <v>3</v>
      </c>
      <c r="J152" s="2">
        <f t="shared" si="30"/>
        <v>20</v>
      </c>
      <c r="K152" s="2">
        <v>205</v>
      </c>
      <c r="L152" s="2">
        <f t="shared" si="31"/>
        <v>10</v>
      </c>
      <c r="M152" s="2">
        <f t="shared" si="32"/>
        <v>1</v>
      </c>
      <c r="N152" s="2">
        <f t="shared" si="33"/>
        <v>16</v>
      </c>
      <c r="O152" s="2"/>
      <c r="P152" s="168">
        <v>49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8"/>
      <c r="AT152" s="91">
        <v>3</v>
      </c>
      <c r="AU152" s="34">
        <v>20</v>
      </c>
      <c r="AV152" s="34">
        <v>14</v>
      </c>
      <c r="AW152" s="101"/>
      <c r="AX152" s="101"/>
      <c r="AY152" s="91">
        <v>1</v>
      </c>
      <c r="AZ152" s="34">
        <v>16</v>
      </c>
      <c r="BA152" s="104" t="s">
        <v>419</v>
      </c>
      <c r="BB152" s="101" t="s">
        <v>100</v>
      </c>
      <c r="BC152" s="30"/>
      <c r="BD152" s="30"/>
      <c r="BF152" s="58" t="s">
        <v>531</v>
      </c>
    </row>
    <row r="153" spans="1:58" s="29" customFormat="1" ht="14.25" x14ac:dyDescent="0.2">
      <c r="A153" t="str">
        <f t="shared" si="26"/>
        <v>A96</v>
      </c>
      <c r="B153" s="13" t="s">
        <v>658</v>
      </c>
      <c r="C153">
        <f t="shared" si="27"/>
        <v>81.5</v>
      </c>
      <c r="D153" t="str">
        <f t="shared" si="28"/>
        <v>UFD</v>
      </c>
      <c r="E153" s="169" t="str">
        <f>IF(OR(A153="",B153="",C153=""),"eine der Spalten BAB, FR, km leer?",CONCATENATE(VLOOKUP(VALUE(I153),[1]Grundlage!$A$1:$B$14,2,0),IF(LEFT(A153,1)="A",IF(VALUE(MID(A153,2,10))&lt;10,"A00"&amp;VALUE(MID(A153,2,10)),IF(VALUE(MID(A153,2,10))&lt;100,"A0"&amp;VALUE(MID(A153,2,10)),IF(VALUE(MID(A153,2,10))&lt;1000,"A"&amp;VALUE(MID(A153,2,10))))),IF(LEFT(A153,1)="B",IF(VALUE(MID(A153,2,10))&lt;10,"B00"&amp;VALUE(MID(A153,2,10)),IF(VALUE(MID(A153,2,10))&lt;100,"B0"&amp;VALUE(MID(A153,2,10)),IF(VALUE(MID(A153,2,10))&lt;1000,"B"&amp;VALUE(MID(A153,2,10))))),A153)),"_",IF(NOT(OR(C153=1000,C153&gt;1000)),MID(TEXT((C153+1000)*1000,0),2,6),"keine Meter in Spalte km!!!"),IF(VALUE(I153)=1,CONCATENATE("_",VLOOKUP(IF(V153&gt;0,V153,J153),[1]Grundlage!$A$20:$B$181,2,0)),CONCATENATE("_",B153))))</f>
        <v>UQ_A096_081500_O</v>
      </c>
      <c r="F153" s="2" t="s">
        <v>697</v>
      </c>
      <c r="G153" s="167">
        <f t="shared" si="24"/>
        <v>37528</v>
      </c>
      <c r="H153">
        <f t="shared" si="25"/>
        <v>136</v>
      </c>
      <c r="I153" s="2">
        <f t="shared" si="29"/>
        <v>3</v>
      </c>
      <c r="J153" s="2">
        <f t="shared" si="30"/>
        <v>182</v>
      </c>
      <c r="K153" s="2">
        <v>205</v>
      </c>
      <c r="L153" s="2">
        <f t="shared" si="31"/>
        <v>10</v>
      </c>
      <c r="M153" s="2">
        <f t="shared" si="32"/>
        <v>1</v>
      </c>
      <c r="N153" s="2">
        <f t="shared" si="33"/>
        <v>17</v>
      </c>
      <c r="O153" s="2"/>
      <c r="P153" s="168">
        <v>72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8"/>
      <c r="AT153" s="19">
        <v>3</v>
      </c>
      <c r="AU153" s="14">
        <v>182</v>
      </c>
      <c r="AV153" s="14" t="s">
        <v>422</v>
      </c>
      <c r="AW153" s="13"/>
      <c r="AX153" s="13"/>
      <c r="AY153" s="19">
        <v>1</v>
      </c>
      <c r="AZ153" s="14">
        <v>17</v>
      </c>
      <c r="BA153" s="14">
        <v>11</v>
      </c>
      <c r="BB153" s="13" t="s">
        <v>401</v>
      </c>
      <c r="BC153" s="30"/>
      <c r="BD153" s="30"/>
      <c r="BF153" s="58" t="s">
        <v>532</v>
      </c>
    </row>
    <row r="154" spans="1:58" ht="14.25" x14ac:dyDescent="0.2">
      <c r="A154" t="str">
        <f t="shared" si="26"/>
        <v>A96</v>
      </c>
      <c r="C154">
        <f t="shared" si="27"/>
        <v>81.5</v>
      </c>
      <c r="D154" t="str">
        <f t="shared" si="28"/>
        <v/>
      </c>
      <c r="E154" s="169" t="str">
        <f>IF(OR(A154="",B154="",C154=""),"",CONCATENATE(VLOOKUP(VALUE(I154),[1]Grundlage!$A$1:$B$14,2,0),IF(LEFT(A154,1)="A",IF(VALUE(MID(A154,2,10))&lt;10,"A00"&amp;VALUE(MID(A154,2,10)),IF(VALUE(MID(A154,2,10))&lt;100,"A0"&amp;VALUE(MID(A154,2,10)),IF(VALUE(MID(A154,2,10))&lt;1000,"A"&amp;VALUE(MID(A154,2,10))))),IF(LEFT(A154,1)="B",IF(VALUE(MID(A154,2,10))&lt;10,"B00"&amp;VALUE(MID(A154,2,10)),IF(VALUE(MID(A154,2,10))&lt;100,"B0"&amp;VALUE(MID(A154,2,10)),IF(VALUE(MID(A154,2,10))&lt;1000,"B"&amp;VALUE(MID(A154,2,10))))),A154)),"_",IF(NOT(OR(C154=1000,C154&gt;1000)),MID(TEXT((C154+1000)*1000,0),2,6),"keine Meter in Spalte km!!!"),IF(VALUE(I154)=1,CONCATENATE("_",VLOOKUP(IF(V154&gt;0,V154,J154),[1]Grundlage!$A$20:$B$181,2,0)),CONCATENATE("_",B154))))</f>
        <v/>
      </c>
      <c r="F154" s="2" t="s">
        <v>669</v>
      </c>
      <c r="G154" s="167">
        <f t="shared" si="24"/>
        <v>37528</v>
      </c>
      <c r="H154">
        <f t="shared" si="25"/>
        <v>136</v>
      </c>
      <c r="I154" s="2">
        <f t="shared" si="29"/>
        <v>0</v>
      </c>
      <c r="J154" s="2">
        <f t="shared" si="30"/>
        <v>0</v>
      </c>
      <c r="K154" s="2">
        <v>205</v>
      </c>
      <c r="L154" s="2">
        <f t="shared" si="31"/>
        <v>10</v>
      </c>
      <c r="M154" s="2" t="str">
        <f t="shared" si="32"/>
        <v/>
      </c>
      <c r="N154" s="2" t="str">
        <f t="shared" si="33"/>
        <v/>
      </c>
      <c r="P154" s="168" t="str">
        <f t="shared" si="34"/>
        <v/>
      </c>
      <c r="AT154" s="1"/>
      <c r="AU154" s="11"/>
      <c r="AV154" s="11"/>
      <c r="AZ154" s="14"/>
      <c r="BA154" s="11"/>
    </row>
    <row r="155" spans="1:58" ht="14.25" x14ac:dyDescent="0.2">
      <c r="A155" t="str">
        <f t="shared" si="26"/>
        <v>A96</v>
      </c>
      <c r="B155" s="2" t="s">
        <v>658</v>
      </c>
      <c r="C155">
        <f t="shared" si="27"/>
        <v>95</v>
      </c>
      <c r="D155" t="str">
        <f t="shared" si="28"/>
        <v>SS</v>
      </c>
      <c r="E155" s="169" t="str">
        <f>IF(OR(A155="",B155="",C155=""),"eine der Spalten BAB, FR, km leer?",CONCATENATE(VLOOKUP(VALUE(I155),[1]Grundlage!$A$1:$B$14,2,0),IF(LEFT(A155,1)="A",IF(VALUE(MID(A155,2,10))&lt;10,"A00"&amp;VALUE(MID(A155,2,10)),IF(VALUE(MID(A155,2,10))&lt;100,"A0"&amp;VALUE(MID(A155,2,10)),IF(VALUE(MID(A155,2,10))&lt;1000,"A"&amp;VALUE(MID(A155,2,10))))),IF(LEFT(A155,1)="B",IF(VALUE(MID(A155,2,10))&lt;10,"B00"&amp;VALUE(MID(A155,2,10)),IF(VALUE(MID(A155,2,10))&lt;100,"B0"&amp;VALUE(MID(A155,2,10)),IF(VALUE(MID(A155,2,10))&lt;1000,"B"&amp;VALUE(MID(A155,2,10))))),A155)),"_",IF(NOT(OR(C155=1000,C155&gt;1000)),MID(TEXT((C155+1000)*1000,0),2,6),"keine Meter in Spalte km!!!"),IF(VALUE(I155)=1,CONCATENATE("_",VLOOKUP(IF(V155&gt;0,V155,J155),[1]Grundlage!$A$20:$B$181,2,0)),CONCATENATE("_",B155))))</f>
        <v>SSt_A096_095000_O</v>
      </c>
      <c r="F155" s="2" t="s">
        <v>92</v>
      </c>
      <c r="G155" s="167">
        <f t="shared" si="24"/>
        <v>37529</v>
      </c>
      <c r="H155">
        <f t="shared" si="25"/>
        <v>96</v>
      </c>
      <c r="I155" s="2">
        <f t="shared" si="29"/>
        <v>254</v>
      </c>
      <c r="J155" s="2">
        <f t="shared" si="30"/>
        <v>0</v>
      </c>
      <c r="K155" s="2">
        <v>205</v>
      </c>
      <c r="L155" s="2">
        <f t="shared" si="31"/>
        <v>11</v>
      </c>
      <c r="M155" s="2" t="str">
        <f t="shared" si="32"/>
        <v/>
      </c>
      <c r="N155" s="2" t="str">
        <f t="shared" si="33"/>
        <v/>
      </c>
      <c r="P155" s="168" t="str">
        <f t="shared" si="34"/>
        <v/>
      </c>
      <c r="AI155" s="35">
        <v>95</v>
      </c>
      <c r="AJ155" s="36" t="s">
        <v>19</v>
      </c>
      <c r="AK155" s="36" t="s">
        <v>51</v>
      </c>
      <c r="AL155" s="36"/>
      <c r="AM155" s="36"/>
      <c r="AN155" s="36"/>
      <c r="AO155" s="36"/>
      <c r="AP155" s="36">
        <v>9607520</v>
      </c>
      <c r="AQ155" s="36">
        <v>92</v>
      </c>
      <c r="AR155" s="36">
        <v>99</v>
      </c>
      <c r="AS155" s="36">
        <v>60</v>
      </c>
      <c r="AT155" s="36"/>
      <c r="AU155" s="36"/>
      <c r="AV155" s="36"/>
      <c r="AW155" s="36"/>
      <c r="AX155" s="36">
        <v>11</v>
      </c>
      <c r="AY155" s="36"/>
      <c r="AZ155" s="36"/>
      <c r="BA155" s="36"/>
      <c r="BB155" s="37" t="s">
        <v>92</v>
      </c>
      <c r="BC155" s="38"/>
      <c r="BD155" s="99" t="s">
        <v>163</v>
      </c>
      <c r="BE155" s="39" t="s">
        <v>90</v>
      </c>
      <c r="BF155" s="2" t="s">
        <v>451</v>
      </c>
    </row>
    <row r="156" spans="1:58" ht="14.25" x14ac:dyDescent="0.2">
      <c r="A156" t="str">
        <f t="shared" si="26"/>
        <v>A96</v>
      </c>
      <c r="B156" s="2" t="s">
        <v>658</v>
      </c>
      <c r="C156">
        <f t="shared" si="27"/>
        <v>95</v>
      </c>
      <c r="D156" t="str">
        <f t="shared" si="28"/>
        <v>UFD</v>
      </c>
      <c r="E156" s="169" t="str">
        <f>IF(OR(A156="",B156="",C156=""),"eine der Spalten BAB, FR, km leer?",CONCATENATE(VLOOKUP(VALUE(I156),[1]Grundlage!$A$1:$B$14,2,0),IF(LEFT(A156,1)="A",IF(VALUE(MID(A156,2,10))&lt;10,"A00"&amp;VALUE(MID(A156,2,10)),IF(VALUE(MID(A156,2,10))&lt;100,"A0"&amp;VALUE(MID(A156,2,10)),IF(VALUE(MID(A156,2,10))&lt;1000,"A"&amp;VALUE(MID(A156,2,10))))),IF(LEFT(A156,1)="B",IF(VALUE(MID(A156,2,10))&lt;10,"B00"&amp;VALUE(MID(A156,2,10)),IF(VALUE(MID(A156,2,10))&lt;100,"B0"&amp;VALUE(MID(A156,2,10)),IF(VALUE(MID(A156,2,10))&lt;1000,"B"&amp;VALUE(MID(A156,2,10))))),A156)),"_",IF(NOT(OR(C156=1000,C156&gt;1000)),MID(TEXT((C156+1000)*1000,0),2,6),"keine Meter in Spalte km!!!"),IF(VALUE(I156)=1,CONCATENATE("_",VLOOKUP(IF(V156&gt;0,V156,J156),[1]Grundlage!$A$20:$B$181,2,0)),CONCATENATE("_",B156))))</f>
        <v>UQ_A096_095000_O</v>
      </c>
      <c r="F156" s="2" t="s">
        <v>269</v>
      </c>
      <c r="G156" s="167">
        <f t="shared" si="24"/>
        <v>37529</v>
      </c>
      <c r="H156">
        <f t="shared" si="25"/>
        <v>96</v>
      </c>
      <c r="I156" s="2">
        <f t="shared" si="29"/>
        <v>3</v>
      </c>
      <c r="J156" s="2">
        <f t="shared" si="30"/>
        <v>6</v>
      </c>
      <c r="K156" s="2">
        <v>205</v>
      </c>
      <c r="L156" s="2">
        <f t="shared" si="31"/>
        <v>11</v>
      </c>
      <c r="M156" s="2">
        <f t="shared" si="32"/>
        <v>1</v>
      </c>
      <c r="N156" s="2">
        <f t="shared" si="33"/>
        <v>1</v>
      </c>
      <c r="P156" s="168">
        <f t="shared" si="34"/>
        <v>71</v>
      </c>
      <c r="AR156" s="13"/>
      <c r="AS156" s="13"/>
      <c r="AT156" s="19">
        <v>3</v>
      </c>
      <c r="AU156" s="14">
        <v>6</v>
      </c>
      <c r="AV156" s="27">
        <v>6</v>
      </c>
      <c r="AW156" s="19"/>
      <c r="AX156" s="19"/>
      <c r="AY156" s="19">
        <v>1</v>
      </c>
      <c r="AZ156" s="14">
        <v>1</v>
      </c>
      <c r="BA156" s="27">
        <v>1</v>
      </c>
      <c r="BB156" s="13" t="s">
        <v>269</v>
      </c>
      <c r="BF156" s="2" t="s">
        <v>440</v>
      </c>
    </row>
    <row r="157" spans="1:58" ht="14.25" x14ac:dyDescent="0.2">
      <c r="A157" t="str">
        <f t="shared" si="26"/>
        <v>A96</v>
      </c>
      <c r="B157" s="2" t="s">
        <v>658</v>
      </c>
      <c r="C157">
        <f t="shared" si="27"/>
        <v>95</v>
      </c>
      <c r="D157" t="str">
        <f t="shared" si="28"/>
        <v>UFD</v>
      </c>
      <c r="E157" s="169" t="str">
        <f>IF(OR(A157="",B157="",C157=""),"eine der Spalten BAB, FR, km leer?",CONCATENATE(VLOOKUP(VALUE(I157),[1]Grundlage!$A$1:$B$14,2,0),IF(LEFT(A157,1)="A",IF(VALUE(MID(A157,2,10))&lt;10,"A00"&amp;VALUE(MID(A157,2,10)),IF(VALUE(MID(A157,2,10))&lt;100,"A0"&amp;VALUE(MID(A157,2,10)),IF(VALUE(MID(A157,2,10))&lt;1000,"A"&amp;VALUE(MID(A157,2,10))))),IF(LEFT(A157,1)="B",IF(VALUE(MID(A157,2,10))&lt;10,"B00"&amp;VALUE(MID(A157,2,10)),IF(VALUE(MID(A157,2,10))&lt;100,"B0"&amp;VALUE(MID(A157,2,10)),IF(VALUE(MID(A157,2,10))&lt;1000,"B"&amp;VALUE(MID(A157,2,10))))),A157)),"_",IF(NOT(OR(C157=1000,C157&gt;1000)),MID(TEXT((C157+1000)*1000,0),2,6),"keine Meter in Spalte km!!!"),IF(VALUE(I157)=1,CONCATENATE("_",VLOOKUP(IF(V157&gt;0,V157,J157),[1]Grundlage!$A$20:$B$181,2,0)),CONCATENATE("_",B157))))</f>
        <v>UQ_A096_095000_O</v>
      </c>
      <c r="F157" s="2" t="s">
        <v>270</v>
      </c>
      <c r="G157" s="167">
        <f t="shared" si="24"/>
        <v>37529</v>
      </c>
      <c r="H157">
        <f t="shared" si="25"/>
        <v>96</v>
      </c>
      <c r="I157" s="2">
        <f t="shared" si="29"/>
        <v>3</v>
      </c>
      <c r="J157" s="2">
        <f t="shared" si="30"/>
        <v>11</v>
      </c>
      <c r="K157" s="2">
        <v>205</v>
      </c>
      <c r="L157" s="2">
        <f t="shared" si="31"/>
        <v>11</v>
      </c>
      <c r="M157" s="2">
        <f t="shared" si="32"/>
        <v>1</v>
      </c>
      <c r="N157" s="2">
        <f t="shared" si="33"/>
        <v>2</v>
      </c>
      <c r="P157" s="168">
        <f t="shared" si="34"/>
        <v>70</v>
      </c>
      <c r="AR157" s="13"/>
      <c r="AS157" s="13"/>
      <c r="AT157" s="19">
        <v>3</v>
      </c>
      <c r="AU157" s="14">
        <v>11</v>
      </c>
      <c r="AV157" s="14" t="s">
        <v>78</v>
      </c>
      <c r="AW157" s="13"/>
      <c r="AX157" s="13"/>
      <c r="AY157" s="19">
        <v>1</v>
      </c>
      <c r="AZ157" s="14">
        <v>2</v>
      </c>
      <c r="BA157" s="14">
        <v>2</v>
      </c>
      <c r="BB157" s="13" t="s">
        <v>270</v>
      </c>
      <c r="BF157" s="2" t="s">
        <v>478</v>
      </c>
    </row>
    <row r="158" spans="1:58" ht="14.25" x14ac:dyDescent="0.2">
      <c r="A158" t="str">
        <f t="shared" si="26"/>
        <v>A96</v>
      </c>
      <c r="B158" s="2" t="s">
        <v>658</v>
      </c>
      <c r="C158">
        <f t="shared" si="27"/>
        <v>95</v>
      </c>
      <c r="D158" t="str">
        <f t="shared" si="28"/>
        <v>UFD</v>
      </c>
      <c r="E158" s="169" t="str">
        <f>IF(OR(A158="",B158="",C158=""),"eine der Spalten BAB, FR, km leer?",CONCATENATE(VLOOKUP(VALUE(I158),[1]Grundlage!$A$1:$B$14,2,0),IF(LEFT(A158,1)="A",IF(VALUE(MID(A158,2,10))&lt;10,"A00"&amp;VALUE(MID(A158,2,10)),IF(VALUE(MID(A158,2,10))&lt;100,"A0"&amp;VALUE(MID(A158,2,10)),IF(VALUE(MID(A158,2,10))&lt;1000,"A"&amp;VALUE(MID(A158,2,10))))),IF(LEFT(A158,1)="B",IF(VALUE(MID(A158,2,10))&lt;10,"B00"&amp;VALUE(MID(A158,2,10)),IF(VALUE(MID(A158,2,10))&lt;100,"B0"&amp;VALUE(MID(A158,2,10)),IF(VALUE(MID(A158,2,10))&lt;1000,"B"&amp;VALUE(MID(A158,2,10))))),A158)),"_",IF(NOT(OR(C158=1000,C158&gt;1000)),MID(TEXT((C158+1000)*1000,0),2,6),"keine Meter in Spalte km!!!"),IF(VALUE(I158)=1,CONCATENATE("_",VLOOKUP(IF(V158&gt;0,V158,J158),[1]Grundlage!$A$20:$B$181,2,0)),CONCATENATE("_",B158))))</f>
        <v>UQ_A096_095000_O</v>
      </c>
      <c r="F158" s="2" t="s">
        <v>25</v>
      </c>
      <c r="G158" s="167">
        <f t="shared" si="24"/>
        <v>37529</v>
      </c>
      <c r="H158">
        <f t="shared" si="25"/>
        <v>96</v>
      </c>
      <c r="I158" s="2">
        <f t="shared" si="29"/>
        <v>3</v>
      </c>
      <c r="J158" s="2">
        <f t="shared" si="30"/>
        <v>12</v>
      </c>
      <c r="K158" s="2">
        <v>205</v>
      </c>
      <c r="L158" s="2">
        <f t="shared" si="31"/>
        <v>11</v>
      </c>
      <c r="M158" s="2">
        <f t="shared" si="32"/>
        <v>1</v>
      </c>
      <c r="N158" s="2">
        <f t="shared" si="33"/>
        <v>3</v>
      </c>
      <c r="P158" s="168">
        <f t="shared" si="34"/>
        <v>48</v>
      </c>
      <c r="AT158" s="19">
        <v>3</v>
      </c>
      <c r="AU158" s="14">
        <v>12</v>
      </c>
      <c r="AV158" s="14" t="s">
        <v>79</v>
      </c>
      <c r="AW158" s="13"/>
      <c r="AX158" s="13"/>
      <c r="AY158" s="19">
        <v>1</v>
      </c>
      <c r="AZ158" s="14">
        <f>AZ157+1</f>
        <v>3</v>
      </c>
      <c r="BA158" s="14">
        <f>BA157+1</f>
        <v>3</v>
      </c>
      <c r="BB158" s="13" t="s">
        <v>25</v>
      </c>
      <c r="BF158" s="13" t="s">
        <v>441</v>
      </c>
    </row>
    <row r="159" spans="1:58" ht="14.25" x14ac:dyDescent="0.2">
      <c r="A159" t="str">
        <f t="shared" si="26"/>
        <v>A96</v>
      </c>
      <c r="B159" s="2" t="s">
        <v>658</v>
      </c>
      <c r="C159">
        <f t="shared" si="27"/>
        <v>95</v>
      </c>
      <c r="D159" t="str">
        <f t="shared" si="28"/>
        <v>UFD</v>
      </c>
      <c r="E159" s="169" t="str">
        <f>IF(OR(A159="",B159="",C159=""),"eine der Spalten BAB, FR, km leer?",CONCATENATE(VLOOKUP(VALUE(I159),[1]Grundlage!$A$1:$B$14,2,0),IF(LEFT(A159,1)="A",IF(VALUE(MID(A159,2,10))&lt;10,"A00"&amp;VALUE(MID(A159,2,10)),IF(VALUE(MID(A159,2,10))&lt;100,"A0"&amp;VALUE(MID(A159,2,10)),IF(VALUE(MID(A159,2,10))&lt;1000,"A"&amp;VALUE(MID(A159,2,10))))),IF(LEFT(A159,1)="B",IF(VALUE(MID(A159,2,10))&lt;10,"B00"&amp;VALUE(MID(A159,2,10)),IF(VALUE(MID(A159,2,10))&lt;100,"B0"&amp;VALUE(MID(A159,2,10)),IF(VALUE(MID(A159,2,10))&lt;1000,"B"&amp;VALUE(MID(A159,2,10))))),A159)),"_",IF(NOT(OR(C159=1000,C159&gt;1000)),MID(TEXT((C159+1000)*1000,0),2,6),"keine Meter in Spalte km!!!"),IF(VALUE(I159)=1,CONCATENATE("_",VLOOKUP(IF(V159&gt;0,V159,J159),[1]Grundlage!$A$20:$B$181,2,0)),CONCATENATE("_",B159))))</f>
        <v>UQ_A096_095000_O</v>
      </c>
      <c r="F159" s="2" t="s">
        <v>26</v>
      </c>
      <c r="G159" s="167">
        <f t="shared" si="24"/>
        <v>37529</v>
      </c>
      <c r="H159">
        <f t="shared" si="25"/>
        <v>96</v>
      </c>
      <c r="I159" s="2">
        <f t="shared" si="29"/>
        <v>3</v>
      </c>
      <c r="J159" s="2">
        <f t="shared" si="30"/>
        <v>13</v>
      </c>
      <c r="K159" s="2">
        <v>205</v>
      </c>
      <c r="L159" s="2">
        <f t="shared" si="31"/>
        <v>11</v>
      </c>
      <c r="M159" s="2">
        <f t="shared" si="32"/>
        <v>1</v>
      </c>
      <c r="N159" s="2">
        <f t="shared" si="33"/>
        <v>4</v>
      </c>
      <c r="P159" s="168">
        <f t="shared" si="34"/>
        <v>55</v>
      </c>
      <c r="AT159" s="19">
        <v>3</v>
      </c>
      <c r="AU159" s="14">
        <v>13</v>
      </c>
      <c r="AV159" s="14" t="s">
        <v>80</v>
      </c>
      <c r="AW159" s="13"/>
      <c r="AX159" s="13"/>
      <c r="AY159" s="19">
        <v>1</v>
      </c>
      <c r="AZ159" s="14">
        <f t="shared" ref="AZ159:AZ168" si="35">AZ158+1</f>
        <v>4</v>
      </c>
      <c r="BA159" s="14">
        <f t="shared" ref="BA159:BA164" si="36">BA158+1</f>
        <v>4</v>
      </c>
      <c r="BB159" s="13" t="s">
        <v>26</v>
      </c>
      <c r="BF159" s="13" t="s">
        <v>442</v>
      </c>
    </row>
    <row r="160" spans="1:58" ht="14.25" x14ac:dyDescent="0.2">
      <c r="A160" t="str">
        <f t="shared" si="26"/>
        <v>A96</v>
      </c>
      <c r="B160" s="2" t="s">
        <v>658</v>
      </c>
      <c r="C160">
        <f t="shared" si="27"/>
        <v>95</v>
      </c>
      <c r="D160" t="str">
        <f t="shared" si="28"/>
        <v>UFD</v>
      </c>
      <c r="E160" s="169" t="str">
        <f>IF(OR(A160="",B160="",C160=""),"eine der Spalten BAB, FR, km leer?",CONCATENATE(VLOOKUP(VALUE(I160),[1]Grundlage!$A$1:$B$14,2,0),IF(LEFT(A160,1)="A",IF(VALUE(MID(A160,2,10))&lt;10,"A00"&amp;VALUE(MID(A160,2,10)),IF(VALUE(MID(A160,2,10))&lt;100,"A0"&amp;VALUE(MID(A160,2,10)),IF(VALUE(MID(A160,2,10))&lt;1000,"A"&amp;VALUE(MID(A160,2,10))))),IF(LEFT(A160,1)="B",IF(VALUE(MID(A160,2,10))&lt;10,"B00"&amp;VALUE(MID(A160,2,10)),IF(VALUE(MID(A160,2,10))&lt;100,"B0"&amp;VALUE(MID(A160,2,10)),IF(VALUE(MID(A160,2,10))&lt;1000,"B"&amp;VALUE(MID(A160,2,10))))),A160)),"_",IF(NOT(OR(C160=1000,C160&gt;1000)),MID(TEXT((C160+1000)*1000,0),2,6),"keine Meter in Spalte km!!!"),IF(VALUE(I160)=1,CONCATENATE("_",VLOOKUP(IF(V160&gt;0,V160,J160),[1]Grundlage!$A$20:$B$181,2,0)),CONCATENATE("_",B160))))</f>
        <v>UQ_A096_095000_O</v>
      </c>
      <c r="F160" s="2" t="s">
        <v>27</v>
      </c>
      <c r="G160" s="167">
        <f t="shared" si="24"/>
        <v>37529</v>
      </c>
      <c r="H160">
        <f t="shared" si="25"/>
        <v>96</v>
      </c>
      <c r="I160" s="2">
        <f t="shared" si="29"/>
        <v>3</v>
      </c>
      <c r="J160" s="2">
        <f t="shared" si="30"/>
        <v>14</v>
      </c>
      <c r="K160" s="2">
        <v>205</v>
      </c>
      <c r="L160" s="2">
        <f t="shared" si="31"/>
        <v>11</v>
      </c>
      <c r="M160" s="2">
        <f t="shared" si="32"/>
        <v>1</v>
      </c>
      <c r="N160" s="2">
        <f t="shared" si="33"/>
        <v>5</v>
      </c>
      <c r="P160" s="168">
        <f t="shared" si="34"/>
        <v>66</v>
      </c>
      <c r="AT160" s="19">
        <v>3</v>
      </c>
      <c r="AU160" s="14">
        <v>14</v>
      </c>
      <c r="AV160" s="14" t="s">
        <v>81</v>
      </c>
      <c r="AW160" s="13"/>
      <c r="AX160" s="13"/>
      <c r="AY160" s="19">
        <v>1</v>
      </c>
      <c r="AZ160" s="14">
        <f t="shared" si="35"/>
        <v>5</v>
      </c>
      <c r="BA160" s="14">
        <f t="shared" si="36"/>
        <v>5</v>
      </c>
      <c r="BB160" s="13" t="s">
        <v>27</v>
      </c>
      <c r="BF160" s="13" t="s">
        <v>443</v>
      </c>
    </row>
    <row r="161" spans="1:58" ht="14.25" x14ac:dyDescent="0.2">
      <c r="A161" t="str">
        <f t="shared" si="26"/>
        <v>A96</v>
      </c>
      <c r="B161" s="2" t="s">
        <v>658</v>
      </c>
      <c r="C161">
        <f t="shared" si="27"/>
        <v>95</v>
      </c>
      <c r="D161" t="str">
        <f t="shared" si="28"/>
        <v>UFD</v>
      </c>
      <c r="E161" s="169" t="str">
        <f>IF(OR(A161="",B161="",C161=""),"eine der Spalten BAB, FR, km leer?",CONCATENATE(VLOOKUP(VALUE(I161),[1]Grundlage!$A$1:$B$14,2,0),IF(LEFT(A161,1)="A",IF(VALUE(MID(A161,2,10))&lt;10,"A00"&amp;VALUE(MID(A161,2,10)),IF(VALUE(MID(A161,2,10))&lt;100,"A0"&amp;VALUE(MID(A161,2,10)),IF(VALUE(MID(A161,2,10))&lt;1000,"A"&amp;VALUE(MID(A161,2,10))))),IF(LEFT(A161,1)="B",IF(VALUE(MID(A161,2,10))&lt;10,"B00"&amp;VALUE(MID(A161,2,10)),IF(VALUE(MID(A161,2,10))&lt;100,"B0"&amp;VALUE(MID(A161,2,10)),IF(VALUE(MID(A161,2,10))&lt;1000,"B"&amp;VALUE(MID(A161,2,10))))),A161)),"_",IF(NOT(OR(C161=1000,C161&gt;1000)),MID(TEXT((C161+1000)*1000,0),2,6),"keine Meter in Spalte km!!!"),IF(VALUE(I161)=1,CONCATENATE("_",VLOOKUP(IF(V161&gt;0,V161,J161),[1]Grundlage!$A$20:$B$181,2,0)),CONCATENATE("_",B161))))</f>
        <v>UQ_A096_095000_O</v>
      </c>
      <c r="F161" s="2" t="s">
        <v>28</v>
      </c>
      <c r="G161" s="167">
        <f t="shared" si="24"/>
        <v>37529</v>
      </c>
      <c r="H161">
        <f t="shared" si="25"/>
        <v>96</v>
      </c>
      <c r="I161" s="2">
        <f t="shared" si="29"/>
        <v>3</v>
      </c>
      <c r="J161" s="2">
        <f t="shared" si="30"/>
        <v>15</v>
      </c>
      <c r="K161" s="2">
        <v>205</v>
      </c>
      <c r="L161" s="2">
        <f t="shared" si="31"/>
        <v>11</v>
      </c>
      <c r="M161" s="2">
        <f t="shared" si="32"/>
        <v>1</v>
      </c>
      <c r="N161" s="2">
        <f t="shared" si="33"/>
        <v>6</v>
      </c>
      <c r="P161" s="168">
        <f t="shared" si="34"/>
        <v>65</v>
      </c>
      <c r="AT161" s="19">
        <v>3</v>
      </c>
      <c r="AU161" s="14">
        <v>15</v>
      </c>
      <c r="AV161" s="14" t="s">
        <v>82</v>
      </c>
      <c r="AW161" s="13"/>
      <c r="AX161" s="13"/>
      <c r="AY161" s="19">
        <v>1</v>
      </c>
      <c r="AZ161" s="14">
        <f t="shared" si="35"/>
        <v>6</v>
      </c>
      <c r="BA161" s="14">
        <f t="shared" si="36"/>
        <v>6</v>
      </c>
      <c r="BB161" s="13" t="s">
        <v>28</v>
      </c>
      <c r="BF161" s="13" t="s">
        <v>482</v>
      </c>
    </row>
    <row r="162" spans="1:58" ht="14.25" x14ac:dyDescent="0.2">
      <c r="A162" t="str">
        <f t="shared" si="26"/>
        <v>A96</v>
      </c>
      <c r="B162" s="2" t="s">
        <v>658</v>
      </c>
      <c r="C162">
        <f t="shared" si="27"/>
        <v>95</v>
      </c>
      <c r="D162" t="str">
        <f t="shared" si="28"/>
        <v>UFD</v>
      </c>
      <c r="E162" s="169" t="str">
        <f>IF(OR(A162="",B162="",C162=""),"eine der Spalten BAB, FR, km leer?",CONCATENATE(VLOOKUP(VALUE(I162),[1]Grundlage!$A$1:$B$14,2,0),IF(LEFT(A162,1)="A",IF(VALUE(MID(A162,2,10))&lt;10,"A00"&amp;VALUE(MID(A162,2,10)),IF(VALUE(MID(A162,2,10))&lt;100,"A0"&amp;VALUE(MID(A162,2,10)),IF(VALUE(MID(A162,2,10))&lt;1000,"A"&amp;VALUE(MID(A162,2,10))))),IF(LEFT(A162,1)="B",IF(VALUE(MID(A162,2,10))&lt;10,"B00"&amp;VALUE(MID(A162,2,10)),IF(VALUE(MID(A162,2,10))&lt;100,"B0"&amp;VALUE(MID(A162,2,10)),IF(VALUE(MID(A162,2,10))&lt;1000,"B"&amp;VALUE(MID(A162,2,10))))),A162)),"_",IF(NOT(OR(C162=1000,C162&gt;1000)),MID(TEXT((C162+1000)*1000,0),2,6),"keine Meter in Spalte km!!!"),IF(VALUE(I162)=1,CONCATENATE("_",VLOOKUP(IF(V162&gt;0,V162,J162),[1]Grundlage!$A$20:$B$181,2,0)),CONCATENATE("_",B162))))</f>
        <v>UQ_A096_095000_O</v>
      </c>
      <c r="F162" s="2" t="s">
        <v>29</v>
      </c>
      <c r="G162" s="167">
        <f t="shared" si="24"/>
        <v>37529</v>
      </c>
      <c r="H162">
        <f t="shared" si="25"/>
        <v>96</v>
      </c>
      <c r="I162" s="2">
        <f t="shared" si="29"/>
        <v>3</v>
      </c>
      <c r="J162" s="2">
        <f t="shared" si="30"/>
        <v>19</v>
      </c>
      <c r="K162" s="2">
        <v>205</v>
      </c>
      <c r="L162" s="2">
        <f t="shared" si="31"/>
        <v>11</v>
      </c>
      <c r="M162" s="2">
        <f t="shared" si="32"/>
        <v>1</v>
      </c>
      <c r="N162" s="2">
        <f t="shared" si="33"/>
        <v>7</v>
      </c>
      <c r="P162" s="168">
        <f t="shared" si="34"/>
        <v>49</v>
      </c>
      <c r="AT162" s="19">
        <v>3</v>
      </c>
      <c r="AU162" s="14">
        <v>19</v>
      </c>
      <c r="AV162" s="14">
        <v>13</v>
      </c>
      <c r="AW162" s="13"/>
      <c r="AX162" s="13"/>
      <c r="AY162" s="19">
        <v>1</v>
      </c>
      <c r="AZ162" s="14">
        <f t="shared" si="35"/>
        <v>7</v>
      </c>
      <c r="BA162" s="14">
        <f t="shared" si="36"/>
        <v>7</v>
      </c>
      <c r="BB162" s="13" t="s">
        <v>29</v>
      </c>
      <c r="BF162" s="13" t="s">
        <v>479</v>
      </c>
    </row>
    <row r="163" spans="1:58" ht="14.25" x14ac:dyDescent="0.2">
      <c r="A163" t="str">
        <f t="shared" si="26"/>
        <v>A96</v>
      </c>
      <c r="B163" s="2" t="s">
        <v>658</v>
      </c>
      <c r="C163">
        <f t="shared" si="27"/>
        <v>95</v>
      </c>
      <c r="D163" t="str">
        <f t="shared" si="28"/>
        <v>UFD</v>
      </c>
      <c r="E163" s="169" t="str">
        <f>IF(OR(A163="",B163="",C163=""),"eine der Spalten BAB, FR, km leer?",CONCATENATE(VLOOKUP(VALUE(I163),[1]Grundlage!$A$1:$B$14,2,0),IF(LEFT(A163,1)="A",IF(VALUE(MID(A163,2,10))&lt;10,"A00"&amp;VALUE(MID(A163,2,10)),IF(VALUE(MID(A163,2,10))&lt;100,"A0"&amp;VALUE(MID(A163,2,10)),IF(VALUE(MID(A163,2,10))&lt;1000,"A"&amp;VALUE(MID(A163,2,10))))),IF(LEFT(A163,1)="B",IF(VALUE(MID(A163,2,10))&lt;10,"B00"&amp;VALUE(MID(A163,2,10)),IF(VALUE(MID(A163,2,10))&lt;100,"B0"&amp;VALUE(MID(A163,2,10)),IF(VALUE(MID(A163,2,10))&lt;1000,"B"&amp;VALUE(MID(A163,2,10))))),A163)),"_",IF(NOT(OR(C163=1000,C163&gt;1000)),MID(TEXT((C163+1000)*1000,0),2,6),"keine Meter in Spalte km!!!"),IF(VALUE(I163)=1,CONCATENATE("_",VLOOKUP(IF(V163&gt;0,V163,J163),[1]Grundlage!$A$20:$B$181,2,0)),CONCATENATE("_",B163))))</f>
        <v>UQ_A096_095000_O</v>
      </c>
      <c r="F163" s="2" t="s">
        <v>30</v>
      </c>
      <c r="G163" s="167">
        <f t="shared" si="24"/>
        <v>37529</v>
      </c>
      <c r="H163">
        <f t="shared" si="25"/>
        <v>96</v>
      </c>
      <c r="I163" s="2">
        <f t="shared" si="29"/>
        <v>3</v>
      </c>
      <c r="J163" s="2">
        <f t="shared" si="30"/>
        <v>21</v>
      </c>
      <c r="K163" s="2">
        <v>205</v>
      </c>
      <c r="L163" s="2">
        <f t="shared" si="31"/>
        <v>11</v>
      </c>
      <c r="M163" s="2">
        <f t="shared" si="32"/>
        <v>1</v>
      </c>
      <c r="N163" s="2">
        <f t="shared" si="33"/>
        <v>8</v>
      </c>
      <c r="P163" s="168">
        <f t="shared" si="34"/>
        <v>67</v>
      </c>
      <c r="AT163" s="19">
        <v>3</v>
      </c>
      <c r="AU163" s="14">
        <v>21</v>
      </c>
      <c r="AV163" s="14">
        <v>15</v>
      </c>
      <c r="AW163" s="13"/>
      <c r="AX163" s="13"/>
      <c r="AY163" s="19">
        <v>1</v>
      </c>
      <c r="AZ163" s="14">
        <f t="shared" si="35"/>
        <v>8</v>
      </c>
      <c r="BA163" s="14">
        <f t="shared" si="36"/>
        <v>8</v>
      </c>
      <c r="BB163" s="13" t="s">
        <v>30</v>
      </c>
      <c r="BF163" s="13" t="s">
        <v>480</v>
      </c>
    </row>
    <row r="164" spans="1:58" ht="14.25" x14ac:dyDescent="0.2">
      <c r="A164" t="str">
        <f t="shared" si="26"/>
        <v>A96</v>
      </c>
      <c r="B164" s="2" t="s">
        <v>658</v>
      </c>
      <c r="C164">
        <f t="shared" si="27"/>
        <v>95</v>
      </c>
      <c r="D164" t="str">
        <f t="shared" si="28"/>
        <v>UFD</v>
      </c>
      <c r="E164" s="169" t="str">
        <f>IF(OR(A164="",B164="",C164=""),"eine der Spalten BAB, FR, km leer?",CONCATENATE(VLOOKUP(VALUE(I164),[1]Grundlage!$A$1:$B$14,2,0),IF(LEFT(A164,1)="A",IF(VALUE(MID(A164,2,10))&lt;10,"A00"&amp;VALUE(MID(A164,2,10)),IF(VALUE(MID(A164,2,10))&lt;100,"A0"&amp;VALUE(MID(A164,2,10)),IF(VALUE(MID(A164,2,10))&lt;1000,"A"&amp;VALUE(MID(A164,2,10))))),IF(LEFT(A164,1)="B",IF(VALUE(MID(A164,2,10))&lt;10,"B00"&amp;VALUE(MID(A164,2,10)),IF(VALUE(MID(A164,2,10))&lt;100,"B0"&amp;VALUE(MID(A164,2,10)),IF(VALUE(MID(A164,2,10))&lt;1000,"B"&amp;VALUE(MID(A164,2,10))))),A164)),"_",IF(NOT(OR(C164=1000,C164&gt;1000)),MID(TEXT((C164+1000)*1000,0),2,6),"keine Meter in Spalte km!!!"),IF(VALUE(I164)=1,CONCATENATE("_",VLOOKUP(IF(V164&gt;0,V164,J164),[1]Grundlage!$A$20:$B$181,2,0)),CONCATENATE("_",B164))))</f>
        <v>UQ_A096_095000_O</v>
      </c>
      <c r="F164" s="2" t="s">
        <v>41</v>
      </c>
      <c r="G164" s="167">
        <f t="shared" si="24"/>
        <v>37529</v>
      </c>
      <c r="H164">
        <f t="shared" si="25"/>
        <v>96</v>
      </c>
      <c r="I164" s="2">
        <f t="shared" si="29"/>
        <v>3</v>
      </c>
      <c r="J164" s="2">
        <f t="shared" si="30"/>
        <v>24</v>
      </c>
      <c r="K164" s="2">
        <v>205</v>
      </c>
      <c r="L164" s="2">
        <f t="shared" si="31"/>
        <v>11</v>
      </c>
      <c r="M164" s="2">
        <f t="shared" si="32"/>
        <v>1</v>
      </c>
      <c r="N164" s="2">
        <f t="shared" si="33"/>
        <v>9</v>
      </c>
      <c r="P164" s="168">
        <f t="shared" si="34"/>
        <v>69</v>
      </c>
      <c r="AT164" s="19">
        <v>3</v>
      </c>
      <c r="AU164" s="14">
        <v>24</v>
      </c>
      <c r="AV164" s="14">
        <v>18</v>
      </c>
      <c r="AW164" s="13"/>
      <c r="AX164" s="13"/>
      <c r="AY164" s="19">
        <v>1</v>
      </c>
      <c r="AZ164" s="14">
        <f t="shared" si="35"/>
        <v>9</v>
      </c>
      <c r="BA164" s="14">
        <f t="shared" si="36"/>
        <v>9</v>
      </c>
      <c r="BB164" s="13" t="s">
        <v>41</v>
      </c>
      <c r="BF164" s="13" t="s">
        <v>465</v>
      </c>
    </row>
    <row r="165" spans="1:58" ht="14.25" x14ac:dyDescent="0.2">
      <c r="A165" t="str">
        <f t="shared" si="26"/>
        <v>A96</v>
      </c>
      <c r="B165" s="2" t="s">
        <v>658</v>
      </c>
      <c r="C165">
        <f t="shared" si="27"/>
        <v>95</v>
      </c>
      <c r="D165" t="str">
        <f t="shared" si="28"/>
        <v>UFD</v>
      </c>
      <c r="E165" s="169" t="str">
        <f>IF(OR(A165="",B165="",C165=""),"eine der Spalten BAB, FR, km leer?",CONCATENATE(VLOOKUP(VALUE(I165),[1]Grundlage!$A$1:$B$14,2,0),IF(LEFT(A165,1)="A",IF(VALUE(MID(A165,2,10))&lt;10,"A00"&amp;VALUE(MID(A165,2,10)),IF(VALUE(MID(A165,2,10))&lt;100,"A0"&amp;VALUE(MID(A165,2,10)),IF(VALUE(MID(A165,2,10))&lt;1000,"A"&amp;VALUE(MID(A165,2,10))))),IF(LEFT(A165,1)="B",IF(VALUE(MID(A165,2,10))&lt;10,"B00"&amp;VALUE(MID(A165,2,10)),IF(VALUE(MID(A165,2,10))&lt;100,"B0"&amp;VALUE(MID(A165,2,10)),IF(VALUE(MID(A165,2,10))&lt;1000,"B"&amp;VALUE(MID(A165,2,10))))),A165)),"_",IF(NOT(OR(C165=1000,C165&gt;1000)),MID(TEXT((C165+1000)*1000,0),2,6),"keine Meter in Spalte km!!!"),IF(VALUE(I165)=1,CONCATENATE("_",VLOOKUP(IF(V165&gt;0,V165,J165),[1]Grundlage!$A$20:$B$181,2,0)),CONCATENATE("_",B165))))</f>
        <v>UQ_A096_095000_O</v>
      </c>
      <c r="F165" s="2" t="s">
        <v>42</v>
      </c>
      <c r="G165" s="167">
        <f t="shared" si="24"/>
        <v>37529</v>
      </c>
      <c r="H165">
        <f t="shared" si="25"/>
        <v>96</v>
      </c>
      <c r="I165" s="2">
        <f t="shared" si="29"/>
        <v>3</v>
      </c>
      <c r="J165" s="2">
        <f t="shared" si="30"/>
        <v>25</v>
      </c>
      <c r="K165" s="2">
        <v>205</v>
      </c>
      <c r="L165" s="2">
        <f t="shared" si="31"/>
        <v>11</v>
      </c>
      <c r="M165" s="2">
        <f t="shared" si="32"/>
        <v>1</v>
      </c>
      <c r="N165" s="2">
        <f t="shared" si="33"/>
        <v>10</v>
      </c>
      <c r="P165" s="168">
        <f>IF(AT165&lt;&gt;3,"",IF(BB165="Helligkeitssensor",61,IF(BB165="Helligkeit",61,IF(BB166="Lichtsensor",61,IF(BB165="Lufttemperatur",48,IF(BB165="Niederschlagsart",71,IF(BB165="Niederschlagsintensität",53,IF(BB165="relative Luftfeuchte RLF",55,IF(BB165="Sichtweite",60,IF(BB165="Sichtweite 1",60,IF(BB165="Zustand der Fahrbahnoberfläche FBZ",79,IF(BB165="Wasserfilmdicke WFD",72,IF(BB165="Clusterkanal FG3","",IF(BB165="Gefriertemperatur GT",65,IF(BB165="Fahrbahnoberflächentemperatur FBT",49,IF(BB165="Windrichtung  Typ 56 ",56,VALUE(RIGHT(BB165,2))))))))))))))))))</f>
        <v>56</v>
      </c>
      <c r="AT165" s="19">
        <v>3</v>
      </c>
      <c r="AU165" s="14">
        <v>25</v>
      </c>
      <c r="AV165" s="14">
        <v>19</v>
      </c>
      <c r="AW165" s="13"/>
      <c r="AX165" s="13"/>
      <c r="AY165" s="19">
        <v>1</v>
      </c>
      <c r="AZ165" s="14">
        <f t="shared" si="35"/>
        <v>10</v>
      </c>
      <c r="BA165" s="14" t="s">
        <v>95</v>
      </c>
      <c r="BB165" s="13" t="s">
        <v>42</v>
      </c>
      <c r="BF165" s="13" t="s">
        <v>515</v>
      </c>
    </row>
    <row r="166" spans="1:58" ht="14.25" x14ac:dyDescent="0.2">
      <c r="A166" t="str">
        <f t="shared" si="26"/>
        <v>A96</v>
      </c>
      <c r="B166" s="2" t="s">
        <v>658</v>
      </c>
      <c r="C166">
        <f t="shared" si="27"/>
        <v>95</v>
      </c>
      <c r="D166" t="str">
        <f t="shared" si="28"/>
        <v>UFD</v>
      </c>
      <c r="E166" s="169" t="str">
        <f>IF(OR(A166="",B166="",C166=""),"eine der Spalten BAB, FR, km leer?",CONCATENATE(VLOOKUP(VALUE(I166),[1]Grundlage!$A$1:$B$14,2,0),IF(LEFT(A166,1)="A",IF(VALUE(MID(A166,2,10))&lt;10,"A00"&amp;VALUE(MID(A166,2,10)),IF(VALUE(MID(A166,2,10))&lt;100,"A0"&amp;VALUE(MID(A166,2,10)),IF(VALUE(MID(A166,2,10))&lt;1000,"A"&amp;VALUE(MID(A166,2,10))))),IF(LEFT(A166,1)="B",IF(VALUE(MID(A166,2,10))&lt;10,"B00"&amp;VALUE(MID(A166,2,10)),IF(VALUE(MID(A166,2,10))&lt;100,"B0"&amp;VALUE(MID(A166,2,10)),IF(VALUE(MID(A166,2,10))&lt;1000,"B"&amp;VALUE(MID(A166,2,10))))),A166)),"_",IF(NOT(OR(C166=1000,C166&gt;1000)),MID(TEXT((C166+1000)*1000,0),2,6),"keine Meter in Spalte km!!!"),IF(VALUE(I166)=1,CONCATENATE("_",VLOOKUP(IF(V166&gt;0,V166,J166),[1]Grundlage!$A$20:$B$181,2,0)),CONCATENATE("_",B166))))</f>
        <v>UQ_A096_095000_O</v>
      </c>
      <c r="F166" s="2" t="s">
        <v>43</v>
      </c>
      <c r="G166" s="167">
        <f t="shared" si="24"/>
        <v>37529</v>
      </c>
      <c r="H166">
        <f t="shared" si="25"/>
        <v>96</v>
      </c>
      <c r="I166" s="2">
        <f t="shared" si="29"/>
        <v>3</v>
      </c>
      <c r="J166" s="2">
        <f t="shared" si="30"/>
        <v>26</v>
      </c>
      <c r="K166" s="2">
        <v>205</v>
      </c>
      <c r="L166" s="2">
        <f t="shared" si="31"/>
        <v>11</v>
      </c>
      <c r="M166" s="2">
        <f t="shared" si="32"/>
        <v>1</v>
      </c>
      <c r="N166" s="2">
        <f t="shared" si="33"/>
        <v>11</v>
      </c>
      <c r="P166" s="168">
        <f t="shared" si="34"/>
        <v>57</v>
      </c>
      <c r="AT166" s="19">
        <v>3</v>
      </c>
      <c r="AU166" s="14">
        <v>26</v>
      </c>
      <c r="AV166" s="14" t="s">
        <v>86</v>
      </c>
      <c r="AW166" s="13"/>
      <c r="AX166" s="13"/>
      <c r="AY166" s="19">
        <v>1</v>
      </c>
      <c r="AZ166" s="14">
        <f t="shared" si="35"/>
        <v>11</v>
      </c>
      <c r="BA166" s="14" t="s">
        <v>78</v>
      </c>
      <c r="BB166" s="13" t="s">
        <v>43</v>
      </c>
      <c r="BF166" s="13" t="s">
        <v>446</v>
      </c>
    </row>
    <row r="167" spans="1:58" ht="14.25" x14ac:dyDescent="0.2">
      <c r="A167" t="str">
        <f t="shared" si="26"/>
        <v>A96</v>
      </c>
      <c r="B167" s="2" t="s">
        <v>658</v>
      </c>
      <c r="C167">
        <f t="shared" si="27"/>
        <v>95</v>
      </c>
      <c r="D167" t="str">
        <f t="shared" si="28"/>
        <v>UFD</v>
      </c>
      <c r="E167" s="169" t="str">
        <f>IF(OR(A167="",B167="",C167=""),"eine der Spalten BAB, FR, km leer?",CONCATENATE(VLOOKUP(VALUE(I167),[1]Grundlage!$A$1:$B$14,2,0),IF(LEFT(A167,1)="A",IF(VALUE(MID(A167,2,10))&lt;10,"A00"&amp;VALUE(MID(A167,2,10)),IF(VALUE(MID(A167,2,10))&lt;100,"A0"&amp;VALUE(MID(A167,2,10)),IF(VALUE(MID(A167,2,10))&lt;1000,"A"&amp;VALUE(MID(A167,2,10))))),IF(LEFT(A167,1)="B",IF(VALUE(MID(A167,2,10))&lt;10,"B00"&amp;VALUE(MID(A167,2,10)),IF(VALUE(MID(A167,2,10))&lt;100,"B0"&amp;VALUE(MID(A167,2,10)),IF(VALUE(MID(A167,2,10))&lt;1000,"B"&amp;VALUE(MID(A167,2,10))))),A167)),"_",IF(NOT(OR(C167=1000,C167&gt;1000)),MID(TEXT((C167+1000)*1000,0),2,6),"keine Meter in Spalte km!!!"),IF(VALUE(I167)=1,CONCATENATE("_",VLOOKUP(IF(V167&gt;0,V167,J167),[1]Grundlage!$A$20:$B$181,2,0)),CONCATENATE("_",B167))))</f>
        <v>UQ_A096_095000_O</v>
      </c>
      <c r="F167" s="2" t="s">
        <v>271</v>
      </c>
      <c r="G167" s="167">
        <f t="shared" ref="G167:G230" si="37">IF(ISBLANK(AP167),G166,INT(AP167/256))</f>
        <v>37529</v>
      </c>
      <c r="H167">
        <f t="shared" ref="H167:H230" si="38">IF(ISBLANK(AP167),H166,MOD(AP167,256))</f>
        <v>96</v>
      </c>
      <c r="I167" s="2">
        <f t="shared" si="29"/>
        <v>3</v>
      </c>
      <c r="J167" s="2">
        <f t="shared" si="30"/>
        <v>67</v>
      </c>
      <c r="K167" s="2">
        <v>205</v>
      </c>
      <c r="L167" s="2">
        <f t="shared" si="31"/>
        <v>11</v>
      </c>
      <c r="M167" s="2">
        <f t="shared" si="32"/>
        <v>1</v>
      </c>
      <c r="N167" s="2">
        <f t="shared" si="33"/>
        <v>12</v>
      </c>
      <c r="P167" s="168">
        <f t="shared" si="34"/>
        <v>53</v>
      </c>
      <c r="AT167" s="19">
        <v>3</v>
      </c>
      <c r="AU167" s="14">
        <v>67</v>
      </c>
      <c r="AV167" s="14">
        <v>43</v>
      </c>
      <c r="AW167" s="13"/>
      <c r="AX167" s="13"/>
      <c r="AY167" s="19">
        <v>1</v>
      </c>
      <c r="AZ167" s="14">
        <f t="shared" si="35"/>
        <v>12</v>
      </c>
      <c r="BA167" s="14" t="s">
        <v>79</v>
      </c>
      <c r="BB167" s="13" t="s">
        <v>271</v>
      </c>
      <c r="BF167" s="13" t="s">
        <v>444</v>
      </c>
    </row>
    <row r="168" spans="1:58" ht="14.25" x14ac:dyDescent="0.2">
      <c r="A168" t="str">
        <f t="shared" si="26"/>
        <v>A96</v>
      </c>
      <c r="B168" s="2" t="s">
        <v>658</v>
      </c>
      <c r="C168">
        <f t="shared" si="27"/>
        <v>95</v>
      </c>
      <c r="D168" t="str">
        <f t="shared" si="28"/>
        <v>UFD</v>
      </c>
      <c r="E168" s="169" t="str">
        <f>IF(OR(A168="",B168="",C168=""),"eine der Spalten BAB, FR, km leer?",CONCATENATE(VLOOKUP(VALUE(I168),[1]Grundlage!$A$1:$B$14,2,0),IF(LEFT(A168,1)="A",IF(VALUE(MID(A168,2,10))&lt;10,"A00"&amp;VALUE(MID(A168,2,10)),IF(VALUE(MID(A168,2,10))&lt;100,"A0"&amp;VALUE(MID(A168,2,10)),IF(VALUE(MID(A168,2,10))&lt;1000,"A"&amp;VALUE(MID(A168,2,10))))),IF(LEFT(A168,1)="B",IF(VALUE(MID(A168,2,10))&lt;10,"B00"&amp;VALUE(MID(A168,2,10)),IF(VALUE(MID(A168,2,10))&lt;100,"B0"&amp;VALUE(MID(A168,2,10)),IF(VALUE(MID(A168,2,10))&lt;1000,"B"&amp;VALUE(MID(A168,2,10))))),A168)),"_",IF(NOT(OR(C168=1000,C168&gt;1000)),MID(TEXT((C168+1000)*1000,0),2,6),"keine Meter in Spalte km!!!"),IF(VALUE(I168)=1,CONCATENATE("_",VLOOKUP(IF(V168&gt;0,V168,J168),[1]Grundlage!$A$20:$B$181,2,0)),CONCATENATE("_",B168))))</f>
        <v>UQ_A096_095000_O</v>
      </c>
      <c r="F168" s="2" t="s">
        <v>272</v>
      </c>
      <c r="G168" s="167">
        <f t="shared" si="37"/>
        <v>37529</v>
      </c>
      <c r="H168">
        <f t="shared" si="38"/>
        <v>96</v>
      </c>
      <c r="I168" s="2">
        <f t="shared" si="29"/>
        <v>3</v>
      </c>
      <c r="J168" s="2">
        <f t="shared" si="30"/>
        <v>82</v>
      </c>
      <c r="K168" s="2">
        <v>205</v>
      </c>
      <c r="L168" s="2">
        <f t="shared" si="31"/>
        <v>11</v>
      </c>
      <c r="M168" s="2">
        <f t="shared" si="32"/>
        <v>1</v>
      </c>
      <c r="N168" s="2">
        <f t="shared" si="33"/>
        <v>13</v>
      </c>
      <c r="P168" s="168">
        <f t="shared" si="34"/>
        <v>72</v>
      </c>
      <c r="AT168" s="19">
        <v>3</v>
      </c>
      <c r="AU168" s="14">
        <v>82</v>
      </c>
      <c r="AV168" s="14">
        <v>52</v>
      </c>
      <c r="AW168" s="13"/>
      <c r="AX168" s="13"/>
      <c r="AY168" s="19">
        <v>1</v>
      </c>
      <c r="AZ168" s="14">
        <f t="shared" si="35"/>
        <v>13</v>
      </c>
      <c r="BA168" s="14" t="s">
        <v>80</v>
      </c>
      <c r="BB168" s="13" t="s">
        <v>272</v>
      </c>
      <c r="BF168" s="13" t="s">
        <v>481</v>
      </c>
    </row>
    <row r="169" spans="1:58" ht="14.25" x14ac:dyDescent="0.2">
      <c r="A169" t="str">
        <f t="shared" si="26"/>
        <v>A96</v>
      </c>
      <c r="C169">
        <f t="shared" si="27"/>
        <v>95</v>
      </c>
      <c r="D169" t="str">
        <f t="shared" si="28"/>
        <v/>
      </c>
      <c r="E169" s="169" t="str">
        <f>IF(OR(A169="",B169="",C169=""),"",CONCATENATE(VLOOKUP(VALUE(I169),[1]Grundlage!$A$1:$B$14,2,0),IF(LEFT(A169,1)="A",IF(VALUE(MID(A169,2,10))&lt;10,"A00"&amp;VALUE(MID(A169,2,10)),IF(VALUE(MID(A169,2,10))&lt;100,"A0"&amp;VALUE(MID(A169,2,10)),IF(VALUE(MID(A169,2,10))&lt;1000,"A"&amp;VALUE(MID(A169,2,10))))),IF(LEFT(A169,1)="B",IF(VALUE(MID(A169,2,10))&lt;10,"B00"&amp;VALUE(MID(A169,2,10)),IF(VALUE(MID(A169,2,10))&lt;100,"B0"&amp;VALUE(MID(A169,2,10)),IF(VALUE(MID(A169,2,10))&lt;1000,"B"&amp;VALUE(MID(A169,2,10))))),A169)),"_",IF(NOT(OR(C169=1000,C169&gt;1000)),MID(TEXT((C169+1000)*1000,0),2,6),"keine Meter in Spalte km!!!"),IF(VALUE(I169)=1,CONCATENATE("_",VLOOKUP(IF(V169&gt;0,V169,J169),[1]Grundlage!$A$20:$B$181,2,0)),CONCATENATE("_",B169))))</f>
        <v/>
      </c>
      <c r="F169" s="2" t="s">
        <v>669</v>
      </c>
      <c r="G169" s="167">
        <f t="shared" si="37"/>
        <v>37529</v>
      </c>
      <c r="H169">
        <f t="shared" si="38"/>
        <v>96</v>
      </c>
      <c r="I169" s="2">
        <f t="shared" si="29"/>
        <v>0</v>
      </c>
      <c r="J169" s="2">
        <f t="shared" si="30"/>
        <v>0</v>
      </c>
      <c r="K169" s="2">
        <v>205</v>
      </c>
      <c r="L169" s="2">
        <f t="shared" si="31"/>
        <v>11</v>
      </c>
      <c r="M169" s="2" t="str">
        <f t="shared" si="32"/>
        <v/>
      </c>
      <c r="N169" s="2" t="str">
        <f t="shared" si="33"/>
        <v/>
      </c>
      <c r="P169" s="168" t="str">
        <f t="shared" si="34"/>
        <v/>
      </c>
      <c r="AT169" s="1"/>
      <c r="AU169" s="11"/>
      <c r="AV169" s="11"/>
      <c r="AY169" s="1"/>
      <c r="AZ169" s="11"/>
      <c r="BA169" s="11"/>
    </row>
    <row r="170" spans="1:58" ht="14.25" x14ac:dyDescent="0.2">
      <c r="A170" t="str">
        <f t="shared" si="26"/>
        <v>A7</v>
      </c>
      <c r="B170" s="2" t="s">
        <v>655</v>
      </c>
      <c r="C170">
        <f t="shared" si="27"/>
        <v>881.55</v>
      </c>
      <c r="D170" t="str">
        <f t="shared" si="28"/>
        <v>SS</v>
      </c>
      <c r="E170" s="169" t="str">
        <f>IF(OR(A170="",B170="",C170=""),"eine der Spalten BAB, FR, km leer?",CONCATENATE(VLOOKUP(VALUE(I170),[1]Grundlage!$A$1:$B$14,2,0),IF(LEFT(A170,1)="A",IF(VALUE(MID(A170,2,10))&lt;10,"A00"&amp;VALUE(MID(A170,2,10)),IF(VALUE(MID(A170,2,10))&lt;100,"A0"&amp;VALUE(MID(A170,2,10)),IF(VALUE(MID(A170,2,10))&lt;1000,"A"&amp;VALUE(MID(A170,2,10))))),IF(LEFT(A170,1)="B",IF(VALUE(MID(A170,2,10))&lt;10,"B00"&amp;VALUE(MID(A170,2,10)),IF(VALUE(MID(A170,2,10))&lt;100,"B0"&amp;VALUE(MID(A170,2,10)),IF(VALUE(MID(A170,2,10))&lt;1000,"B"&amp;VALUE(MID(A170,2,10))))),A170)),"_",IF(NOT(OR(C170=1000,C170&gt;1000)),MID(TEXT((C170+1000)*1000,0),2,6),"keine Meter in Spalte km!!!"),IF(VALUE(I170)=1,CONCATENATE("_",VLOOKUP(IF(V170&gt;0,V170,J170),[1]Grundlage!$A$20:$B$181,2,0)),CONCATENATE("_",B170))))</f>
        <v>SSt_A007_881550_S</v>
      </c>
      <c r="F170" s="2" t="s">
        <v>199</v>
      </c>
      <c r="G170" s="167">
        <f t="shared" si="37"/>
        <v>2802</v>
      </c>
      <c r="H170">
        <f t="shared" si="38"/>
        <v>147</v>
      </c>
      <c r="I170" s="2">
        <f t="shared" si="29"/>
        <v>254</v>
      </c>
      <c r="J170" s="2">
        <f t="shared" si="30"/>
        <v>0</v>
      </c>
      <c r="K170" s="2">
        <v>205</v>
      </c>
      <c r="L170" s="2">
        <f t="shared" si="31"/>
        <v>14</v>
      </c>
      <c r="M170" s="2" t="str">
        <f t="shared" si="32"/>
        <v/>
      </c>
      <c r="N170" s="2" t="str">
        <f t="shared" si="33"/>
        <v/>
      </c>
      <c r="P170" s="168" t="str">
        <f t="shared" si="34"/>
        <v/>
      </c>
      <c r="AI170" s="35">
        <v>881.55</v>
      </c>
      <c r="AJ170" s="36" t="s">
        <v>19</v>
      </c>
      <c r="AK170" s="36" t="s">
        <v>31</v>
      </c>
      <c r="AL170" s="36"/>
      <c r="AM170" s="36"/>
      <c r="AN170" s="36"/>
      <c r="AO170" s="36"/>
      <c r="AP170" s="45">
        <v>717459</v>
      </c>
      <c r="AQ170" s="42" t="s">
        <v>95</v>
      </c>
      <c r="AR170" s="42" t="s">
        <v>285</v>
      </c>
      <c r="AS170" s="42">
        <v>93</v>
      </c>
      <c r="AT170" s="36"/>
      <c r="AU170" s="36"/>
      <c r="AV170" s="36"/>
      <c r="AW170" s="36"/>
      <c r="AX170" s="36">
        <v>14</v>
      </c>
      <c r="AY170" s="36"/>
      <c r="AZ170" s="36"/>
      <c r="BA170" s="36"/>
      <c r="BB170" s="37" t="s">
        <v>199</v>
      </c>
      <c r="BC170" s="38"/>
      <c r="BD170" s="71" t="s">
        <v>163</v>
      </c>
      <c r="BE170" s="39" t="s">
        <v>200</v>
      </c>
      <c r="BF170" s="2" t="s">
        <v>452</v>
      </c>
    </row>
    <row r="171" spans="1:58" ht="14.25" x14ac:dyDescent="0.2">
      <c r="A171" t="str">
        <f t="shared" si="26"/>
        <v>A7</v>
      </c>
      <c r="B171" s="2" t="s">
        <v>655</v>
      </c>
      <c r="C171">
        <f t="shared" si="27"/>
        <v>881.55</v>
      </c>
      <c r="D171" t="str">
        <f t="shared" si="28"/>
        <v>UFD</v>
      </c>
      <c r="E171" s="169" t="str">
        <f>IF(OR(A171="",B171="",C171=""),"eine der Spalten BAB, FR, km leer?",CONCATENATE(VLOOKUP(VALUE(I171),[1]Grundlage!$A$1:$B$14,2,0),IF(LEFT(A171,1)="A",IF(VALUE(MID(A171,2,10))&lt;10,"A00"&amp;VALUE(MID(A171,2,10)),IF(VALUE(MID(A171,2,10))&lt;100,"A0"&amp;VALUE(MID(A171,2,10)),IF(VALUE(MID(A171,2,10))&lt;1000,"A"&amp;VALUE(MID(A171,2,10))))),IF(LEFT(A171,1)="B",IF(VALUE(MID(A171,2,10))&lt;10,"B00"&amp;VALUE(MID(A171,2,10)),IF(VALUE(MID(A171,2,10))&lt;100,"B0"&amp;VALUE(MID(A171,2,10)),IF(VALUE(MID(A171,2,10))&lt;1000,"B"&amp;VALUE(MID(A171,2,10))))),A171)),"_",IF(NOT(OR(C171=1000,C171&gt;1000)),MID(TEXT((C171+1000)*1000,0),2,6),"keine Meter in Spalte km!!!"),IF(VALUE(I171)=1,CONCATENATE("_",VLOOKUP(IF(V171&gt;0,V171,J171),[1]Grundlage!$A$20:$B$181,2,0)),CONCATENATE("_",B171))))</f>
        <v>UQ_A007_881550_S</v>
      </c>
      <c r="F171" s="2" t="s">
        <v>269</v>
      </c>
      <c r="G171" s="167">
        <f t="shared" si="37"/>
        <v>2802</v>
      </c>
      <c r="H171">
        <f t="shared" si="38"/>
        <v>147</v>
      </c>
      <c r="I171" s="2">
        <f t="shared" si="29"/>
        <v>3</v>
      </c>
      <c r="J171" s="2">
        <f t="shared" si="30"/>
        <v>6</v>
      </c>
      <c r="K171" s="2">
        <v>205</v>
      </c>
      <c r="L171" s="2">
        <f t="shared" si="31"/>
        <v>14</v>
      </c>
      <c r="M171" s="2">
        <f t="shared" si="32"/>
        <v>1</v>
      </c>
      <c r="N171" s="2">
        <f t="shared" si="33"/>
        <v>1</v>
      </c>
      <c r="P171" s="168">
        <f t="shared" si="34"/>
        <v>71</v>
      </c>
      <c r="AI171" s="21"/>
      <c r="AJ171" s="13"/>
      <c r="AK171" s="13"/>
      <c r="AL171" s="13"/>
      <c r="AM171" s="13"/>
      <c r="AN171" s="13"/>
      <c r="AO171" s="13"/>
      <c r="AP171" s="77"/>
      <c r="AQ171" s="77"/>
      <c r="AR171" s="77"/>
      <c r="AS171" s="77"/>
      <c r="AT171" s="19">
        <v>3</v>
      </c>
      <c r="AU171" s="14">
        <v>6</v>
      </c>
      <c r="AV171" s="27">
        <v>6</v>
      </c>
      <c r="AW171" s="19"/>
      <c r="AX171" s="19"/>
      <c r="AY171" s="19">
        <v>1</v>
      </c>
      <c r="AZ171" s="14">
        <v>1</v>
      </c>
      <c r="BA171" s="27">
        <v>1</v>
      </c>
      <c r="BB171" s="13" t="s">
        <v>269</v>
      </c>
      <c r="BC171" s="25"/>
      <c r="BD171" s="25"/>
      <c r="BE171" s="13"/>
      <c r="BF171" s="2" t="s">
        <v>440</v>
      </c>
    </row>
    <row r="172" spans="1:58" ht="14.25" x14ac:dyDescent="0.2">
      <c r="A172" t="str">
        <f t="shared" si="26"/>
        <v>A7</v>
      </c>
      <c r="B172" s="2" t="s">
        <v>655</v>
      </c>
      <c r="C172">
        <f t="shared" si="27"/>
        <v>881.55</v>
      </c>
      <c r="D172" t="str">
        <f t="shared" si="28"/>
        <v>UFD</v>
      </c>
      <c r="E172" s="169" t="str">
        <f>IF(OR(A172="",B172="",C172=""),"eine der Spalten BAB, FR, km leer?",CONCATENATE(VLOOKUP(VALUE(I172),[1]Grundlage!$A$1:$B$14,2,0),IF(LEFT(A172,1)="A",IF(VALUE(MID(A172,2,10))&lt;10,"A00"&amp;VALUE(MID(A172,2,10)),IF(VALUE(MID(A172,2,10))&lt;100,"A0"&amp;VALUE(MID(A172,2,10)),IF(VALUE(MID(A172,2,10))&lt;1000,"A"&amp;VALUE(MID(A172,2,10))))),IF(LEFT(A172,1)="B",IF(VALUE(MID(A172,2,10))&lt;10,"B00"&amp;VALUE(MID(A172,2,10)),IF(VALUE(MID(A172,2,10))&lt;100,"B0"&amp;VALUE(MID(A172,2,10)),IF(VALUE(MID(A172,2,10))&lt;1000,"B"&amp;VALUE(MID(A172,2,10))))),A172)),"_",IF(NOT(OR(C172=1000,C172&gt;1000)),MID(TEXT((C172+1000)*1000,0),2,6),"keine Meter in Spalte km!!!"),IF(VALUE(I172)=1,CONCATENATE("_",VLOOKUP(IF(V172&gt;0,V172,J172),[1]Grundlage!$A$20:$B$181,2,0)),CONCATENATE("_",B172))))</f>
        <v>UQ_A007_881550_S</v>
      </c>
      <c r="F172" s="2" t="s">
        <v>270</v>
      </c>
      <c r="G172" s="167">
        <f t="shared" si="37"/>
        <v>2802</v>
      </c>
      <c r="H172">
        <f t="shared" si="38"/>
        <v>147</v>
      </c>
      <c r="I172" s="2">
        <f t="shared" si="29"/>
        <v>3</v>
      </c>
      <c r="J172" s="2">
        <f t="shared" si="30"/>
        <v>11</v>
      </c>
      <c r="K172" s="2">
        <v>205</v>
      </c>
      <c r="L172" s="2">
        <f t="shared" si="31"/>
        <v>14</v>
      </c>
      <c r="M172" s="2">
        <f t="shared" si="32"/>
        <v>1</v>
      </c>
      <c r="N172" s="2">
        <f t="shared" si="33"/>
        <v>2</v>
      </c>
      <c r="P172" s="168">
        <f t="shared" si="34"/>
        <v>70</v>
      </c>
      <c r="AI172" s="21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9">
        <v>3</v>
      </c>
      <c r="AU172" s="14">
        <v>11</v>
      </c>
      <c r="AV172" s="14" t="s">
        <v>78</v>
      </c>
      <c r="AW172" s="13"/>
      <c r="AX172" s="13"/>
      <c r="AY172" s="19">
        <v>1</v>
      </c>
      <c r="AZ172" s="14">
        <v>2</v>
      </c>
      <c r="BA172" s="14">
        <v>2</v>
      </c>
      <c r="BB172" s="13" t="s">
        <v>270</v>
      </c>
      <c r="BC172" s="25"/>
      <c r="BD172" s="25"/>
      <c r="BE172" s="13"/>
      <c r="BF172" s="2" t="s">
        <v>520</v>
      </c>
    </row>
    <row r="173" spans="1:58" ht="14.25" x14ac:dyDescent="0.2">
      <c r="A173" t="str">
        <f t="shared" si="26"/>
        <v>A7</v>
      </c>
      <c r="B173" s="2" t="s">
        <v>655</v>
      </c>
      <c r="C173">
        <f t="shared" si="27"/>
        <v>881.55</v>
      </c>
      <c r="D173" t="str">
        <f t="shared" si="28"/>
        <v>UFD</v>
      </c>
      <c r="E173" s="169" t="str">
        <f>IF(OR(A173="",B173="",C173=""),"eine der Spalten BAB, FR, km leer?",CONCATENATE(VLOOKUP(VALUE(I173),[1]Grundlage!$A$1:$B$14,2,0),IF(LEFT(A173,1)="A",IF(VALUE(MID(A173,2,10))&lt;10,"A00"&amp;VALUE(MID(A173,2,10)),IF(VALUE(MID(A173,2,10))&lt;100,"A0"&amp;VALUE(MID(A173,2,10)),IF(VALUE(MID(A173,2,10))&lt;1000,"A"&amp;VALUE(MID(A173,2,10))))),IF(LEFT(A173,1)="B",IF(VALUE(MID(A173,2,10))&lt;10,"B00"&amp;VALUE(MID(A173,2,10)),IF(VALUE(MID(A173,2,10))&lt;100,"B0"&amp;VALUE(MID(A173,2,10)),IF(VALUE(MID(A173,2,10))&lt;1000,"B"&amp;VALUE(MID(A173,2,10))))),A173)),"_",IF(NOT(OR(C173=1000,C173&gt;1000)),MID(TEXT((C173+1000)*1000,0),2,6),"keine Meter in Spalte km!!!"),IF(VALUE(I173)=1,CONCATENATE("_",VLOOKUP(IF(V173&gt;0,V173,J173),[1]Grundlage!$A$20:$B$181,2,0)),CONCATENATE("_",B173))))</f>
        <v>UQ_A007_881550_S</v>
      </c>
      <c r="F173" s="2" t="s">
        <v>25</v>
      </c>
      <c r="G173" s="167">
        <f t="shared" si="37"/>
        <v>2802</v>
      </c>
      <c r="H173">
        <f t="shared" si="38"/>
        <v>147</v>
      </c>
      <c r="I173" s="2">
        <f t="shared" si="29"/>
        <v>3</v>
      </c>
      <c r="J173" s="2">
        <f t="shared" si="30"/>
        <v>12</v>
      </c>
      <c r="K173" s="2">
        <v>205</v>
      </c>
      <c r="L173" s="2">
        <f t="shared" si="31"/>
        <v>14</v>
      </c>
      <c r="M173" s="2">
        <f t="shared" si="32"/>
        <v>1</v>
      </c>
      <c r="N173" s="2">
        <f t="shared" si="33"/>
        <v>3</v>
      </c>
      <c r="P173" s="168">
        <f t="shared" si="34"/>
        <v>48</v>
      </c>
      <c r="AI173" s="21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9">
        <v>3</v>
      </c>
      <c r="AU173" s="14">
        <v>12</v>
      </c>
      <c r="AV173" s="14" t="s">
        <v>79</v>
      </c>
      <c r="AW173" s="13"/>
      <c r="AX173" s="13"/>
      <c r="AY173" s="19">
        <v>1</v>
      </c>
      <c r="AZ173" s="14">
        <v>3</v>
      </c>
      <c r="BA173" s="14">
        <v>3</v>
      </c>
      <c r="BB173" s="13" t="s">
        <v>25</v>
      </c>
      <c r="BC173" s="25"/>
      <c r="BD173" s="25"/>
      <c r="BE173" s="13"/>
      <c r="BF173" s="13" t="s">
        <v>441</v>
      </c>
    </row>
    <row r="174" spans="1:58" ht="14.25" x14ac:dyDescent="0.2">
      <c r="A174" t="str">
        <f t="shared" si="26"/>
        <v>A7</v>
      </c>
      <c r="B174" s="2" t="s">
        <v>655</v>
      </c>
      <c r="C174">
        <f t="shared" si="27"/>
        <v>881.55</v>
      </c>
      <c r="D174" t="str">
        <f t="shared" si="28"/>
        <v>UFD</v>
      </c>
      <c r="E174" s="169" t="str">
        <f>IF(OR(A174="",B174="",C174=""),"eine der Spalten BAB, FR, km leer?",CONCATENATE(VLOOKUP(VALUE(I174),[1]Grundlage!$A$1:$B$14,2,0),IF(LEFT(A174,1)="A",IF(VALUE(MID(A174,2,10))&lt;10,"A00"&amp;VALUE(MID(A174,2,10)),IF(VALUE(MID(A174,2,10))&lt;100,"A0"&amp;VALUE(MID(A174,2,10)),IF(VALUE(MID(A174,2,10))&lt;1000,"A"&amp;VALUE(MID(A174,2,10))))),IF(LEFT(A174,1)="B",IF(VALUE(MID(A174,2,10))&lt;10,"B00"&amp;VALUE(MID(A174,2,10)),IF(VALUE(MID(A174,2,10))&lt;100,"B0"&amp;VALUE(MID(A174,2,10)),IF(VALUE(MID(A174,2,10))&lt;1000,"B"&amp;VALUE(MID(A174,2,10))))),A174)),"_",IF(NOT(OR(C174=1000,C174&gt;1000)),MID(TEXT((C174+1000)*1000,0),2,6),"keine Meter in Spalte km!!!"),IF(VALUE(I174)=1,CONCATENATE("_",VLOOKUP(IF(V174&gt;0,V174,J174),[1]Grundlage!$A$20:$B$181,2,0)),CONCATENATE("_",B174))))</f>
        <v>UQ_A007_881550_S</v>
      </c>
      <c r="F174" s="2" t="s">
        <v>26</v>
      </c>
      <c r="G174" s="167">
        <f t="shared" si="37"/>
        <v>2802</v>
      </c>
      <c r="H174">
        <f t="shared" si="38"/>
        <v>147</v>
      </c>
      <c r="I174" s="2">
        <f t="shared" si="29"/>
        <v>3</v>
      </c>
      <c r="J174" s="2">
        <f t="shared" si="30"/>
        <v>13</v>
      </c>
      <c r="K174" s="2">
        <v>205</v>
      </c>
      <c r="L174" s="2">
        <f t="shared" si="31"/>
        <v>14</v>
      </c>
      <c r="M174" s="2">
        <f t="shared" si="32"/>
        <v>1</v>
      </c>
      <c r="N174" s="2">
        <f t="shared" si="33"/>
        <v>4</v>
      </c>
      <c r="P174" s="168">
        <f t="shared" si="34"/>
        <v>55</v>
      </c>
      <c r="AI174" s="21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9">
        <v>3</v>
      </c>
      <c r="AU174" s="14">
        <v>13</v>
      </c>
      <c r="AV174" s="14" t="s">
        <v>80</v>
      </c>
      <c r="AW174" s="13"/>
      <c r="AX174" s="13"/>
      <c r="AY174" s="19">
        <v>1</v>
      </c>
      <c r="AZ174" s="14">
        <v>4</v>
      </c>
      <c r="BA174" s="14">
        <v>4</v>
      </c>
      <c r="BB174" s="13" t="s">
        <v>26</v>
      </c>
      <c r="BC174" s="25"/>
      <c r="BD174" s="25"/>
      <c r="BE174" s="13"/>
      <c r="BF174" s="13" t="s">
        <v>442</v>
      </c>
    </row>
    <row r="175" spans="1:58" ht="14.25" x14ac:dyDescent="0.2">
      <c r="A175" t="str">
        <f t="shared" si="26"/>
        <v>A7</v>
      </c>
      <c r="B175" s="2" t="s">
        <v>655</v>
      </c>
      <c r="C175">
        <f t="shared" si="27"/>
        <v>881.55</v>
      </c>
      <c r="D175" t="str">
        <f t="shared" si="28"/>
        <v>UFD</v>
      </c>
      <c r="E175" s="169" t="str">
        <f>IF(OR(A175="",B175="",C175=""),"eine der Spalten BAB, FR, km leer?",CONCATENATE(VLOOKUP(VALUE(I175),[1]Grundlage!$A$1:$B$14,2,0),IF(LEFT(A175,1)="A",IF(VALUE(MID(A175,2,10))&lt;10,"A00"&amp;VALUE(MID(A175,2,10)),IF(VALUE(MID(A175,2,10))&lt;100,"A0"&amp;VALUE(MID(A175,2,10)),IF(VALUE(MID(A175,2,10))&lt;1000,"A"&amp;VALUE(MID(A175,2,10))))),IF(LEFT(A175,1)="B",IF(VALUE(MID(A175,2,10))&lt;10,"B00"&amp;VALUE(MID(A175,2,10)),IF(VALUE(MID(A175,2,10))&lt;100,"B0"&amp;VALUE(MID(A175,2,10)),IF(VALUE(MID(A175,2,10))&lt;1000,"B"&amp;VALUE(MID(A175,2,10))))),A175)),"_",IF(NOT(OR(C175=1000,C175&gt;1000)),MID(TEXT((C175+1000)*1000,0),2,6),"keine Meter in Spalte km!!!"),IF(VALUE(I175)=1,CONCATENATE("_",VLOOKUP(IF(V175&gt;0,V175,J175),[1]Grundlage!$A$20:$B$181,2,0)),CONCATENATE("_",B175))))</f>
        <v>UQ_A007_881550_S</v>
      </c>
      <c r="F175" s="2" t="s">
        <v>27</v>
      </c>
      <c r="G175" s="167">
        <f t="shared" si="37"/>
        <v>2802</v>
      </c>
      <c r="H175">
        <f t="shared" si="38"/>
        <v>147</v>
      </c>
      <c r="I175" s="2">
        <f t="shared" si="29"/>
        <v>3</v>
      </c>
      <c r="J175" s="2">
        <f t="shared" si="30"/>
        <v>14</v>
      </c>
      <c r="K175" s="2">
        <v>205</v>
      </c>
      <c r="L175" s="2">
        <f t="shared" si="31"/>
        <v>14</v>
      </c>
      <c r="M175" s="2">
        <f t="shared" si="32"/>
        <v>1</v>
      </c>
      <c r="N175" s="2">
        <f t="shared" si="33"/>
        <v>5</v>
      </c>
      <c r="P175" s="168">
        <f t="shared" si="34"/>
        <v>66</v>
      </c>
      <c r="AI175" s="21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9">
        <v>3</v>
      </c>
      <c r="AU175" s="14">
        <v>14</v>
      </c>
      <c r="AV175" s="14" t="s">
        <v>81</v>
      </c>
      <c r="AW175" s="13"/>
      <c r="AX175" s="13"/>
      <c r="AY175" s="19">
        <v>1</v>
      </c>
      <c r="AZ175" s="14">
        <v>5</v>
      </c>
      <c r="BA175" s="14">
        <v>5</v>
      </c>
      <c r="BB175" s="13" t="s">
        <v>27</v>
      </c>
      <c r="BC175" s="25"/>
      <c r="BD175" s="25"/>
      <c r="BE175" s="13"/>
      <c r="BF175" s="13" t="s">
        <v>443</v>
      </c>
    </row>
    <row r="176" spans="1:58" ht="14.25" x14ac:dyDescent="0.2">
      <c r="A176" t="str">
        <f t="shared" si="26"/>
        <v>A7</v>
      </c>
      <c r="B176" s="2" t="s">
        <v>655</v>
      </c>
      <c r="C176">
        <f t="shared" si="27"/>
        <v>881.55</v>
      </c>
      <c r="D176" t="str">
        <f t="shared" si="28"/>
        <v>UFD</v>
      </c>
      <c r="E176" s="169" t="str">
        <f>IF(OR(A176="",B176="",C176=""),"eine der Spalten BAB, FR, km leer?",CONCATENATE(VLOOKUP(VALUE(I176),[1]Grundlage!$A$1:$B$14,2,0),IF(LEFT(A176,1)="A",IF(VALUE(MID(A176,2,10))&lt;10,"A00"&amp;VALUE(MID(A176,2,10)),IF(VALUE(MID(A176,2,10))&lt;100,"A0"&amp;VALUE(MID(A176,2,10)),IF(VALUE(MID(A176,2,10))&lt;1000,"A"&amp;VALUE(MID(A176,2,10))))),IF(LEFT(A176,1)="B",IF(VALUE(MID(A176,2,10))&lt;10,"B00"&amp;VALUE(MID(A176,2,10)),IF(VALUE(MID(A176,2,10))&lt;100,"B0"&amp;VALUE(MID(A176,2,10)),IF(VALUE(MID(A176,2,10))&lt;1000,"B"&amp;VALUE(MID(A176,2,10))))),A176)),"_",IF(NOT(OR(C176=1000,C176&gt;1000)),MID(TEXT((C176+1000)*1000,0),2,6),"keine Meter in Spalte km!!!"),IF(VALUE(I176)=1,CONCATENATE("_",VLOOKUP(IF(V176&gt;0,V176,J176),[1]Grundlage!$A$20:$B$181,2,0)),CONCATENATE("_",B176))))</f>
        <v>UQ_A007_881550_S</v>
      </c>
      <c r="F176" s="2" t="s">
        <v>28</v>
      </c>
      <c r="G176" s="167">
        <f t="shared" si="37"/>
        <v>2802</v>
      </c>
      <c r="H176">
        <f t="shared" si="38"/>
        <v>147</v>
      </c>
      <c r="I176" s="2">
        <f t="shared" si="29"/>
        <v>3</v>
      </c>
      <c r="J176" s="2">
        <f t="shared" si="30"/>
        <v>15</v>
      </c>
      <c r="K176" s="2">
        <v>205</v>
      </c>
      <c r="L176" s="2">
        <f t="shared" si="31"/>
        <v>14</v>
      </c>
      <c r="M176" s="2">
        <f t="shared" si="32"/>
        <v>1</v>
      </c>
      <c r="N176" s="2">
        <f t="shared" si="33"/>
        <v>6</v>
      </c>
      <c r="P176" s="168">
        <f t="shared" si="34"/>
        <v>65</v>
      </c>
      <c r="AI176" s="21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9">
        <v>3</v>
      </c>
      <c r="AU176" s="14">
        <v>15</v>
      </c>
      <c r="AV176" s="14" t="s">
        <v>82</v>
      </c>
      <c r="AW176" s="13"/>
      <c r="AX176" s="13"/>
      <c r="AY176" s="19">
        <v>1</v>
      </c>
      <c r="AZ176" s="14">
        <v>6</v>
      </c>
      <c r="BA176" s="14">
        <v>6</v>
      </c>
      <c r="BB176" s="13" t="s">
        <v>28</v>
      </c>
      <c r="BC176" s="25"/>
      <c r="BD176" s="25"/>
      <c r="BE176" s="13"/>
      <c r="BF176" s="13" t="s">
        <v>516</v>
      </c>
    </row>
    <row r="177" spans="1:58" ht="14.25" x14ac:dyDescent="0.2">
      <c r="A177" t="str">
        <f t="shared" si="26"/>
        <v>A7</v>
      </c>
      <c r="B177" s="2" t="s">
        <v>655</v>
      </c>
      <c r="C177">
        <f t="shared" si="27"/>
        <v>881.55</v>
      </c>
      <c r="D177" t="str">
        <f t="shared" si="28"/>
        <v>UFD</v>
      </c>
      <c r="E177" s="169" t="str">
        <f>IF(OR(A177="",B177="",C177=""),"eine der Spalten BAB, FR, km leer?",CONCATENATE(VLOOKUP(VALUE(I177),[1]Grundlage!$A$1:$B$14,2,0),IF(LEFT(A177,1)="A",IF(VALUE(MID(A177,2,10))&lt;10,"A00"&amp;VALUE(MID(A177,2,10)),IF(VALUE(MID(A177,2,10))&lt;100,"A0"&amp;VALUE(MID(A177,2,10)),IF(VALUE(MID(A177,2,10))&lt;1000,"A"&amp;VALUE(MID(A177,2,10))))),IF(LEFT(A177,1)="B",IF(VALUE(MID(A177,2,10))&lt;10,"B00"&amp;VALUE(MID(A177,2,10)),IF(VALUE(MID(A177,2,10))&lt;100,"B0"&amp;VALUE(MID(A177,2,10)),IF(VALUE(MID(A177,2,10))&lt;1000,"B"&amp;VALUE(MID(A177,2,10))))),A177)),"_",IF(NOT(OR(C177=1000,C177&gt;1000)),MID(TEXT((C177+1000)*1000,0),2,6),"keine Meter in Spalte km!!!"),IF(VALUE(I177)=1,CONCATENATE("_",VLOOKUP(IF(V177&gt;0,V177,J177),[1]Grundlage!$A$20:$B$181,2,0)),CONCATENATE("_",B177))))</f>
        <v>UQ_A007_881550_S</v>
      </c>
      <c r="F177" s="2" t="s">
        <v>29</v>
      </c>
      <c r="G177" s="167">
        <f t="shared" si="37"/>
        <v>2802</v>
      </c>
      <c r="H177">
        <f t="shared" si="38"/>
        <v>147</v>
      </c>
      <c r="I177" s="2">
        <f t="shared" si="29"/>
        <v>3</v>
      </c>
      <c r="J177" s="2">
        <f t="shared" si="30"/>
        <v>19</v>
      </c>
      <c r="K177" s="2">
        <v>205</v>
      </c>
      <c r="L177" s="2">
        <f t="shared" si="31"/>
        <v>14</v>
      </c>
      <c r="M177" s="2">
        <f t="shared" si="32"/>
        <v>1</v>
      </c>
      <c r="N177" s="2">
        <f t="shared" si="33"/>
        <v>7</v>
      </c>
      <c r="P177" s="168">
        <f t="shared" si="34"/>
        <v>49</v>
      </c>
      <c r="AI177" s="21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9">
        <v>3</v>
      </c>
      <c r="AU177" s="14">
        <v>19</v>
      </c>
      <c r="AV177" s="14">
        <v>13</v>
      </c>
      <c r="AW177" s="13"/>
      <c r="AX177" s="13"/>
      <c r="AY177" s="19">
        <v>1</v>
      </c>
      <c r="AZ177" s="14">
        <v>7</v>
      </c>
      <c r="BA177" s="14">
        <v>7</v>
      </c>
      <c r="BB177" s="13" t="s">
        <v>29</v>
      </c>
      <c r="BC177" s="25"/>
      <c r="BD177" s="25"/>
      <c r="BE177" s="13"/>
      <c r="BF177" s="13" t="s">
        <v>517</v>
      </c>
    </row>
    <row r="178" spans="1:58" ht="14.25" x14ac:dyDescent="0.2">
      <c r="A178" t="str">
        <f t="shared" si="26"/>
        <v>A7</v>
      </c>
      <c r="B178" s="2" t="s">
        <v>655</v>
      </c>
      <c r="C178">
        <f t="shared" si="27"/>
        <v>881.55</v>
      </c>
      <c r="D178" t="str">
        <f t="shared" si="28"/>
        <v>UFD</v>
      </c>
      <c r="E178" s="169" t="str">
        <f>IF(OR(A178="",B178="",C178=""),"eine der Spalten BAB, FR, km leer?",CONCATENATE(VLOOKUP(VALUE(I178),[1]Grundlage!$A$1:$B$14,2,0),IF(LEFT(A178,1)="A",IF(VALUE(MID(A178,2,10))&lt;10,"A00"&amp;VALUE(MID(A178,2,10)),IF(VALUE(MID(A178,2,10))&lt;100,"A0"&amp;VALUE(MID(A178,2,10)),IF(VALUE(MID(A178,2,10))&lt;1000,"A"&amp;VALUE(MID(A178,2,10))))),IF(LEFT(A178,1)="B",IF(VALUE(MID(A178,2,10))&lt;10,"B00"&amp;VALUE(MID(A178,2,10)),IF(VALUE(MID(A178,2,10))&lt;100,"B0"&amp;VALUE(MID(A178,2,10)),IF(VALUE(MID(A178,2,10))&lt;1000,"B"&amp;VALUE(MID(A178,2,10))))),A178)),"_",IF(NOT(OR(C178=1000,C178&gt;1000)),MID(TEXT((C178+1000)*1000,0),2,6),"keine Meter in Spalte km!!!"),IF(VALUE(I178)=1,CONCATENATE("_",VLOOKUP(IF(V178&gt;0,V178,J178),[1]Grundlage!$A$20:$B$181,2,0)),CONCATENATE("_",B178))))</f>
        <v>UQ_A007_881550_S</v>
      </c>
      <c r="F178" s="2" t="s">
        <v>30</v>
      </c>
      <c r="G178" s="167">
        <f t="shared" si="37"/>
        <v>2802</v>
      </c>
      <c r="H178">
        <f t="shared" si="38"/>
        <v>147</v>
      </c>
      <c r="I178" s="2">
        <f t="shared" si="29"/>
        <v>3</v>
      </c>
      <c r="J178" s="2">
        <f t="shared" si="30"/>
        <v>21</v>
      </c>
      <c r="K178" s="2">
        <v>205</v>
      </c>
      <c r="L178" s="2">
        <f t="shared" si="31"/>
        <v>14</v>
      </c>
      <c r="M178" s="2">
        <f t="shared" si="32"/>
        <v>1</v>
      </c>
      <c r="N178" s="2">
        <f t="shared" si="33"/>
        <v>8</v>
      </c>
      <c r="P178" s="168">
        <f t="shared" si="34"/>
        <v>67</v>
      </c>
      <c r="AI178" s="21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9">
        <v>3</v>
      </c>
      <c r="AU178" s="14">
        <v>21</v>
      </c>
      <c r="AV178" s="14">
        <v>15</v>
      </c>
      <c r="AW178" s="13"/>
      <c r="AX178" s="13"/>
      <c r="AY178" s="19">
        <v>1</v>
      </c>
      <c r="AZ178" s="14">
        <v>8</v>
      </c>
      <c r="BA178" s="14">
        <v>8</v>
      </c>
      <c r="BB178" s="13" t="s">
        <v>30</v>
      </c>
      <c r="BC178" s="25"/>
      <c r="BD178" s="25"/>
      <c r="BE178" s="13"/>
      <c r="BF178" s="13" t="s">
        <v>518</v>
      </c>
    </row>
    <row r="179" spans="1:58" ht="14.25" x14ac:dyDescent="0.2">
      <c r="A179" t="str">
        <f t="shared" si="26"/>
        <v>A7</v>
      </c>
      <c r="B179" s="2" t="s">
        <v>655</v>
      </c>
      <c r="C179">
        <f t="shared" si="27"/>
        <v>881.55</v>
      </c>
      <c r="D179" t="str">
        <f t="shared" si="28"/>
        <v>UFD</v>
      </c>
      <c r="E179" s="169" t="str">
        <f>IF(OR(A179="",B179="",C179=""),"eine der Spalten BAB, FR, km leer?",CONCATENATE(VLOOKUP(VALUE(I179),[1]Grundlage!$A$1:$B$14,2,0),IF(LEFT(A179,1)="A",IF(VALUE(MID(A179,2,10))&lt;10,"A00"&amp;VALUE(MID(A179,2,10)),IF(VALUE(MID(A179,2,10))&lt;100,"A0"&amp;VALUE(MID(A179,2,10)),IF(VALUE(MID(A179,2,10))&lt;1000,"A"&amp;VALUE(MID(A179,2,10))))),IF(LEFT(A179,1)="B",IF(VALUE(MID(A179,2,10))&lt;10,"B00"&amp;VALUE(MID(A179,2,10)),IF(VALUE(MID(A179,2,10))&lt;100,"B0"&amp;VALUE(MID(A179,2,10)),IF(VALUE(MID(A179,2,10))&lt;1000,"B"&amp;VALUE(MID(A179,2,10))))),A179)),"_",IF(NOT(OR(C179=1000,C179&gt;1000)),MID(TEXT((C179+1000)*1000,0),2,6),"keine Meter in Spalte km!!!"),IF(VALUE(I179)=1,CONCATENATE("_",VLOOKUP(IF(V179&gt;0,V179,J179),[1]Grundlage!$A$20:$B$181,2,0)),CONCATENATE("_",B179))))</f>
        <v>UQ_A007_881550_S</v>
      </c>
      <c r="F179" s="2" t="s">
        <v>271</v>
      </c>
      <c r="G179" s="167">
        <f t="shared" si="37"/>
        <v>2802</v>
      </c>
      <c r="H179">
        <f t="shared" si="38"/>
        <v>147</v>
      </c>
      <c r="I179" s="2">
        <f t="shared" si="29"/>
        <v>3</v>
      </c>
      <c r="J179" s="2">
        <f t="shared" si="30"/>
        <v>67</v>
      </c>
      <c r="K179" s="2">
        <v>205</v>
      </c>
      <c r="L179" s="2">
        <f t="shared" si="31"/>
        <v>14</v>
      </c>
      <c r="M179" s="2">
        <f t="shared" si="32"/>
        <v>1</v>
      </c>
      <c r="N179" s="2">
        <f t="shared" si="33"/>
        <v>9</v>
      </c>
      <c r="P179" s="168">
        <f t="shared" si="34"/>
        <v>53</v>
      </c>
      <c r="AI179" s="21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9">
        <v>3</v>
      </c>
      <c r="AU179" s="14">
        <v>67</v>
      </c>
      <c r="AV179" s="14">
        <v>43</v>
      </c>
      <c r="AW179" s="13"/>
      <c r="AX179" s="13"/>
      <c r="AY179" s="19">
        <v>1</v>
      </c>
      <c r="AZ179" s="14">
        <v>9</v>
      </c>
      <c r="BA179" s="34">
        <v>9</v>
      </c>
      <c r="BB179" s="13" t="s">
        <v>271</v>
      </c>
      <c r="BC179" s="25"/>
      <c r="BD179" s="25"/>
      <c r="BE179" s="13"/>
      <c r="BF179" s="13" t="s">
        <v>444</v>
      </c>
    </row>
    <row r="180" spans="1:58" ht="14.25" x14ac:dyDescent="0.2">
      <c r="A180" t="str">
        <f t="shared" si="26"/>
        <v>A7</v>
      </c>
      <c r="B180" s="2" t="s">
        <v>655</v>
      </c>
      <c r="C180">
        <f t="shared" si="27"/>
        <v>881.55</v>
      </c>
      <c r="D180" t="str">
        <f t="shared" si="28"/>
        <v>UFD</v>
      </c>
      <c r="E180" s="169" t="str">
        <f>IF(OR(A180="",B180="",C180=""),"eine der Spalten BAB, FR, km leer?",CONCATENATE(VLOOKUP(VALUE(I180),[1]Grundlage!$A$1:$B$14,2,0),IF(LEFT(A180,1)="A",IF(VALUE(MID(A180,2,10))&lt;10,"A00"&amp;VALUE(MID(A180,2,10)),IF(VALUE(MID(A180,2,10))&lt;100,"A0"&amp;VALUE(MID(A180,2,10)),IF(VALUE(MID(A180,2,10))&lt;1000,"A"&amp;VALUE(MID(A180,2,10))))),IF(LEFT(A180,1)="B",IF(VALUE(MID(A180,2,10))&lt;10,"B00"&amp;VALUE(MID(A180,2,10)),IF(VALUE(MID(A180,2,10))&lt;100,"B0"&amp;VALUE(MID(A180,2,10)),IF(VALUE(MID(A180,2,10))&lt;1000,"B"&amp;VALUE(MID(A180,2,10))))),A180)),"_",IF(NOT(OR(C180=1000,C180&gt;1000)),MID(TEXT((C180+1000)*1000,0),2,6),"keine Meter in Spalte km!!!"),IF(VALUE(I180)=1,CONCATENATE("_",VLOOKUP(IF(V180&gt;0,V180,J180),[1]Grundlage!$A$20:$B$181,2,0)),CONCATENATE("_",B180))))</f>
        <v>UQ_A007_881550_S</v>
      </c>
      <c r="F180" s="2" t="s">
        <v>272</v>
      </c>
      <c r="G180" s="167">
        <f t="shared" si="37"/>
        <v>2802</v>
      </c>
      <c r="H180">
        <f t="shared" si="38"/>
        <v>147</v>
      </c>
      <c r="I180" s="2">
        <f t="shared" si="29"/>
        <v>3</v>
      </c>
      <c r="J180" s="2">
        <f t="shared" si="30"/>
        <v>82</v>
      </c>
      <c r="K180" s="2">
        <v>205</v>
      </c>
      <c r="L180" s="2">
        <f t="shared" si="31"/>
        <v>14</v>
      </c>
      <c r="M180" s="2">
        <f t="shared" si="32"/>
        <v>1</v>
      </c>
      <c r="N180" s="2">
        <f t="shared" si="33"/>
        <v>10</v>
      </c>
      <c r="P180" s="168">
        <f t="shared" si="34"/>
        <v>72</v>
      </c>
      <c r="AI180" s="21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9">
        <v>3</v>
      </c>
      <c r="AU180" s="14">
        <v>82</v>
      </c>
      <c r="AV180" s="14">
        <v>52</v>
      </c>
      <c r="AW180" s="13"/>
      <c r="AX180" s="13"/>
      <c r="AY180" s="19">
        <v>1</v>
      </c>
      <c r="AZ180" s="14">
        <v>10</v>
      </c>
      <c r="BA180" s="34" t="s">
        <v>95</v>
      </c>
      <c r="BB180" s="13" t="s">
        <v>272</v>
      </c>
      <c r="BC180" s="25"/>
      <c r="BD180" s="25"/>
      <c r="BE180" s="13"/>
      <c r="BF180" s="13" t="s">
        <v>519</v>
      </c>
    </row>
    <row r="181" spans="1:58" ht="14.25" x14ac:dyDescent="0.2">
      <c r="A181" t="str">
        <f t="shared" si="26"/>
        <v>A7</v>
      </c>
      <c r="C181">
        <f t="shared" si="27"/>
        <v>881.55</v>
      </c>
      <c r="D181" t="str">
        <f t="shared" si="28"/>
        <v/>
      </c>
      <c r="E181" s="169" t="str">
        <f>IF(OR(A181="",B181="",C181=""),"",CONCATENATE(VLOOKUP(VALUE(I181),[1]Grundlage!$A$1:$B$14,2,0),IF(LEFT(A181,1)="A",IF(VALUE(MID(A181,2,10))&lt;10,"A00"&amp;VALUE(MID(A181,2,10)),IF(VALUE(MID(A181,2,10))&lt;100,"A0"&amp;VALUE(MID(A181,2,10)),IF(VALUE(MID(A181,2,10))&lt;1000,"A"&amp;VALUE(MID(A181,2,10))))),IF(LEFT(A181,1)="B",IF(VALUE(MID(A181,2,10))&lt;10,"B00"&amp;VALUE(MID(A181,2,10)),IF(VALUE(MID(A181,2,10))&lt;100,"B0"&amp;VALUE(MID(A181,2,10)),IF(VALUE(MID(A181,2,10))&lt;1000,"B"&amp;VALUE(MID(A181,2,10))))),A181)),"_",IF(NOT(OR(C181=1000,C181&gt;1000)),MID(TEXT((C181+1000)*1000,0),2,6),"keine Meter in Spalte km!!!"),IF(VALUE(I181)=1,CONCATENATE("_",VLOOKUP(IF(V181&gt;0,V181,J181),[1]Grundlage!$A$20:$B$181,2,0)),CONCATENATE("_",B181))))</f>
        <v/>
      </c>
      <c r="F181" s="2" t="s">
        <v>669</v>
      </c>
      <c r="G181" s="167">
        <f t="shared" si="37"/>
        <v>2802</v>
      </c>
      <c r="H181">
        <f t="shared" si="38"/>
        <v>147</v>
      </c>
      <c r="I181" s="2">
        <f t="shared" si="29"/>
        <v>0</v>
      </c>
      <c r="J181" s="2">
        <f t="shared" si="30"/>
        <v>0</v>
      </c>
      <c r="K181" s="2">
        <v>205</v>
      </c>
      <c r="L181" s="2">
        <f t="shared" si="31"/>
        <v>14</v>
      </c>
      <c r="M181" s="2" t="str">
        <f t="shared" si="32"/>
        <v/>
      </c>
      <c r="N181" s="2" t="str">
        <f t="shared" si="33"/>
        <v/>
      </c>
      <c r="P181" s="168" t="str">
        <f t="shared" si="34"/>
        <v/>
      </c>
      <c r="AT181" s="1"/>
      <c r="AU181" s="11"/>
      <c r="AV181" s="11"/>
      <c r="AZ181" s="11"/>
      <c r="BA181" s="11"/>
    </row>
    <row r="182" spans="1:58" ht="14.25" x14ac:dyDescent="0.2">
      <c r="A182" t="str">
        <f t="shared" si="26"/>
        <v>A7</v>
      </c>
      <c r="B182" s="2" t="s">
        <v>655</v>
      </c>
      <c r="C182">
        <f t="shared" si="27"/>
        <v>838.5</v>
      </c>
      <c r="D182" t="str">
        <f t="shared" si="28"/>
        <v>SS</v>
      </c>
      <c r="E182" s="169" t="str">
        <f>IF(OR(A182="",B182="",C182=""),"eine der Spalten BAB, FR, km leer?",CONCATENATE(VLOOKUP(VALUE(I182),[1]Grundlage!$A$1:$B$14,2,0),IF(LEFT(A182,1)="A",IF(VALUE(MID(A182,2,10))&lt;10,"A00"&amp;VALUE(MID(A182,2,10)),IF(VALUE(MID(A182,2,10))&lt;100,"A0"&amp;VALUE(MID(A182,2,10)),IF(VALUE(MID(A182,2,10))&lt;1000,"A"&amp;VALUE(MID(A182,2,10))))),IF(LEFT(A182,1)="B",IF(VALUE(MID(A182,2,10))&lt;10,"B00"&amp;VALUE(MID(A182,2,10)),IF(VALUE(MID(A182,2,10))&lt;100,"B0"&amp;VALUE(MID(A182,2,10)),IF(VALUE(MID(A182,2,10))&lt;1000,"B"&amp;VALUE(MID(A182,2,10))))),A182)),"_",IF(NOT(OR(C182=1000,C182&gt;1000)),MID(TEXT((C182+1000)*1000,0),2,6),"keine Meter in Spalte km!!!"),IF(VALUE(I182)=1,CONCATENATE("_",VLOOKUP(IF(V182&gt;0,V182,J182),[1]Grundlage!$A$20:$B$181,2,0)),CONCATENATE("_",B182))))</f>
        <v>SSt_A007_838500_S</v>
      </c>
      <c r="F182" s="2" t="s">
        <v>93</v>
      </c>
      <c r="G182" s="167">
        <f t="shared" si="37"/>
        <v>2758</v>
      </c>
      <c r="H182">
        <f t="shared" si="38"/>
        <v>21</v>
      </c>
      <c r="I182" s="2">
        <f t="shared" si="29"/>
        <v>254</v>
      </c>
      <c r="J182" s="2">
        <f t="shared" si="30"/>
        <v>0</v>
      </c>
      <c r="K182" s="2">
        <v>205</v>
      </c>
      <c r="L182" s="2">
        <f t="shared" si="31"/>
        <v>12</v>
      </c>
      <c r="M182" s="2" t="str">
        <f t="shared" si="32"/>
        <v/>
      </c>
      <c r="N182" s="2" t="str">
        <f t="shared" si="33"/>
        <v/>
      </c>
      <c r="P182" s="168" t="str">
        <f t="shared" si="34"/>
        <v/>
      </c>
      <c r="AI182" s="35">
        <v>838.5</v>
      </c>
      <c r="AJ182" s="36" t="s">
        <v>19</v>
      </c>
      <c r="AK182" s="36" t="s">
        <v>31</v>
      </c>
      <c r="AL182" s="36"/>
      <c r="AM182" s="36"/>
      <c r="AN182" s="36"/>
      <c r="AO182" s="36"/>
      <c r="AP182" s="36">
        <v>706069</v>
      </c>
      <c r="AQ182" s="36" t="s">
        <v>95</v>
      </c>
      <c r="AR182" s="36" t="s">
        <v>203</v>
      </c>
      <c r="AS182" s="36">
        <v>15</v>
      </c>
      <c r="AT182" s="36"/>
      <c r="AU182" s="36"/>
      <c r="AV182" s="36"/>
      <c r="AW182" s="36"/>
      <c r="AX182" s="36">
        <v>12</v>
      </c>
      <c r="AY182" s="36"/>
      <c r="AZ182" s="36"/>
      <c r="BA182" s="36"/>
      <c r="BB182" s="37" t="s">
        <v>93</v>
      </c>
      <c r="BC182" s="38"/>
      <c r="BD182" s="71" t="s">
        <v>163</v>
      </c>
      <c r="BE182" s="39" t="s">
        <v>94</v>
      </c>
      <c r="BF182" s="2" t="s">
        <v>448</v>
      </c>
    </row>
    <row r="183" spans="1:58" ht="14.25" x14ac:dyDescent="0.2">
      <c r="A183" t="str">
        <f t="shared" si="26"/>
        <v>A7</v>
      </c>
      <c r="B183" s="2" t="s">
        <v>655</v>
      </c>
      <c r="C183">
        <f t="shared" si="27"/>
        <v>838.5</v>
      </c>
      <c r="D183" t="str">
        <f t="shared" si="28"/>
        <v>UFD</v>
      </c>
      <c r="E183" s="169" t="str">
        <f>IF(OR(A183="",B183="",C183=""),"eine der Spalten BAB, FR, km leer?",CONCATENATE(VLOOKUP(VALUE(I183),[1]Grundlage!$A$1:$B$14,2,0),IF(LEFT(A183,1)="A",IF(VALUE(MID(A183,2,10))&lt;10,"A00"&amp;VALUE(MID(A183,2,10)),IF(VALUE(MID(A183,2,10))&lt;100,"A0"&amp;VALUE(MID(A183,2,10)),IF(VALUE(MID(A183,2,10))&lt;1000,"A"&amp;VALUE(MID(A183,2,10))))),IF(LEFT(A183,1)="B",IF(VALUE(MID(A183,2,10))&lt;10,"B00"&amp;VALUE(MID(A183,2,10)),IF(VALUE(MID(A183,2,10))&lt;100,"B0"&amp;VALUE(MID(A183,2,10)),IF(VALUE(MID(A183,2,10))&lt;1000,"B"&amp;VALUE(MID(A183,2,10))))),A183)),"_",IF(NOT(OR(C183=1000,C183&gt;1000)),MID(TEXT((C183+1000)*1000,0),2,6),"keine Meter in Spalte km!!!"),IF(VALUE(I183)=1,CONCATENATE("_",VLOOKUP(IF(V183&gt;0,V183,J183),[1]Grundlage!$A$20:$B$181,2,0)),CONCATENATE("_",B183))))</f>
        <v>UQ_A007_838500_S</v>
      </c>
      <c r="F183" s="2" t="s">
        <v>269</v>
      </c>
      <c r="G183" s="167">
        <f t="shared" si="37"/>
        <v>2758</v>
      </c>
      <c r="H183">
        <f t="shared" si="38"/>
        <v>21</v>
      </c>
      <c r="I183" s="2">
        <f t="shared" si="29"/>
        <v>3</v>
      </c>
      <c r="J183" s="2">
        <f t="shared" si="30"/>
        <v>6</v>
      </c>
      <c r="K183" s="2">
        <v>205</v>
      </c>
      <c r="L183" s="2">
        <f t="shared" si="31"/>
        <v>12</v>
      </c>
      <c r="M183" s="2">
        <f t="shared" si="32"/>
        <v>1</v>
      </c>
      <c r="N183" s="2">
        <f t="shared" si="33"/>
        <v>1</v>
      </c>
      <c r="P183" s="168">
        <f t="shared" si="34"/>
        <v>71</v>
      </c>
      <c r="AT183" s="19">
        <v>3</v>
      </c>
      <c r="AU183" s="14">
        <v>6</v>
      </c>
      <c r="AV183" s="27">
        <v>6</v>
      </c>
      <c r="AW183" s="19"/>
      <c r="AX183" s="19"/>
      <c r="AY183" s="19">
        <v>1</v>
      </c>
      <c r="AZ183" s="14">
        <v>1</v>
      </c>
      <c r="BA183" s="27">
        <v>1</v>
      </c>
      <c r="BB183" s="13" t="s">
        <v>269</v>
      </c>
      <c r="BF183" s="2" t="s">
        <v>440</v>
      </c>
    </row>
    <row r="184" spans="1:58" ht="14.25" x14ac:dyDescent="0.2">
      <c r="A184" t="str">
        <f t="shared" si="26"/>
        <v>A7</v>
      </c>
      <c r="B184" s="2" t="s">
        <v>655</v>
      </c>
      <c r="C184">
        <f t="shared" si="27"/>
        <v>838.5</v>
      </c>
      <c r="D184" t="str">
        <f t="shared" si="28"/>
        <v>UFD</v>
      </c>
      <c r="E184" s="169" t="str">
        <f>IF(OR(A184="",B184="",C184=""),"eine der Spalten BAB, FR, km leer?",CONCATENATE(VLOOKUP(VALUE(I184),[1]Grundlage!$A$1:$B$14,2,0),IF(LEFT(A184,1)="A",IF(VALUE(MID(A184,2,10))&lt;10,"A00"&amp;VALUE(MID(A184,2,10)),IF(VALUE(MID(A184,2,10))&lt;100,"A0"&amp;VALUE(MID(A184,2,10)),IF(VALUE(MID(A184,2,10))&lt;1000,"A"&amp;VALUE(MID(A184,2,10))))),IF(LEFT(A184,1)="B",IF(VALUE(MID(A184,2,10))&lt;10,"B00"&amp;VALUE(MID(A184,2,10)),IF(VALUE(MID(A184,2,10))&lt;100,"B0"&amp;VALUE(MID(A184,2,10)),IF(VALUE(MID(A184,2,10))&lt;1000,"B"&amp;VALUE(MID(A184,2,10))))),A184)),"_",IF(NOT(OR(C184=1000,C184&gt;1000)),MID(TEXT((C184+1000)*1000,0),2,6),"keine Meter in Spalte km!!!"),IF(VALUE(I184)=1,CONCATENATE("_",VLOOKUP(IF(V184&gt;0,V184,J184),[1]Grundlage!$A$20:$B$181,2,0)),CONCATENATE("_",B184))))</f>
        <v>UQ_A007_838500_S</v>
      </c>
      <c r="F184" s="2" t="s">
        <v>270</v>
      </c>
      <c r="G184" s="167">
        <f t="shared" si="37"/>
        <v>2758</v>
      </c>
      <c r="H184">
        <f t="shared" si="38"/>
        <v>21</v>
      </c>
      <c r="I184" s="2">
        <f t="shared" si="29"/>
        <v>3</v>
      </c>
      <c r="J184" s="2">
        <f t="shared" si="30"/>
        <v>11</v>
      </c>
      <c r="K184" s="2">
        <v>205</v>
      </c>
      <c r="L184" s="2">
        <f t="shared" si="31"/>
        <v>12</v>
      </c>
      <c r="M184" s="2">
        <f t="shared" si="32"/>
        <v>1</v>
      </c>
      <c r="N184" s="2">
        <f t="shared" si="33"/>
        <v>2</v>
      </c>
      <c r="P184" s="168">
        <f t="shared" si="34"/>
        <v>70</v>
      </c>
      <c r="AT184" s="19">
        <v>3</v>
      </c>
      <c r="AU184" s="14">
        <v>11</v>
      </c>
      <c r="AV184" s="14" t="s">
        <v>78</v>
      </c>
      <c r="AW184" s="13"/>
      <c r="AX184" s="13"/>
      <c r="AY184" s="19">
        <f>AY183</f>
        <v>1</v>
      </c>
      <c r="AZ184" s="14">
        <v>2</v>
      </c>
      <c r="BA184" s="14">
        <v>2</v>
      </c>
      <c r="BB184" s="13" t="s">
        <v>270</v>
      </c>
      <c r="BF184" s="2" t="s">
        <v>533</v>
      </c>
    </row>
    <row r="185" spans="1:58" ht="14.25" x14ac:dyDescent="0.2">
      <c r="A185" t="str">
        <f t="shared" si="26"/>
        <v>A7</v>
      </c>
      <c r="B185" s="2" t="s">
        <v>655</v>
      </c>
      <c r="C185">
        <f t="shared" si="27"/>
        <v>838.5</v>
      </c>
      <c r="D185" t="str">
        <f t="shared" si="28"/>
        <v>UFD</v>
      </c>
      <c r="E185" s="169" t="str">
        <f>IF(OR(A185="",B185="",C185=""),"eine der Spalten BAB, FR, km leer?",CONCATENATE(VLOOKUP(VALUE(I185),[1]Grundlage!$A$1:$B$14,2,0),IF(LEFT(A185,1)="A",IF(VALUE(MID(A185,2,10))&lt;10,"A00"&amp;VALUE(MID(A185,2,10)),IF(VALUE(MID(A185,2,10))&lt;100,"A0"&amp;VALUE(MID(A185,2,10)),IF(VALUE(MID(A185,2,10))&lt;1000,"A"&amp;VALUE(MID(A185,2,10))))),IF(LEFT(A185,1)="B",IF(VALUE(MID(A185,2,10))&lt;10,"B00"&amp;VALUE(MID(A185,2,10)),IF(VALUE(MID(A185,2,10))&lt;100,"B0"&amp;VALUE(MID(A185,2,10)),IF(VALUE(MID(A185,2,10))&lt;1000,"B"&amp;VALUE(MID(A185,2,10))))),A185)),"_",IF(NOT(OR(C185=1000,C185&gt;1000)),MID(TEXT((C185+1000)*1000,0),2,6),"keine Meter in Spalte km!!!"),IF(VALUE(I185)=1,CONCATENATE("_",VLOOKUP(IF(V185&gt;0,V185,J185),[1]Grundlage!$A$20:$B$181,2,0)),CONCATENATE("_",B185))))</f>
        <v>UQ_A007_838500_S</v>
      </c>
      <c r="F185" s="2" t="s">
        <v>25</v>
      </c>
      <c r="G185" s="167">
        <f t="shared" si="37"/>
        <v>2758</v>
      </c>
      <c r="H185">
        <f t="shared" si="38"/>
        <v>21</v>
      </c>
      <c r="I185" s="2">
        <f t="shared" si="29"/>
        <v>3</v>
      </c>
      <c r="J185" s="2">
        <f t="shared" si="30"/>
        <v>12</v>
      </c>
      <c r="K185" s="2">
        <v>205</v>
      </c>
      <c r="L185" s="2">
        <f t="shared" si="31"/>
        <v>12</v>
      </c>
      <c r="M185" s="2">
        <f t="shared" si="32"/>
        <v>1</v>
      </c>
      <c r="N185" s="2">
        <f t="shared" si="33"/>
        <v>3</v>
      </c>
      <c r="P185" s="168">
        <f t="shared" si="34"/>
        <v>48</v>
      </c>
      <c r="AT185" s="19">
        <v>3</v>
      </c>
      <c r="AU185" s="14">
        <v>12</v>
      </c>
      <c r="AV185" s="14" t="s">
        <v>79</v>
      </c>
      <c r="AW185" s="13"/>
      <c r="AX185" s="13"/>
      <c r="AY185" s="19">
        <f>AY184</f>
        <v>1</v>
      </c>
      <c r="AZ185" s="14">
        <v>3</v>
      </c>
      <c r="BA185" s="14">
        <v>3</v>
      </c>
      <c r="BB185" s="13" t="s">
        <v>25</v>
      </c>
      <c r="BF185" s="13" t="s">
        <v>441</v>
      </c>
    </row>
    <row r="186" spans="1:58" ht="14.25" x14ac:dyDescent="0.2">
      <c r="A186" t="str">
        <f t="shared" si="26"/>
        <v>A7</v>
      </c>
      <c r="B186" s="2" t="s">
        <v>655</v>
      </c>
      <c r="C186">
        <f t="shared" si="27"/>
        <v>838.5</v>
      </c>
      <c r="D186" t="str">
        <f t="shared" si="28"/>
        <v>UFD</v>
      </c>
      <c r="E186" s="169" t="str">
        <f>IF(OR(A186="",B186="",C186=""),"eine der Spalten BAB, FR, km leer?",CONCATENATE(VLOOKUP(VALUE(I186),[1]Grundlage!$A$1:$B$14,2,0),IF(LEFT(A186,1)="A",IF(VALUE(MID(A186,2,10))&lt;10,"A00"&amp;VALUE(MID(A186,2,10)),IF(VALUE(MID(A186,2,10))&lt;100,"A0"&amp;VALUE(MID(A186,2,10)),IF(VALUE(MID(A186,2,10))&lt;1000,"A"&amp;VALUE(MID(A186,2,10))))),IF(LEFT(A186,1)="B",IF(VALUE(MID(A186,2,10))&lt;10,"B00"&amp;VALUE(MID(A186,2,10)),IF(VALUE(MID(A186,2,10))&lt;100,"B0"&amp;VALUE(MID(A186,2,10)),IF(VALUE(MID(A186,2,10))&lt;1000,"B"&amp;VALUE(MID(A186,2,10))))),A186)),"_",IF(NOT(OR(C186=1000,C186&gt;1000)),MID(TEXT((C186+1000)*1000,0),2,6),"keine Meter in Spalte km!!!"),IF(VALUE(I186)=1,CONCATENATE("_",VLOOKUP(IF(V186&gt;0,V186,J186),[1]Grundlage!$A$20:$B$181,2,0)),CONCATENATE("_",B186))))</f>
        <v>UQ_A007_838500_S</v>
      </c>
      <c r="F186" s="2" t="s">
        <v>26</v>
      </c>
      <c r="G186" s="167">
        <f t="shared" si="37"/>
        <v>2758</v>
      </c>
      <c r="H186">
        <f t="shared" si="38"/>
        <v>21</v>
      </c>
      <c r="I186" s="2">
        <f t="shared" si="29"/>
        <v>3</v>
      </c>
      <c r="J186" s="2">
        <f t="shared" si="30"/>
        <v>13</v>
      </c>
      <c r="K186" s="2">
        <v>205</v>
      </c>
      <c r="L186" s="2">
        <f t="shared" si="31"/>
        <v>12</v>
      </c>
      <c r="M186" s="2">
        <f t="shared" si="32"/>
        <v>1</v>
      </c>
      <c r="N186" s="2">
        <f t="shared" si="33"/>
        <v>4</v>
      </c>
      <c r="P186" s="168">
        <f t="shared" si="34"/>
        <v>55</v>
      </c>
      <c r="AT186" s="19">
        <v>3</v>
      </c>
      <c r="AU186" s="14">
        <v>13</v>
      </c>
      <c r="AV186" s="14" t="s">
        <v>80</v>
      </c>
      <c r="AW186" s="13"/>
      <c r="AX186" s="13"/>
      <c r="AY186" s="19">
        <f t="shared" ref="AY186:AY194" si="39">AY185</f>
        <v>1</v>
      </c>
      <c r="AZ186" s="14">
        <v>4</v>
      </c>
      <c r="BA186" s="14">
        <v>4</v>
      </c>
      <c r="BB186" s="13" t="s">
        <v>26</v>
      </c>
      <c r="BF186" s="13" t="s">
        <v>442</v>
      </c>
    </row>
    <row r="187" spans="1:58" ht="14.25" x14ac:dyDescent="0.2">
      <c r="A187" t="str">
        <f t="shared" si="26"/>
        <v>A7</v>
      </c>
      <c r="B187" s="2" t="s">
        <v>655</v>
      </c>
      <c r="C187">
        <f t="shared" si="27"/>
        <v>838.5</v>
      </c>
      <c r="D187" t="str">
        <f t="shared" si="28"/>
        <v>UFD</v>
      </c>
      <c r="E187" s="169" t="str">
        <f>IF(OR(A187="",B187="",C187=""),"eine der Spalten BAB, FR, km leer?",CONCATENATE(VLOOKUP(VALUE(I187),[1]Grundlage!$A$1:$B$14,2,0),IF(LEFT(A187,1)="A",IF(VALUE(MID(A187,2,10))&lt;10,"A00"&amp;VALUE(MID(A187,2,10)),IF(VALUE(MID(A187,2,10))&lt;100,"A0"&amp;VALUE(MID(A187,2,10)),IF(VALUE(MID(A187,2,10))&lt;1000,"A"&amp;VALUE(MID(A187,2,10))))),IF(LEFT(A187,1)="B",IF(VALUE(MID(A187,2,10))&lt;10,"B00"&amp;VALUE(MID(A187,2,10)),IF(VALUE(MID(A187,2,10))&lt;100,"B0"&amp;VALUE(MID(A187,2,10)),IF(VALUE(MID(A187,2,10))&lt;1000,"B"&amp;VALUE(MID(A187,2,10))))),A187)),"_",IF(NOT(OR(C187=1000,C187&gt;1000)),MID(TEXT((C187+1000)*1000,0),2,6),"keine Meter in Spalte km!!!"),IF(VALUE(I187)=1,CONCATENATE("_",VLOOKUP(IF(V187&gt;0,V187,J187),[1]Grundlage!$A$20:$B$181,2,0)),CONCATENATE("_",B187))))</f>
        <v>UQ_A007_838500_S</v>
      </c>
      <c r="F187" s="2" t="s">
        <v>27</v>
      </c>
      <c r="G187" s="167">
        <f t="shared" si="37"/>
        <v>2758</v>
      </c>
      <c r="H187">
        <f t="shared" si="38"/>
        <v>21</v>
      </c>
      <c r="I187" s="2">
        <f t="shared" si="29"/>
        <v>3</v>
      </c>
      <c r="J187" s="2">
        <f t="shared" si="30"/>
        <v>14</v>
      </c>
      <c r="K187" s="2">
        <v>205</v>
      </c>
      <c r="L187" s="2">
        <f t="shared" si="31"/>
        <v>12</v>
      </c>
      <c r="M187" s="2">
        <f t="shared" si="32"/>
        <v>1</v>
      </c>
      <c r="N187" s="2">
        <f t="shared" si="33"/>
        <v>5</v>
      </c>
      <c r="P187" s="168">
        <f t="shared" si="34"/>
        <v>66</v>
      </c>
      <c r="AT187" s="19">
        <v>3</v>
      </c>
      <c r="AU187" s="14">
        <v>14</v>
      </c>
      <c r="AV187" s="14" t="s">
        <v>81</v>
      </c>
      <c r="AW187" s="13"/>
      <c r="AX187" s="13"/>
      <c r="AY187" s="19">
        <f t="shared" si="39"/>
        <v>1</v>
      </c>
      <c r="AZ187" s="14">
        <v>5</v>
      </c>
      <c r="BA187" s="14">
        <v>5</v>
      </c>
      <c r="BB187" s="13" t="s">
        <v>27</v>
      </c>
      <c r="BF187" s="13" t="s">
        <v>443</v>
      </c>
    </row>
    <row r="188" spans="1:58" ht="14.25" x14ac:dyDescent="0.2">
      <c r="A188" t="str">
        <f t="shared" si="26"/>
        <v>A7</v>
      </c>
      <c r="B188" s="2" t="s">
        <v>655</v>
      </c>
      <c r="C188">
        <f t="shared" si="27"/>
        <v>838.5</v>
      </c>
      <c r="D188" t="str">
        <f t="shared" si="28"/>
        <v>UFD</v>
      </c>
      <c r="E188" s="169" t="str">
        <f>IF(OR(A188="",B188="",C188=""),"eine der Spalten BAB, FR, km leer?",CONCATENATE(VLOOKUP(VALUE(I188),[1]Grundlage!$A$1:$B$14,2,0),IF(LEFT(A188,1)="A",IF(VALUE(MID(A188,2,10))&lt;10,"A00"&amp;VALUE(MID(A188,2,10)),IF(VALUE(MID(A188,2,10))&lt;100,"A0"&amp;VALUE(MID(A188,2,10)),IF(VALUE(MID(A188,2,10))&lt;1000,"A"&amp;VALUE(MID(A188,2,10))))),IF(LEFT(A188,1)="B",IF(VALUE(MID(A188,2,10))&lt;10,"B00"&amp;VALUE(MID(A188,2,10)),IF(VALUE(MID(A188,2,10))&lt;100,"B0"&amp;VALUE(MID(A188,2,10)),IF(VALUE(MID(A188,2,10))&lt;1000,"B"&amp;VALUE(MID(A188,2,10))))),A188)),"_",IF(NOT(OR(C188=1000,C188&gt;1000)),MID(TEXT((C188+1000)*1000,0),2,6),"keine Meter in Spalte km!!!"),IF(VALUE(I188)=1,CONCATENATE("_",VLOOKUP(IF(V188&gt;0,V188,J188),[1]Grundlage!$A$20:$B$181,2,0)),CONCATENATE("_",B188))))</f>
        <v>UQ_A007_838500_S</v>
      </c>
      <c r="F188" s="2" t="s">
        <v>28</v>
      </c>
      <c r="G188" s="167">
        <f t="shared" si="37"/>
        <v>2758</v>
      </c>
      <c r="H188">
        <f t="shared" si="38"/>
        <v>21</v>
      </c>
      <c r="I188" s="2">
        <f t="shared" si="29"/>
        <v>3</v>
      </c>
      <c r="J188" s="2">
        <f t="shared" si="30"/>
        <v>15</v>
      </c>
      <c r="K188" s="2">
        <v>205</v>
      </c>
      <c r="L188" s="2">
        <f t="shared" si="31"/>
        <v>12</v>
      </c>
      <c r="M188" s="2">
        <f t="shared" si="32"/>
        <v>1</v>
      </c>
      <c r="N188" s="2">
        <f t="shared" si="33"/>
        <v>6</v>
      </c>
      <c r="P188" s="168">
        <f t="shared" si="34"/>
        <v>65</v>
      </c>
      <c r="AT188" s="19">
        <v>3</v>
      </c>
      <c r="AU188" s="14">
        <v>15</v>
      </c>
      <c r="AV188" s="14" t="s">
        <v>82</v>
      </c>
      <c r="AW188" s="13"/>
      <c r="AX188" s="13"/>
      <c r="AY188" s="19">
        <f t="shared" si="39"/>
        <v>1</v>
      </c>
      <c r="AZ188" s="14">
        <v>6</v>
      </c>
      <c r="BA188" s="14">
        <v>6</v>
      </c>
      <c r="BB188" s="13" t="s">
        <v>28</v>
      </c>
      <c r="BF188" s="13" t="s">
        <v>534</v>
      </c>
    </row>
    <row r="189" spans="1:58" ht="14.25" x14ac:dyDescent="0.2">
      <c r="A189" t="str">
        <f t="shared" si="26"/>
        <v>A7</v>
      </c>
      <c r="B189" s="2" t="s">
        <v>655</v>
      </c>
      <c r="C189">
        <f t="shared" si="27"/>
        <v>838.5</v>
      </c>
      <c r="D189" t="str">
        <f t="shared" si="28"/>
        <v>UFD</v>
      </c>
      <c r="E189" s="169" t="str">
        <f>IF(OR(A189="",B189="",C189=""),"eine der Spalten BAB, FR, km leer?",CONCATENATE(VLOOKUP(VALUE(I189),[1]Grundlage!$A$1:$B$14,2,0),IF(LEFT(A189,1)="A",IF(VALUE(MID(A189,2,10))&lt;10,"A00"&amp;VALUE(MID(A189,2,10)),IF(VALUE(MID(A189,2,10))&lt;100,"A0"&amp;VALUE(MID(A189,2,10)),IF(VALUE(MID(A189,2,10))&lt;1000,"A"&amp;VALUE(MID(A189,2,10))))),IF(LEFT(A189,1)="B",IF(VALUE(MID(A189,2,10))&lt;10,"B00"&amp;VALUE(MID(A189,2,10)),IF(VALUE(MID(A189,2,10))&lt;100,"B0"&amp;VALUE(MID(A189,2,10)),IF(VALUE(MID(A189,2,10))&lt;1000,"B"&amp;VALUE(MID(A189,2,10))))),A189)),"_",IF(NOT(OR(C189=1000,C189&gt;1000)),MID(TEXT((C189+1000)*1000,0),2,6),"keine Meter in Spalte km!!!"),IF(VALUE(I189)=1,CONCATENATE("_",VLOOKUP(IF(V189&gt;0,V189,J189),[1]Grundlage!$A$20:$B$181,2,0)),CONCATENATE("_",B189))))</f>
        <v>UQ_A007_838500_S</v>
      </c>
      <c r="F189" s="2" t="s">
        <v>29</v>
      </c>
      <c r="G189" s="167">
        <f t="shared" si="37"/>
        <v>2758</v>
      </c>
      <c r="H189">
        <f t="shared" si="38"/>
        <v>21</v>
      </c>
      <c r="I189" s="2">
        <f t="shared" si="29"/>
        <v>3</v>
      </c>
      <c r="J189" s="2">
        <f t="shared" si="30"/>
        <v>19</v>
      </c>
      <c r="K189" s="2">
        <v>205</v>
      </c>
      <c r="L189" s="2">
        <f t="shared" si="31"/>
        <v>12</v>
      </c>
      <c r="M189" s="2">
        <f t="shared" si="32"/>
        <v>1</v>
      </c>
      <c r="N189" s="2">
        <f t="shared" si="33"/>
        <v>7</v>
      </c>
      <c r="P189" s="168">
        <f t="shared" si="34"/>
        <v>49</v>
      </c>
      <c r="AT189" s="19">
        <v>3</v>
      </c>
      <c r="AU189" s="14">
        <v>19</v>
      </c>
      <c r="AV189" s="14">
        <v>13</v>
      </c>
      <c r="AW189" s="13"/>
      <c r="AX189" s="13"/>
      <c r="AY189" s="19">
        <f t="shared" si="39"/>
        <v>1</v>
      </c>
      <c r="AZ189" s="14">
        <v>7</v>
      </c>
      <c r="BA189" s="14">
        <v>7</v>
      </c>
      <c r="BB189" s="13" t="s">
        <v>29</v>
      </c>
      <c r="BF189" s="13" t="s">
        <v>535</v>
      </c>
    </row>
    <row r="190" spans="1:58" ht="14.25" x14ac:dyDescent="0.2">
      <c r="A190" t="str">
        <f t="shared" si="26"/>
        <v>A7</v>
      </c>
      <c r="B190" s="2" t="s">
        <v>655</v>
      </c>
      <c r="C190">
        <f t="shared" si="27"/>
        <v>838.5</v>
      </c>
      <c r="D190" t="str">
        <f t="shared" si="28"/>
        <v>UFD</v>
      </c>
      <c r="E190" s="169" t="str">
        <f>IF(OR(A190="",B190="",C190=""),"eine der Spalten BAB, FR, km leer?",CONCATENATE(VLOOKUP(VALUE(I190),[1]Grundlage!$A$1:$B$14,2,0),IF(LEFT(A190,1)="A",IF(VALUE(MID(A190,2,10))&lt;10,"A00"&amp;VALUE(MID(A190,2,10)),IF(VALUE(MID(A190,2,10))&lt;100,"A0"&amp;VALUE(MID(A190,2,10)),IF(VALUE(MID(A190,2,10))&lt;1000,"A"&amp;VALUE(MID(A190,2,10))))),IF(LEFT(A190,1)="B",IF(VALUE(MID(A190,2,10))&lt;10,"B00"&amp;VALUE(MID(A190,2,10)),IF(VALUE(MID(A190,2,10))&lt;100,"B0"&amp;VALUE(MID(A190,2,10)),IF(VALUE(MID(A190,2,10))&lt;1000,"B"&amp;VALUE(MID(A190,2,10))))),A190)),"_",IF(NOT(OR(C190=1000,C190&gt;1000)),MID(TEXT((C190+1000)*1000,0),2,6),"keine Meter in Spalte km!!!"),IF(VALUE(I190)=1,CONCATENATE("_",VLOOKUP(IF(V190&gt;0,V190,J190),[1]Grundlage!$A$20:$B$181,2,0)),CONCATENATE("_",B190))))</f>
        <v>UQ_A007_838500_S</v>
      </c>
      <c r="F190" s="2" t="s">
        <v>30</v>
      </c>
      <c r="G190" s="167">
        <f t="shared" si="37"/>
        <v>2758</v>
      </c>
      <c r="H190">
        <f t="shared" si="38"/>
        <v>21</v>
      </c>
      <c r="I190" s="2">
        <f t="shared" si="29"/>
        <v>3</v>
      </c>
      <c r="J190" s="2">
        <f t="shared" si="30"/>
        <v>21</v>
      </c>
      <c r="K190" s="2">
        <v>205</v>
      </c>
      <c r="L190" s="2">
        <f t="shared" si="31"/>
        <v>12</v>
      </c>
      <c r="M190" s="2">
        <f t="shared" si="32"/>
        <v>1</v>
      </c>
      <c r="N190" s="2">
        <f t="shared" si="33"/>
        <v>8</v>
      </c>
      <c r="P190" s="168">
        <f t="shared" si="34"/>
        <v>67</v>
      </c>
      <c r="AT190" s="19">
        <v>3</v>
      </c>
      <c r="AU190" s="14">
        <v>21</v>
      </c>
      <c r="AV190" s="14">
        <v>15</v>
      </c>
      <c r="AW190" s="13"/>
      <c r="AX190" s="13"/>
      <c r="AY190" s="19">
        <f t="shared" si="39"/>
        <v>1</v>
      </c>
      <c r="AZ190" s="14">
        <v>8</v>
      </c>
      <c r="BA190" s="14">
        <v>8</v>
      </c>
      <c r="BB190" s="13" t="s">
        <v>30</v>
      </c>
      <c r="BF190" s="13" t="s">
        <v>536</v>
      </c>
    </row>
    <row r="191" spans="1:58" ht="14.25" x14ac:dyDescent="0.2">
      <c r="A191" t="str">
        <f t="shared" si="26"/>
        <v>A7</v>
      </c>
      <c r="B191" s="2" t="s">
        <v>655</v>
      </c>
      <c r="C191">
        <f t="shared" si="27"/>
        <v>838.5</v>
      </c>
      <c r="D191" t="str">
        <f t="shared" si="28"/>
        <v>UFD</v>
      </c>
      <c r="E191" s="169" t="str">
        <f>IF(OR(A191="",B191="",C191=""),"eine der Spalten BAB, FR, km leer?",CONCATENATE(VLOOKUP(VALUE(I191),[1]Grundlage!$A$1:$B$14,2,0),IF(LEFT(A191,1)="A",IF(VALUE(MID(A191,2,10))&lt;10,"A00"&amp;VALUE(MID(A191,2,10)),IF(VALUE(MID(A191,2,10))&lt;100,"A0"&amp;VALUE(MID(A191,2,10)),IF(VALUE(MID(A191,2,10))&lt;1000,"A"&amp;VALUE(MID(A191,2,10))))),IF(LEFT(A191,1)="B",IF(VALUE(MID(A191,2,10))&lt;10,"B00"&amp;VALUE(MID(A191,2,10)),IF(VALUE(MID(A191,2,10))&lt;100,"B0"&amp;VALUE(MID(A191,2,10)),IF(VALUE(MID(A191,2,10))&lt;1000,"B"&amp;VALUE(MID(A191,2,10))))),A191)),"_",IF(NOT(OR(C191=1000,C191&gt;1000)),MID(TEXT((C191+1000)*1000,0),2,6),"keine Meter in Spalte km!!!"),IF(VALUE(I191)=1,CONCATENATE("_",VLOOKUP(IF(V191&gt;0,V191,J191),[1]Grundlage!$A$20:$B$181,2,0)),CONCATENATE("_",B191))))</f>
        <v>UQ_A007_838500_S</v>
      </c>
      <c r="F191" s="2" t="s">
        <v>42</v>
      </c>
      <c r="G191" s="167">
        <f t="shared" si="37"/>
        <v>2758</v>
      </c>
      <c r="H191">
        <f t="shared" si="38"/>
        <v>21</v>
      </c>
      <c r="I191" s="2">
        <f t="shared" si="29"/>
        <v>3</v>
      </c>
      <c r="J191" s="2">
        <f t="shared" si="30"/>
        <v>25</v>
      </c>
      <c r="K191" s="2">
        <v>205</v>
      </c>
      <c r="L191" s="2">
        <f t="shared" si="31"/>
        <v>12</v>
      </c>
      <c r="M191" s="2">
        <f t="shared" si="32"/>
        <v>1</v>
      </c>
      <c r="N191" s="2">
        <f t="shared" si="33"/>
        <v>9</v>
      </c>
      <c r="P191" s="168">
        <f>IF(AT191&lt;&gt;3,"",IF(BB191="Helligkeitssensor",61,IF(BB191="Helligkeit",61,IF(BB192="Lichtsensor",61,IF(BB191="Lufttemperatur",48,IF(BB191="Niederschlagsart",71,IF(BB191="Niederschlagsintensität",53,IF(BB191="relative Luftfeuchte RLF",55,IF(BB191="Sichtweite",60,IF(BB191="Sichtweite 1",60,IF(BB191="Zustand der Fahrbahnoberfläche FBZ",79,IF(BB191="Wasserfilmdicke WFD",72,IF(BB191="Clusterkanal FG3","",IF(BB191="Gefriertemperatur GT",65,IF(BB191="Fahrbahnoberflächentemperatur FBT",49,IF(BB191="Windrichtung  Typ 56 ",56,VALUE(RIGHT(BB191,2))))))))))))))))))</f>
        <v>56</v>
      </c>
      <c r="AT191" s="19">
        <v>3</v>
      </c>
      <c r="AU191" s="14">
        <v>25</v>
      </c>
      <c r="AV191" s="14">
        <v>19</v>
      </c>
      <c r="AW191" s="13"/>
      <c r="AX191" s="13"/>
      <c r="AY191" s="19">
        <f t="shared" si="39"/>
        <v>1</v>
      </c>
      <c r="AZ191" s="14">
        <v>9</v>
      </c>
      <c r="BA191" s="14">
        <v>9</v>
      </c>
      <c r="BB191" s="13" t="s">
        <v>42</v>
      </c>
      <c r="BF191" s="13" t="s">
        <v>515</v>
      </c>
    </row>
    <row r="192" spans="1:58" ht="14.25" x14ac:dyDescent="0.2">
      <c r="A192" t="str">
        <f t="shared" si="26"/>
        <v>A7</v>
      </c>
      <c r="B192" s="2" t="s">
        <v>655</v>
      </c>
      <c r="C192">
        <f t="shared" si="27"/>
        <v>838.5</v>
      </c>
      <c r="D192" t="str">
        <f t="shared" si="28"/>
        <v>UFD</v>
      </c>
      <c r="E192" s="169" t="str">
        <f>IF(OR(A192="",B192="",C192=""),"eine der Spalten BAB, FR, km leer?",CONCATENATE(VLOOKUP(VALUE(I192),[1]Grundlage!$A$1:$B$14,2,0),IF(LEFT(A192,1)="A",IF(VALUE(MID(A192,2,10))&lt;10,"A00"&amp;VALUE(MID(A192,2,10)),IF(VALUE(MID(A192,2,10))&lt;100,"A0"&amp;VALUE(MID(A192,2,10)),IF(VALUE(MID(A192,2,10))&lt;1000,"A"&amp;VALUE(MID(A192,2,10))))),IF(LEFT(A192,1)="B",IF(VALUE(MID(A192,2,10))&lt;10,"B00"&amp;VALUE(MID(A192,2,10)),IF(VALUE(MID(A192,2,10))&lt;100,"B0"&amp;VALUE(MID(A192,2,10)),IF(VALUE(MID(A192,2,10))&lt;1000,"B"&amp;VALUE(MID(A192,2,10))))),A192)),"_",IF(NOT(OR(C192=1000,C192&gt;1000)),MID(TEXT((C192+1000)*1000,0),2,6),"keine Meter in Spalte km!!!"),IF(VALUE(I192)=1,CONCATENATE("_",VLOOKUP(IF(V192&gt;0,V192,J192),[1]Grundlage!$A$20:$B$181,2,0)),CONCATENATE("_",B192))))</f>
        <v>UQ_A007_838500_S</v>
      </c>
      <c r="F192" s="2" t="s">
        <v>43</v>
      </c>
      <c r="G192" s="167">
        <f t="shared" si="37"/>
        <v>2758</v>
      </c>
      <c r="H192">
        <f t="shared" si="38"/>
        <v>21</v>
      </c>
      <c r="I192" s="2">
        <f t="shared" si="29"/>
        <v>3</v>
      </c>
      <c r="J192" s="2">
        <f t="shared" si="30"/>
        <v>26</v>
      </c>
      <c r="K192" s="2">
        <v>205</v>
      </c>
      <c r="L192" s="2">
        <f t="shared" si="31"/>
        <v>12</v>
      </c>
      <c r="M192" s="2">
        <f t="shared" si="32"/>
        <v>1</v>
      </c>
      <c r="N192" s="2">
        <f t="shared" si="33"/>
        <v>10</v>
      </c>
      <c r="P192" s="168">
        <f t="shared" si="34"/>
        <v>57</v>
      </c>
      <c r="AT192" s="19">
        <v>3</v>
      </c>
      <c r="AU192" s="14">
        <v>26</v>
      </c>
      <c r="AV192" s="14" t="s">
        <v>86</v>
      </c>
      <c r="AW192" s="13"/>
      <c r="AX192" s="13"/>
      <c r="AY192" s="19">
        <f t="shared" si="39"/>
        <v>1</v>
      </c>
      <c r="AZ192" s="14">
        <v>10</v>
      </c>
      <c r="BA192" s="14" t="s">
        <v>95</v>
      </c>
      <c r="BB192" s="13" t="s">
        <v>43</v>
      </c>
      <c r="BF192" s="13" t="s">
        <v>446</v>
      </c>
    </row>
    <row r="193" spans="1:58" ht="14.25" x14ac:dyDescent="0.2">
      <c r="A193" t="str">
        <f t="shared" si="26"/>
        <v>A7</v>
      </c>
      <c r="B193" s="2" t="s">
        <v>655</v>
      </c>
      <c r="C193">
        <f t="shared" si="27"/>
        <v>838.5</v>
      </c>
      <c r="D193" t="str">
        <f t="shared" si="28"/>
        <v>UFD</v>
      </c>
      <c r="E193" s="169" t="str">
        <f>IF(OR(A193="",B193="",C193=""),"eine der Spalten BAB, FR, km leer?",CONCATENATE(VLOOKUP(VALUE(I193),[1]Grundlage!$A$1:$B$14,2,0),IF(LEFT(A193,1)="A",IF(VALUE(MID(A193,2,10))&lt;10,"A00"&amp;VALUE(MID(A193,2,10)),IF(VALUE(MID(A193,2,10))&lt;100,"A0"&amp;VALUE(MID(A193,2,10)),IF(VALUE(MID(A193,2,10))&lt;1000,"A"&amp;VALUE(MID(A193,2,10))))),IF(LEFT(A193,1)="B",IF(VALUE(MID(A193,2,10))&lt;10,"B00"&amp;VALUE(MID(A193,2,10)),IF(VALUE(MID(A193,2,10))&lt;100,"B0"&amp;VALUE(MID(A193,2,10)),IF(VALUE(MID(A193,2,10))&lt;1000,"B"&amp;VALUE(MID(A193,2,10))))),A193)),"_",IF(NOT(OR(C193=1000,C193&gt;1000)),MID(TEXT((C193+1000)*1000,0),2,6),"keine Meter in Spalte km!!!"),IF(VALUE(I193)=1,CONCATENATE("_",VLOOKUP(IF(V193&gt;0,V193,J193),[1]Grundlage!$A$20:$B$181,2,0)),CONCATENATE("_",B193))))</f>
        <v>UQ_A007_838500_S</v>
      </c>
      <c r="F193" s="2" t="s">
        <v>271</v>
      </c>
      <c r="G193" s="167">
        <f t="shared" si="37"/>
        <v>2758</v>
      </c>
      <c r="H193">
        <f t="shared" si="38"/>
        <v>21</v>
      </c>
      <c r="I193" s="2">
        <f t="shared" si="29"/>
        <v>3</v>
      </c>
      <c r="J193" s="2">
        <f t="shared" si="30"/>
        <v>67</v>
      </c>
      <c r="K193" s="2">
        <v>205</v>
      </c>
      <c r="L193" s="2">
        <f t="shared" si="31"/>
        <v>12</v>
      </c>
      <c r="M193" s="2">
        <f t="shared" si="32"/>
        <v>1</v>
      </c>
      <c r="N193" s="2">
        <f t="shared" si="33"/>
        <v>11</v>
      </c>
      <c r="P193" s="168">
        <f t="shared" si="34"/>
        <v>53</v>
      </c>
      <c r="AT193" s="19">
        <v>3</v>
      </c>
      <c r="AU193" s="14">
        <v>67</v>
      </c>
      <c r="AV193" s="14">
        <v>43</v>
      </c>
      <c r="AW193" s="13"/>
      <c r="AX193" s="13"/>
      <c r="AY193" s="19">
        <f t="shared" si="39"/>
        <v>1</v>
      </c>
      <c r="AZ193" s="14">
        <v>11</v>
      </c>
      <c r="BA193" s="14" t="s">
        <v>78</v>
      </c>
      <c r="BB193" s="13" t="s">
        <v>271</v>
      </c>
      <c r="BF193" s="13" t="s">
        <v>444</v>
      </c>
    </row>
    <row r="194" spans="1:58" ht="14.25" x14ac:dyDescent="0.2">
      <c r="A194" t="str">
        <f t="shared" si="26"/>
        <v>A7</v>
      </c>
      <c r="B194" s="2" t="s">
        <v>655</v>
      </c>
      <c r="C194">
        <f t="shared" si="27"/>
        <v>838.5</v>
      </c>
      <c r="D194" t="str">
        <f t="shared" si="28"/>
        <v>UFD</v>
      </c>
      <c r="E194" s="169" t="str">
        <f>IF(OR(A194="",B194="",C194=""),"eine der Spalten BAB, FR, km leer?",CONCATENATE(VLOOKUP(VALUE(I194),[1]Grundlage!$A$1:$B$14,2,0),IF(LEFT(A194,1)="A",IF(VALUE(MID(A194,2,10))&lt;10,"A00"&amp;VALUE(MID(A194,2,10)),IF(VALUE(MID(A194,2,10))&lt;100,"A0"&amp;VALUE(MID(A194,2,10)),IF(VALUE(MID(A194,2,10))&lt;1000,"A"&amp;VALUE(MID(A194,2,10))))),IF(LEFT(A194,1)="B",IF(VALUE(MID(A194,2,10))&lt;10,"B00"&amp;VALUE(MID(A194,2,10)),IF(VALUE(MID(A194,2,10))&lt;100,"B0"&amp;VALUE(MID(A194,2,10)),IF(VALUE(MID(A194,2,10))&lt;1000,"B"&amp;VALUE(MID(A194,2,10))))),A194)),"_",IF(NOT(OR(C194=1000,C194&gt;1000)),MID(TEXT((C194+1000)*1000,0),2,6),"keine Meter in Spalte km!!!"),IF(VALUE(I194)=1,CONCATENATE("_",VLOOKUP(IF(V194&gt;0,V194,J194),[1]Grundlage!$A$20:$B$181,2,0)),CONCATENATE("_",B194))))</f>
        <v>UQ_A007_838500_S</v>
      </c>
      <c r="F194" s="2" t="s">
        <v>272</v>
      </c>
      <c r="G194" s="167">
        <f t="shared" si="37"/>
        <v>2758</v>
      </c>
      <c r="H194">
        <f t="shared" si="38"/>
        <v>21</v>
      </c>
      <c r="I194" s="2">
        <f t="shared" si="29"/>
        <v>3</v>
      </c>
      <c r="J194" s="2">
        <f t="shared" si="30"/>
        <v>82</v>
      </c>
      <c r="K194" s="2">
        <v>205</v>
      </c>
      <c r="L194" s="2">
        <f t="shared" si="31"/>
        <v>12</v>
      </c>
      <c r="M194" s="2">
        <f t="shared" si="32"/>
        <v>1</v>
      </c>
      <c r="N194" s="2">
        <f t="shared" si="33"/>
        <v>12</v>
      </c>
      <c r="P194" s="168">
        <f t="shared" si="34"/>
        <v>72</v>
      </c>
      <c r="AT194" s="19">
        <v>3</v>
      </c>
      <c r="AU194" s="14">
        <v>82</v>
      </c>
      <c r="AV194" s="14">
        <v>52</v>
      </c>
      <c r="AW194" s="13"/>
      <c r="AX194" s="13"/>
      <c r="AY194" s="19">
        <f t="shared" si="39"/>
        <v>1</v>
      </c>
      <c r="AZ194" s="14">
        <v>12</v>
      </c>
      <c r="BA194" s="14" t="s">
        <v>79</v>
      </c>
      <c r="BB194" s="13" t="s">
        <v>272</v>
      </c>
      <c r="BF194" s="13" t="s">
        <v>537</v>
      </c>
    </row>
    <row r="195" spans="1:58" ht="14.25" x14ac:dyDescent="0.2">
      <c r="A195" t="str">
        <f t="shared" si="26"/>
        <v>A7</v>
      </c>
      <c r="C195">
        <f t="shared" si="27"/>
        <v>838.5</v>
      </c>
      <c r="D195" t="str">
        <f t="shared" si="28"/>
        <v/>
      </c>
      <c r="E195" s="169" t="str">
        <f>IF(OR(A195="",B195="",C195=""),"",CONCATENATE(VLOOKUP(VALUE(I195),[1]Grundlage!$A$1:$B$14,2,0),IF(LEFT(A195,1)="A",IF(VALUE(MID(A195,2,10))&lt;10,"A00"&amp;VALUE(MID(A195,2,10)),IF(VALUE(MID(A195,2,10))&lt;100,"A0"&amp;VALUE(MID(A195,2,10)),IF(VALUE(MID(A195,2,10))&lt;1000,"A"&amp;VALUE(MID(A195,2,10))))),IF(LEFT(A195,1)="B",IF(VALUE(MID(A195,2,10))&lt;10,"B00"&amp;VALUE(MID(A195,2,10)),IF(VALUE(MID(A195,2,10))&lt;100,"B0"&amp;VALUE(MID(A195,2,10)),IF(VALUE(MID(A195,2,10))&lt;1000,"B"&amp;VALUE(MID(A195,2,10))))),A195)),"_",IF(NOT(OR(C195=1000,C195&gt;1000)),MID(TEXT((C195+1000)*1000,0),2,6),"keine Meter in Spalte km!!!"),IF(VALUE(I195)=1,CONCATENATE("_",VLOOKUP(IF(V195&gt;0,V195,J195),[1]Grundlage!$A$20:$B$181,2,0)),CONCATENATE("_",B195))))</f>
        <v/>
      </c>
      <c r="F195" s="2" t="s">
        <v>669</v>
      </c>
      <c r="G195" s="167">
        <f t="shared" si="37"/>
        <v>2758</v>
      </c>
      <c r="H195">
        <f t="shared" si="38"/>
        <v>21</v>
      </c>
      <c r="I195" s="2">
        <f t="shared" si="29"/>
        <v>0</v>
      </c>
      <c r="J195" s="2">
        <f t="shared" si="30"/>
        <v>0</v>
      </c>
      <c r="K195" s="2">
        <v>205</v>
      </c>
      <c r="L195" s="2">
        <f t="shared" si="31"/>
        <v>12</v>
      </c>
      <c r="M195" s="2" t="str">
        <f t="shared" si="32"/>
        <v/>
      </c>
      <c r="N195" s="2" t="str">
        <f t="shared" si="33"/>
        <v/>
      </c>
      <c r="P195" s="168" t="str">
        <f t="shared" si="34"/>
        <v/>
      </c>
      <c r="AT195" s="19"/>
      <c r="AU195" s="14"/>
      <c r="AV195" s="14"/>
      <c r="AZ195" s="14"/>
      <c r="BB195" s="13"/>
    </row>
    <row r="196" spans="1:58" ht="14.25" x14ac:dyDescent="0.2">
      <c r="A196" t="str">
        <f t="shared" si="26"/>
        <v>A96</v>
      </c>
      <c r="B196" s="2" t="s">
        <v>657</v>
      </c>
      <c r="C196">
        <f t="shared" si="27"/>
        <v>58.1</v>
      </c>
      <c r="D196" t="str">
        <f t="shared" si="28"/>
        <v>SS</v>
      </c>
      <c r="E196" s="169" t="str">
        <f>IF(OR(A196="",B196="",C196=""),"eine der Spalten BAB, FR, km leer?",CONCATENATE(VLOOKUP(VALUE(I196),[1]Grundlage!$A$1:$B$14,2,0),IF(LEFT(A196,1)="A",IF(VALUE(MID(A196,2,10))&lt;10,"A00"&amp;VALUE(MID(A196,2,10)),IF(VALUE(MID(A196,2,10))&lt;100,"A0"&amp;VALUE(MID(A196,2,10)),IF(VALUE(MID(A196,2,10))&lt;1000,"A"&amp;VALUE(MID(A196,2,10))))),IF(LEFT(A196,1)="B",IF(VALUE(MID(A196,2,10))&lt;10,"B00"&amp;VALUE(MID(A196,2,10)),IF(VALUE(MID(A196,2,10))&lt;100,"B0"&amp;VALUE(MID(A196,2,10)),IF(VALUE(MID(A196,2,10))&lt;1000,"B"&amp;VALUE(MID(A196,2,10))))),A196)),"_",IF(NOT(OR(C196=1000,C196&gt;1000)),MID(TEXT((C196+1000)*1000,0),2,6),"keine Meter in Spalte km!!!"),IF(VALUE(I196)=1,CONCATENATE("_",VLOOKUP(IF(V196&gt;0,V196,J196),[1]Grundlage!$A$20:$B$181,2,0)),CONCATENATE("_",B196))))</f>
        <v>SSt_A096_058100_W</v>
      </c>
      <c r="F196" s="2" t="s">
        <v>539</v>
      </c>
      <c r="G196" s="167">
        <f t="shared" si="37"/>
        <v>37565</v>
      </c>
      <c r="H196">
        <f t="shared" si="38"/>
        <v>252</v>
      </c>
      <c r="I196" s="2">
        <f t="shared" si="29"/>
        <v>254</v>
      </c>
      <c r="J196" s="2">
        <f t="shared" si="30"/>
        <v>0</v>
      </c>
      <c r="K196" s="2">
        <v>205</v>
      </c>
      <c r="L196" s="2">
        <f t="shared" si="31"/>
        <v>13</v>
      </c>
      <c r="M196" s="2" t="str">
        <f t="shared" si="32"/>
        <v/>
      </c>
      <c r="N196" s="2" t="str">
        <f t="shared" si="33"/>
        <v/>
      </c>
      <c r="P196" s="168" t="str">
        <f t="shared" si="34"/>
        <v/>
      </c>
      <c r="AI196" s="35">
        <v>58.1</v>
      </c>
      <c r="AJ196" s="36" t="s">
        <v>19</v>
      </c>
      <c r="AK196" s="36" t="s">
        <v>51</v>
      </c>
      <c r="AL196" s="36"/>
      <c r="AM196" s="36"/>
      <c r="AN196" s="36"/>
      <c r="AO196" s="36"/>
      <c r="AP196" s="36">
        <v>9616892</v>
      </c>
      <c r="AQ196" s="36">
        <v>92</v>
      </c>
      <c r="AR196" s="36" t="s">
        <v>225</v>
      </c>
      <c r="AS196" s="36" t="s">
        <v>224</v>
      </c>
      <c r="AT196" s="36"/>
      <c r="AU196" s="36"/>
      <c r="AV196" s="36"/>
      <c r="AW196" s="36"/>
      <c r="AX196" s="36">
        <v>13</v>
      </c>
      <c r="AY196" s="36"/>
      <c r="AZ196" s="36"/>
      <c r="BA196" s="36"/>
      <c r="BB196" s="37" t="s">
        <v>539</v>
      </c>
      <c r="BC196" s="38"/>
      <c r="BD196" s="99" t="s">
        <v>163</v>
      </c>
      <c r="BE196" s="39" t="s">
        <v>18</v>
      </c>
      <c r="BF196" s="2" t="s">
        <v>538</v>
      </c>
    </row>
    <row r="197" spans="1:58" ht="14.25" x14ac:dyDescent="0.2">
      <c r="A197" t="s">
        <v>51</v>
      </c>
      <c r="B197" s="2" t="s">
        <v>657</v>
      </c>
      <c r="C197">
        <f>IF(ISBLANK(AI197),C196,AI197)</f>
        <v>58.1</v>
      </c>
      <c r="D197" t="str">
        <f t="shared" si="28"/>
        <v>UFD</v>
      </c>
      <c r="E197" s="169" t="str">
        <f>IF(OR(A197="",B197="",C197=""),"eine der Spalten BAB, FR, km leer?",CONCATENATE(VLOOKUP(VALUE(I197),[1]Grundlage!$A$1:$B$14,2,0),IF(LEFT(A197,1)="A",IF(VALUE(MID(A197,2,10))&lt;10,"A00"&amp;VALUE(MID(A197,2,10)),IF(VALUE(MID(A197,2,10))&lt;100,"A0"&amp;VALUE(MID(A197,2,10)),IF(VALUE(MID(A197,2,10))&lt;1000,"A"&amp;VALUE(MID(A197,2,10))))),IF(LEFT(A197,1)="B",IF(VALUE(MID(A197,2,10))&lt;10,"B00"&amp;VALUE(MID(A197,2,10)),IF(VALUE(MID(A197,2,10))&lt;100,"B0"&amp;VALUE(MID(A197,2,10)),IF(VALUE(MID(A197,2,10))&lt;1000,"B"&amp;VALUE(MID(A197,2,10))))),A197)),"_",IF(NOT(OR(C197=1000,C197&gt;1000)),MID(TEXT((C197+1000)*1000,0),2,6),"keine Meter in Spalte km!!!"),IF(VALUE(I197)=1,CONCATENATE("_",VLOOKUP(IF(V197&gt;0,V197,J197),[1]Grundlage!$A$20:$B$181,2,0)),CONCATENATE("_",B197))))</f>
        <v>UQ_A096_058100_W</v>
      </c>
      <c r="F197" s="2" t="s">
        <v>269</v>
      </c>
      <c r="G197" s="167">
        <f t="shared" si="37"/>
        <v>37565</v>
      </c>
      <c r="H197">
        <f t="shared" si="38"/>
        <v>252</v>
      </c>
      <c r="I197" s="2">
        <f t="shared" si="29"/>
        <v>3</v>
      </c>
      <c r="J197" s="2">
        <f t="shared" si="30"/>
        <v>6</v>
      </c>
      <c r="K197" s="2">
        <v>205</v>
      </c>
      <c r="L197" s="2">
        <f t="shared" si="31"/>
        <v>13</v>
      </c>
      <c r="M197" s="2">
        <f t="shared" si="32"/>
        <v>1</v>
      </c>
      <c r="N197" s="2">
        <f t="shared" si="33"/>
        <v>1</v>
      </c>
      <c r="P197" s="168">
        <f t="shared" si="34"/>
        <v>71</v>
      </c>
      <c r="AK197" s="2" t="s">
        <v>434</v>
      </c>
      <c r="AT197" s="19">
        <v>3</v>
      </c>
      <c r="AU197" s="14">
        <v>6</v>
      </c>
      <c r="AV197" s="27">
        <v>6</v>
      </c>
      <c r="AW197" s="19"/>
      <c r="AX197" s="19"/>
      <c r="AY197" s="19">
        <v>1</v>
      </c>
      <c r="AZ197" s="14">
        <v>1</v>
      </c>
      <c r="BA197" s="27">
        <v>1</v>
      </c>
      <c r="BB197" s="13" t="s">
        <v>269</v>
      </c>
      <c r="BC197" s="30"/>
      <c r="BD197" s="30"/>
      <c r="BF197" s="2" t="s">
        <v>440</v>
      </c>
    </row>
    <row r="198" spans="1:58" ht="14.25" x14ac:dyDescent="0.2">
      <c r="A198" t="str">
        <f t="shared" si="26"/>
        <v>A96</v>
      </c>
      <c r="B198" s="2" t="s">
        <v>657</v>
      </c>
      <c r="C198">
        <f t="shared" si="27"/>
        <v>58.1</v>
      </c>
      <c r="D198" t="str">
        <f t="shared" si="28"/>
        <v>UFD</v>
      </c>
      <c r="E198" s="169" t="str">
        <f>IF(OR(A198="",B198="",C198=""),"eine der Spalten BAB, FR, km leer?",CONCATENATE(VLOOKUP(VALUE(I198),[1]Grundlage!$A$1:$B$14,2,0),IF(LEFT(A198,1)="A",IF(VALUE(MID(A198,2,10))&lt;10,"A00"&amp;VALUE(MID(A198,2,10)),IF(VALUE(MID(A198,2,10))&lt;100,"A0"&amp;VALUE(MID(A198,2,10)),IF(VALUE(MID(A198,2,10))&lt;1000,"A"&amp;VALUE(MID(A198,2,10))))),IF(LEFT(A198,1)="B",IF(VALUE(MID(A198,2,10))&lt;10,"B00"&amp;VALUE(MID(A198,2,10)),IF(VALUE(MID(A198,2,10))&lt;100,"B0"&amp;VALUE(MID(A198,2,10)),IF(VALUE(MID(A198,2,10))&lt;1000,"B"&amp;VALUE(MID(A198,2,10))))),A198)),"_",IF(NOT(OR(C198=1000,C198&gt;1000)),MID(TEXT((C198+1000)*1000,0),2,6),"keine Meter in Spalte km!!!"),IF(VALUE(I198)=1,CONCATENATE("_",VLOOKUP(IF(V198&gt;0,V198,J198),[1]Grundlage!$A$20:$B$181,2,0)),CONCATENATE("_",B198))))</f>
        <v>UQ_A096_058100_W</v>
      </c>
      <c r="F198" s="2" t="s">
        <v>270</v>
      </c>
      <c r="G198" s="167">
        <f t="shared" si="37"/>
        <v>37565</v>
      </c>
      <c r="H198">
        <f t="shared" si="38"/>
        <v>252</v>
      </c>
      <c r="I198" s="2">
        <f t="shared" si="29"/>
        <v>3</v>
      </c>
      <c r="J198" s="2">
        <f t="shared" si="30"/>
        <v>11</v>
      </c>
      <c r="K198" s="2">
        <v>205</v>
      </c>
      <c r="L198" s="2">
        <f t="shared" si="31"/>
        <v>13</v>
      </c>
      <c r="M198" s="2">
        <f t="shared" si="32"/>
        <v>1</v>
      </c>
      <c r="N198" s="2">
        <f t="shared" si="33"/>
        <v>2</v>
      </c>
      <c r="P198" s="168">
        <f t="shared" si="34"/>
        <v>70</v>
      </c>
      <c r="AL198" s="2" t="s">
        <v>435</v>
      </c>
      <c r="AT198" s="19">
        <v>3</v>
      </c>
      <c r="AU198" s="14">
        <v>11</v>
      </c>
      <c r="AV198" s="14" t="s">
        <v>78</v>
      </c>
      <c r="AW198" s="13"/>
      <c r="AX198" s="13"/>
      <c r="AY198" s="19">
        <v>1</v>
      </c>
      <c r="AZ198" s="14">
        <v>2</v>
      </c>
      <c r="BA198" s="14">
        <v>2</v>
      </c>
      <c r="BB198" s="13" t="s">
        <v>270</v>
      </c>
      <c r="BC198" s="30"/>
      <c r="BD198" s="30"/>
      <c r="BF198" s="2" t="s">
        <v>509</v>
      </c>
    </row>
    <row r="199" spans="1:58" ht="14.25" x14ac:dyDescent="0.2">
      <c r="A199" t="str">
        <f t="shared" si="26"/>
        <v>A96</v>
      </c>
      <c r="B199" s="2" t="s">
        <v>657</v>
      </c>
      <c r="C199">
        <f t="shared" si="27"/>
        <v>58.1</v>
      </c>
      <c r="D199" t="str">
        <f t="shared" si="28"/>
        <v>UFD</v>
      </c>
      <c r="E199" s="169" t="str">
        <f>IF(OR(A199="",B199="",C199=""),"eine der Spalten BAB, FR, km leer?",CONCATENATE(VLOOKUP(VALUE(I199),[1]Grundlage!$A$1:$B$14,2,0),IF(LEFT(A199,1)="A",IF(VALUE(MID(A199,2,10))&lt;10,"A00"&amp;VALUE(MID(A199,2,10)),IF(VALUE(MID(A199,2,10))&lt;100,"A0"&amp;VALUE(MID(A199,2,10)),IF(VALUE(MID(A199,2,10))&lt;1000,"A"&amp;VALUE(MID(A199,2,10))))),IF(LEFT(A199,1)="B",IF(VALUE(MID(A199,2,10))&lt;10,"B00"&amp;VALUE(MID(A199,2,10)),IF(VALUE(MID(A199,2,10))&lt;100,"B0"&amp;VALUE(MID(A199,2,10)),IF(VALUE(MID(A199,2,10))&lt;1000,"B"&amp;VALUE(MID(A199,2,10))))),A199)),"_",IF(NOT(OR(C199=1000,C199&gt;1000)),MID(TEXT((C199+1000)*1000,0),2,6),"keine Meter in Spalte km!!!"),IF(VALUE(I199)=1,CONCATENATE("_",VLOOKUP(IF(V199&gt;0,V199,J199),[1]Grundlage!$A$20:$B$181,2,0)),CONCATENATE("_",B199))))</f>
        <v>UQ_A096_058100_W</v>
      </c>
      <c r="F199" s="2" t="s">
        <v>25</v>
      </c>
      <c r="G199" s="167">
        <f t="shared" si="37"/>
        <v>37565</v>
      </c>
      <c r="H199">
        <f t="shared" si="38"/>
        <v>252</v>
      </c>
      <c r="I199" s="2">
        <f t="shared" si="29"/>
        <v>3</v>
      </c>
      <c r="J199" s="2">
        <f t="shared" si="30"/>
        <v>12</v>
      </c>
      <c r="K199" s="2">
        <v>205</v>
      </c>
      <c r="L199" s="2">
        <f t="shared" si="31"/>
        <v>13</v>
      </c>
      <c r="M199" s="2">
        <f t="shared" si="32"/>
        <v>63</v>
      </c>
      <c r="N199" s="2">
        <f t="shared" si="33"/>
        <v>3</v>
      </c>
      <c r="P199" s="168">
        <f t="shared" si="34"/>
        <v>48</v>
      </c>
      <c r="AT199" s="19">
        <v>3</v>
      </c>
      <c r="AU199" s="14">
        <v>12</v>
      </c>
      <c r="AV199" s="14" t="s">
        <v>79</v>
      </c>
      <c r="AW199" s="13"/>
      <c r="AX199" s="13"/>
      <c r="AY199" s="19">
        <v>63</v>
      </c>
      <c r="AZ199" s="34">
        <v>3</v>
      </c>
      <c r="BA199" s="104" t="s">
        <v>278</v>
      </c>
      <c r="BB199" s="101" t="s">
        <v>25</v>
      </c>
      <c r="BC199" s="30"/>
      <c r="BD199" s="30"/>
      <c r="BF199" s="13" t="s">
        <v>441</v>
      </c>
    </row>
    <row r="200" spans="1:58" ht="14.25" x14ac:dyDescent="0.2">
      <c r="A200" t="s">
        <v>51</v>
      </c>
      <c r="B200" s="2" t="s">
        <v>657</v>
      </c>
      <c r="C200">
        <f t="shared" si="27"/>
        <v>58.1</v>
      </c>
      <c r="D200" t="str">
        <f t="shared" si="28"/>
        <v>UFD</v>
      </c>
      <c r="E200" s="169" t="str">
        <f>IF(OR(A200="",B200="",C200=""),"eine der Spalten BAB, FR, km leer?",CONCATENATE(VLOOKUP(VALUE(I200),[1]Grundlage!$A$1:$B$14,2,0),IF(LEFT(A200,1)="A",IF(VALUE(MID(A200,2,10))&lt;10,"A00"&amp;VALUE(MID(A200,2,10)),IF(VALUE(MID(A200,2,10))&lt;100,"A0"&amp;VALUE(MID(A200,2,10)),IF(VALUE(MID(A200,2,10))&lt;1000,"A"&amp;VALUE(MID(A200,2,10))))),IF(LEFT(A200,1)="B",IF(VALUE(MID(A200,2,10))&lt;10,"B00"&amp;VALUE(MID(A200,2,10)),IF(VALUE(MID(A200,2,10))&lt;100,"B0"&amp;VALUE(MID(A200,2,10)),IF(VALUE(MID(A200,2,10))&lt;1000,"B"&amp;VALUE(MID(A200,2,10))))),A200)),"_",IF(NOT(OR(C200=1000,C200&gt;1000)),MID(TEXT((C200+1000)*1000,0),2,6),"keine Meter in Spalte km!!!"),IF(VALUE(I200)=1,CONCATENATE("_",VLOOKUP(IF(V200&gt;0,V200,J200),[1]Grundlage!$A$20:$B$181,2,0)),CONCATENATE("_",B200))))</f>
        <v>UQ_A096_058100_W</v>
      </c>
      <c r="F200" s="2" t="s">
        <v>26</v>
      </c>
      <c r="G200" s="167">
        <f t="shared" si="37"/>
        <v>37565</v>
      </c>
      <c r="H200">
        <f t="shared" si="38"/>
        <v>252</v>
      </c>
      <c r="I200" s="2">
        <f t="shared" si="29"/>
        <v>3</v>
      </c>
      <c r="J200" s="2">
        <f t="shared" si="30"/>
        <v>13</v>
      </c>
      <c r="K200" s="2">
        <v>205</v>
      </c>
      <c r="L200" s="2">
        <f t="shared" si="31"/>
        <v>13</v>
      </c>
      <c r="M200" s="2">
        <f t="shared" si="32"/>
        <v>63</v>
      </c>
      <c r="N200" s="2">
        <f t="shared" si="33"/>
        <v>4</v>
      </c>
      <c r="P200" s="168">
        <f t="shared" si="34"/>
        <v>55</v>
      </c>
      <c r="AK200" s="2" t="s">
        <v>438</v>
      </c>
      <c r="AL200" s="2" t="s">
        <v>436</v>
      </c>
      <c r="AT200" s="19">
        <v>3</v>
      </c>
      <c r="AU200" s="14">
        <v>13</v>
      </c>
      <c r="AV200" s="14" t="s">
        <v>80</v>
      </c>
      <c r="AW200" s="13"/>
      <c r="AX200" s="13"/>
      <c r="AY200" s="19">
        <v>63</v>
      </c>
      <c r="AZ200" s="34">
        <v>4</v>
      </c>
      <c r="BA200" s="104" t="s">
        <v>277</v>
      </c>
      <c r="BB200" s="101" t="s">
        <v>26</v>
      </c>
      <c r="BC200" s="30"/>
      <c r="BD200" s="30"/>
      <c r="BF200" s="13" t="s">
        <v>442</v>
      </c>
    </row>
    <row r="201" spans="1:58" ht="14.25" x14ac:dyDescent="0.2">
      <c r="A201" t="s">
        <v>51</v>
      </c>
      <c r="B201" s="2" t="s">
        <v>657</v>
      </c>
      <c r="C201">
        <f t="shared" si="27"/>
        <v>58.1</v>
      </c>
      <c r="D201" t="str">
        <f t="shared" si="28"/>
        <v>UFD</v>
      </c>
      <c r="E201" s="169" t="str">
        <f>IF(OR(A201="",B201="",C201=""),"eine der Spalten BAB, FR, km leer?",CONCATENATE(VLOOKUP(VALUE(I201),[1]Grundlage!$A$1:$B$14,2,0),IF(LEFT(A201,1)="A",IF(VALUE(MID(A201,2,10))&lt;10,"A00"&amp;VALUE(MID(A201,2,10)),IF(VALUE(MID(A201,2,10))&lt;100,"A0"&amp;VALUE(MID(A201,2,10)),IF(VALUE(MID(A201,2,10))&lt;1000,"A"&amp;VALUE(MID(A201,2,10))))),IF(LEFT(A201,1)="B",IF(VALUE(MID(A201,2,10))&lt;10,"B00"&amp;VALUE(MID(A201,2,10)),IF(VALUE(MID(A201,2,10))&lt;100,"B0"&amp;VALUE(MID(A201,2,10)),IF(VALUE(MID(A201,2,10))&lt;1000,"B"&amp;VALUE(MID(A201,2,10))))),A201)),"_",IF(NOT(OR(C201=1000,C201&gt;1000)),MID(TEXT((C201+1000)*1000,0),2,6),"keine Meter in Spalte km!!!"),IF(VALUE(I201)=1,CONCATENATE("_",VLOOKUP(IF(V201&gt;0,V201,J201),[1]Grundlage!$A$20:$B$181,2,0)),CONCATENATE("_",B201))))</f>
        <v>UQ_A096_058100_W</v>
      </c>
      <c r="F201" s="2" t="s">
        <v>27</v>
      </c>
      <c r="G201" s="167">
        <f t="shared" si="37"/>
        <v>37565</v>
      </c>
      <c r="H201">
        <f t="shared" si="38"/>
        <v>252</v>
      </c>
      <c r="I201" s="2">
        <f t="shared" si="29"/>
        <v>3</v>
      </c>
      <c r="J201" s="2">
        <f t="shared" si="30"/>
        <v>14</v>
      </c>
      <c r="K201" s="2">
        <v>205</v>
      </c>
      <c r="L201" s="2">
        <f t="shared" si="31"/>
        <v>13</v>
      </c>
      <c r="M201" s="2">
        <f t="shared" si="32"/>
        <v>63</v>
      </c>
      <c r="N201" s="2">
        <f t="shared" si="33"/>
        <v>5</v>
      </c>
      <c r="P201" s="168">
        <f t="shared" si="34"/>
        <v>66</v>
      </c>
      <c r="AK201" s="13" t="s">
        <v>439</v>
      </c>
      <c r="AL201" s="2" t="s">
        <v>437</v>
      </c>
      <c r="AT201" s="19">
        <v>3</v>
      </c>
      <c r="AU201" s="14">
        <v>14</v>
      </c>
      <c r="AV201" s="14" t="s">
        <v>81</v>
      </c>
      <c r="AW201" s="13"/>
      <c r="AX201" s="13"/>
      <c r="AY201" s="19">
        <v>63</v>
      </c>
      <c r="AZ201" s="34">
        <v>5</v>
      </c>
      <c r="BA201" s="104" t="s">
        <v>279</v>
      </c>
      <c r="BB201" s="101" t="s">
        <v>27</v>
      </c>
      <c r="BC201" s="30"/>
      <c r="BD201" s="30"/>
      <c r="BF201" s="13" t="s">
        <v>443</v>
      </c>
    </row>
    <row r="202" spans="1:58" ht="14.25" x14ac:dyDescent="0.2">
      <c r="A202" t="s">
        <v>51</v>
      </c>
      <c r="B202" s="2" t="s">
        <v>657</v>
      </c>
      <c r="C202">
        <f t="shared" ref="C202:C265" si="40">IF(ISBLANK(AI202),C201,AI202)</f>
        <v>58.1</v>
      </c>
      <c r="D202" t="str">
        <f t="shared" ref="D202:D265" si="41">IF(AJ202="SST","SS",IF(AND(AJ202="",ISTEXT(BB202)),"UFD",""))</f>
        <v>UFD</v>
      </c>
      <c r="E202" s="169" t="str">
        <f>IF(OR(A202="",B202="",C202=""),"eine der Spalten BAB, FR, km leer?",CONCATENATE(VLOOKUP(VALUE(I202),[1]Grundlage!$A$1:$B$14,2,0),IF(LEFT(A202,1)="A",IF(VALUE(MID(A202,2,10))&lt;10,"A00"&amp;VALUE(MID(A202,2,10)),IF(VALUE(MID(A202,2,10))&lt;100,"A0"&amp;VALUE(MID(A202,2,10)),IF(VALUE(MID(A202,2,10))&lt;1000,"A"&amp;VALUE(MID(A202,2,10))))),IF(LEFT(A202,1)="B",IF(VALUE(MID(A202,2,10))&lt;10,"B00"&amp;VALUE(MID(A202,2,10)),IF(VALUE(MID(A202,2,10))&lt;100,"B0"&amp;VALUE(MID(A202,2,10)),IF(VALUE(MID(A202,2,10))&lt;1000,"B"&amp;VALUE(MID(A202,2,10))))),A202)),"_",IF(NOT(OR(C202=1000,C202&gt;1000)),MID(TEXT((C202+1000)*1000,0),2,6),"keine Meter in Spalte km!!!"),IF(VALUE(I202)=1,CONCATENATE("_",VLOOKUP(IF(V202&gt;0,V202,J202),[1]Grundlage!$A$20:$B$181,2,0)),CONCATENATE("_",B202))))</f>
        <v>UQ_A096_058100_W</v>
      </c>
      <c r="F202" s="2" t="s">
        <v>28</v>
      </c>
      <c r="G202" s="167">
        <f t="shared" si="37"/>
        <v>37565</v>
      </c>
      <c r="H202">
        <f t="shared" si="38"/>
        <v>252</v>
      </c>
      <c r="I202" s="2">
        <f t="shared" ref="I202:I265" si="42">IF(D202="SS",254,AT202)</f>
        <v>3</v>
      </c>
      <c r="J202" s="2">
        <f t="shared" ref="J202:J265" si="43">IF(D202="SS",0,AU202)</f>
        <v>15</v>
      </c>
      <c r="K202" s="2">
        <v>205</v>
      </c>
      <c r="L202" s="2">
        <f t="shared" ref="L202:L265" si="44">IF(ISBLANK(AX202),L201,AX202)</f>
        <v>13</v>
      </c>
      <c r="M202" s="2">
        <f t="shared" ref="M202:M265" si="45">IF(ISBLANK(AY202),"",AY202)</f>
        <v>63</v>
      </c>
      <c r="N202" s="2">
        <f t="shared" ref="N202:N265" si="46">IF(ISBLANK(AZ202),"",AZ202)</f>
        <v>6</v>
      </c>
      <c r="P202" s="168">
        <f t="shared" si="34"/>
        <v>65</v>
      </c>
      <c r="AT202" s="19">
        <v>3</v>
      </c>
      <c r="AU202" s="14">
        <v>15</v>
      </c>
      <c r="AV202" s="14" t="s">
        <v>82</v>
      </c>
      <c r="AW202" s="13"/>
      <c r="AX202" s="13"/>
      <c r="AY202" s="19">
        <v>63</v>
      </c>
      <c r="AZ202" s="34">
        <v>6</v>
      </c>
      <c r="BA202" s="104" t="s">
        <v>280</v>
      </c>
      <c r="BB202" s="101" t="s">
        <v>28</v>
      </c>
      <c r="BC202" s="30"/>
      <c r="BD202" s="30"/>
      <c r="BF202" s="13" t="s">
        <v>510</v>
      </c>
    </row>
    <row r="203" spans="1:58" ht="14.25" x14ac:dyDescent="0.2">
      <c r="A203" t="s">
        <v>51</v>
      </c>
      <c r="B203" s="2" t="s">
        <v>657</v>
      </c>
      <c r="C203">
        <f t="shared" si="40"/>
        <v>58.1</v>
      </c>
      <c r="D203" t="str">
        <f t="shared" si="41"/>
        <v>UFD</v>
      </c>
      <c r="E203" s="169" t="str">
        <f>IF(OR(A203="",B203="",C203=""),"eine der Spalten BAB, FR, km leer?",CONCATENATE(VLOOKUP(VALUE(I203),[1]Grundlage!$A$1:$B$14,2,0),IF(LEFT(A203,1)="A",IF(VALUE(MID(A203,2,10))&lt;10,"A00"&amp;VALUE(MID(A203,2,10)),IF(VALUE(MID(A203,2,10))&lt;100,"A0"&amp;VALUE(MID(A203,2,10)),IF(VALUE(MID(A203,2,10))&lt;1000,"A"&amp;VALUE(MID(A203,2,10))))),IF(LEFT(A203,1)="B",IF(VALUE(MID(A203,2,10))&lt;10,"B00"&amp;VALUE(MID(A203,2,10)),IF(VALUE(MID(A203,2,10))&lt;100,"B0"&amp;VALUE(MID(A203,2,10)),IF(VALUE(MID(A203,2,10))&lt;1000,"B"&amp;VALUE(MID(A203,2,10))))),A203)),"_",IF(NOT(OR(C203=1000,C203&gt;1000)),MID(TEXT((C203+1000)*1000,0),2,6),"keine Meter in Spalte km!!!"),IF(VALUE(I203)=1,CONCATENATE("_",VLOOKUP(IF(V203&gt;0,V203,J203),[1]Grundlage!$A$20:$B$181,2,0)),CONCATENATE("_",B203))))</f>
        <v>UQ_A096_058100_W</v>
      </c>
      <c r="F203" s="2" t="s">
        <v>29</v>
      </c>
      <c r="G203" s="167">
        <f t="shared" si="37"/>
        <v>37565</v>
      </c>
      <c r="H203">
        <f t="shared" si="38"/>
        <v>252</v>
      </c>
      <c r="I203" s="2">
        <f t="shared" si="42"/>
        <v>3</v>
      </c>
      <c r="J203" s="2">
        <f t="shared" si="43"/>
        <v>19</v>
      </c>
      <c r="K203" s="2">
        <v>205</v>
      </c>
      <c r="L203" s="2">
        <f t="shared" si="44"/>
        <v>13</v>
      </c>
      <c r="M203" s="2">
        <f t="shared" si="45"/>
        <v>63</v>
      </c>
      <c r="N203" s="2">
        <f t="shared" si="46"/>
        <v>7</v>
      </c>
      <c r="P203" s="168">
        <f t="shared" ref="P203:P266" si="47">IF(AT203&lt;&gt;3,"",IF(BB203="Helligkeitssensor",61,IF(BB203="Helligkeit",61,IF(BB204="Lichtsensor",61,IF(BB203="Lufttemperatur",48,IF(BB203="Niederschlagsart",71,IF(BB203="Niederschlagsintensität",53,IF(BB203="relative Luftfeuchte RLF",55,IF(BB203="Sichtweite",60,IF(BB203="Sichtweite 1",60,IF(BB203="Zustand der Fahrbahnoberfläche FBZ",79,IF(BB203="Wasserfilmdicke WFD",72,IF(BB203="Clusterkanal FG3","",IF(BB203="Gefriertemperatur GT",65,IF(BB203="Fahrbahnoberflächentemperatur FBT",49,VALUE(RIGHT(BB203,2)))))))))))))))))</f>
        <v>49</v>
      </c>
      <c r="AT203" s="19">
        <v>3</v>
      </c>
      <c r="AU203" s="14">
        <v>19</v>
      </c>
      <c r="AV203" s="14">
        <v>13</v>
      </c>
      <c r="AW203" s="13"/>
      <c r="AX203" s="13"/>
      <c r="AY203" s="19">
        <v>63</v>
      </c>
      <c r="AZ203" s="34">
        <v>7</v>
      </c>
      <c r="BA203" s="104" t="s">
        <v>281</v>
      </c>
      <c r="BB203" s="101" t="s">
        <v>29</v>
      </c>
      <c r="BC203" s="30"/>
      <c r="BD203" s="30"/>
      <c r="BF203" s="13" t="s">
        <v>511</v>
      </c>
    </row>
    <row r="204" spans="1:58" ht="14.25" x14ac:dyDescent="0.2">
      <c r="A204" t="s">
        <v>51</v>
      </c>
      <c r="B204" s="2" t="s">
        <v>657</v>
      </c>
      <c r="C204">
        <f t="shared" si="40"/>
        <v>58.1</v>
      </c>
      <c r="D204" t="str">
        <f t="shared" si="41"/>
        <v>UFD</v>
      </c>
      <c r="E204" s="169" t="str">
        <f>IF(OR(A204="",B204="",C204=""),"eine der Spalten BAB, FR, km leer?",CONCATENATE(VLOOKUP(VALUE(I204),[1]Grundlage!$A$1:$B$14,2,0),IF(LEFT(A204,1)="A",IF(VALUE(MID(A204,2,10))&lt;10,"A00"&amp;VALUE(MID(A204,2,10)),IF(VALUE(MID(A204,2,10))&lt;100,"A0"&amp;VALUE(MID(A204,2,10)),IF(VALUE(MID(A204,2,10))&lt;1000,"A"&amp;VALUE(MID(A204,2,10))))),IF(LEFT(A204,1)="B",IF(VALUE(MID(A204,2,10))&lt;10,"B00"&amp;VALUE(MID(A204,2,10)),IF(VALUE(MID(A204,2,10))&lt;100,"B0"&amp;VALUE(MID(A204,2,10)),IF(VALUE(MID(A204,2,10))&lt;1000,"B"&amp;VALUE(MID(A204,2,10))))),A204)),"_",IF(NOT(OR(C204=1000,C204&gt;1000)),MID(TEXT((C204+1000)*1000,0),2,6),"keine Meter in Spalte km!!!"),IF(VALUE(I204)=1,CONCATENATE("_",VLOOKUP(IF(V204&gt;0,V204,J204),[1]Grundlage!$A$20:$B$181,2,0)),CONCATENATE("_",B204))))</f>
        <v>UQ_A096_058100_W</v>
      </c>
      <c r="F204" s="2" t="s">
        <v>30</v>
      </c>
      <c r="G204" s="167">
        <f t="shared" si="37"/>
        <v>37565</v>
      </c>
      <c r="H204">
        <f t="shared" si="38"/>
        <v>252</v>
      </c>
      <c r="I204" s="2">
        <f t="shared" si="42"/>
        <v>3</v>
      </c>
      <c r="J204" s="2">
        <f t="shared" si="43"/>
        <v>21</v>
      </c>
      <c r="K204" s="2">
        <v>205</v>
      </c>
      <c r="L204" s="2">
        <f t="shared" si="44"/>
        <v>13</v>
      </c>
      <c r="M204" s="2">
        <f t="shared" si="45"/>
        <v>63</v>
      </c>
      <c r="N204" s="2">
        <f t="shared" si="46"/>
        <v>8</v>
      </c>
      <c r="P204" s="168">
        <f t="shared" si="47"/>
        <v>67</v>
      </c>
      <c r="AT204" s="19">
        <v>3</v>
      </c>
      <c r="AU204" s="14">
        <v>21</v>
      </c>
      <c r="AV204" s="14">
        <v>15</v>
      </c>
      <c r="AW204" s="13"/>
      <c r="AX204" s="13"/>
      <c r="AY204" s="19">
        <v>63</v>
      </c>
      <c r="AZ204" s="34">
        <v>8</v>
      </c>
      <c r="BA204" s="104" t="s">
        <v>282</v>
      </c>
      <c r="BB204" s="101" t="s">
        <v>30</v>
      </c>
      <c r="BC204" s="30"/>
      <c r="BD204" s="30"/>
      <c r="BF204" s="13" t="s">
        <v>512</v>
      </c>
    </row>
    <row r="205" spans="1:58" ht="14.25" x14ac:dyDescent="0.2">
      <c r="A205" t="str">
        <f t="shared" ref="A205:A265" si="48">IF(ISBLANK(AK205),A204,AK205)</f>
        <v>A96</v>
      </c>
      <c r="B205" s="2" t="s">
        <v>657</v>
      </c>
      <c r="C205">
        <f t="shared" si="40"/>
        <v>58.1</v>
      </c>
      <c r="D205" t="str">
        <f t="shared" si="41"/>
        <v>UFD</v>
      </c>
      <c r="E205" s="169" t="str">
        <f>IF(OR(A205="",B205="",C205=""),"eine der Spalten BAB, FR, km leer?",CONCATENATE(VLOOKUP(VALUE(I205),[1]Grundlage!$A$1:$B$14,2,0),IF(LEFT(A205,1)="A",IF(VALUE(MID(A205,2,10))&lt;10,"A00"&amp;VALUE(MID(A205,2,10)),IF(VALUE(MID(A205,2,10))&lt;100,"A0"&amp;VALUE(MID(A205,2,10)),IF(VALUE(MID(A205,2,10))&lt;1000,"A"&amp;VALUE(MID(A205,2,10))))),IF(LEFT(A205,1)="B",IF(VALUE(MID(A205,2,10))&lt;10,"B00"&amp;VALUE(MID(A205,2,10)),IF(VALUE(MID(A205,2,10))&lt;100,"B0"&amp;VALUE(MID(A205,2,10)),IF(VALUE(MID(A205,2,10))&lt;1000,"B"&amp;VALUE(MID(A205,2,10))))),A205)),"_",IF(NOT(OR(C205=1000,C205&gt;1000)),MID(TEXT((C205+1000)*1000,0),2,6),"keine Meter in Spalte km!!!"),IF(VALUE(I205)=1,CONCATENATE("_",VLOOKUP(IF(V205&gt;0,V205,J205),[1]Grundlage!$A$20:$B$181,2,0)),CONCATENATE("_",B205))))</f>
        <v>UQ_A096_058100_W</v>
      </c>
      <c r="F205" s="2" t="s">
        <v>41</v>
      </c>
      <c r="G205" s="167">
        <f t="shared" si="37"/>
        <v>37565</v>
      </c>
      <c r="H205">
        <f t="shared" si="38"/>
        <v>252</v>
      </c>
      <c r="I205" s="2">
        <f t="shared" si="42"/>
        <v>3</v>
      </c>
      <c r="J205" s="2">
        <f t="shared" si="43"/>
        <v>24</v>
      </c>
      <c r="K205" s="2">
        <v>205</v>
      </c>
      <c r="L205" s="2">
        <f t="shared" si="44"/>
        <v>13</v>
      </c>
      <c r="M205" s="2">
        <f t="shared" si="45"/>
        <v>63</v>
      </c>
      <c r="N205" s="2">
        <f t="shared" si="46"/>
        <v>9</v>
      </c>
      <c r="P205" s="168">
        <f t="shared" si="47"/>
        <v>69</v>
      </c>
      <c r="AT205" s="19">
        <v>3</v>
      </c>
      <c r="AU205" s="14">
        <v>24</v>
      </c>
      <c r="AV205" s="14">
        <v>18</v>
      </c>
      <c r="AW205" s="13"/>
      <c r="AX205" s="13"/>
      <c r="AY205" s="19">
        <v>63</v>
      </c>
      <c r="AZ205" s="34">
        <v>9</v>
      </c>
      <c r="BA205" s="104" t="s">
        <v>283</v>
      </c>
      <c r="BB205" s="101" t="s">
        <v>41</v>
      </c>
      <c r="BC205" s="30"/>
      <c r="BD205" s="30"/>
      <c r="BF205" s="13" t="s">
        <v>514</v>
      </c>
    </row>
    <row r="206" spans="1:58" ht="14.25" x14ac:dyDescent="0.2">
      <c r="A206" t="str">
        <f t="shared" si="48"/>
        <v>A96</v>
      </c>
      <c r="B206" s="2" t="s">
        <v>657</v>
      </c>
      <c r="C206">
        <f t="shared" si="40"/>
        <v>58.1</v>
      </c>
      <c r="D206" t="str">
        <f t="shared" si="41"/>
        <v>UFD</v>
      </c>
      <c r="E206" s="169" t="str">
        <f>IF(OR(A206="",B206="",C206=""),"eine der Spalten BAB, FR, km leer?",CONCATENATE(VLOOKUP(VALUE(I206),[1]Grundlage!$A$1:$B$14,2,0),IF(LEFT(A206,1)="A",IF(VALUE(MID(A206,2,10))&lt;10,"A00"&amp;VALUE(MID(A206,2,10)),IF(VALUE(MID(A206,2,10))&lt;100,"A0"&amp;VALUE(MID(A206,2,10)),IF(VALUE(MID(A206,2,10))&lt;1000,"A"&amp;VALUE(MID(A206,2,10))))),IF(LEFT(A206,1)="B",IF(VALUE(MID(A206,2,10))&lt;10,"B00"&amp;VALUE(MID(A206,2,10)),IF(VALUE(MID(A206,2,10))&lt;100,"B0"&amp;VALUE(MID(A206,2,10)),IF(VALUE(MID(A206,2,10))&lt;1000,"B"&amp;VALUE(MID(A206,2,10))))),A206)),"_",IF(NOT(OR(C206=1000,C206&gt;1000)),MID(TEXT((C206+1000)*1000,0),2,6),"keine Meter in Spalte km!!!"),IF(VALUE(I206)=1,CONCATENATE("_",VLOOKUP(IF(V206&gt;0,V206,J206),[1]Grundlage!$A$20:$B$181,2,0)),CONCATENATE("_",B206))))</f>
        <v>UQ_A096_058100_W</v>
      </c>
      <c r="F206" s="2" t="s">
        <v>42</v>
      </c>
      <c r="G206" s="167">
        <f t="shared" si="37"/>
        <v>37565</v>
      </c>
      <c r="H206">
        <f t="shared" si="38"/>
        <v>252</v>
      </c>
      <c r="I206" s="2">
        <f t="shared" si="42"/>
        <v>3</v>
      </c>
      <c r="J206" s="2">
        <f t="shared" si="43"/>
        <v>25</v>
      </c>
      <c r="K206" s="2">
        <v>205</v>
      </c>
      <c r="L206" s="2">
        <f t="shared" si="44"/>
        <v>13</v>
      </c>
      <c r="M206" s="2">
        <f t="shared" si="45"/>
        <v>63</v>
      </c>
      <c r="N206" s="2">
        <f t="shared" si="46"/>
        <v>10</v>
      </c>
      <c r="P206" s="168">
        <f>IF(AT206&lt;&gt;3,"",IF(BB206="Helligkeitssensor",61,IF(BB206="Helligkeit",61,IF(BB207="Lichtsensor",61,IF(BB206="Lufttemperatur",48,IF(BB206="Niederschlagsart",71,IF(BB206="Niederschlagsintensität",53,IF(BB206="relative Luftfeuchte RLF",55,IF(BB206="Sichtweite",60,IF(BB206="Sichtweite 1",60,IF(BB206="Zustand der Fahrbahnoberfläche FBZ",79,IF(BB206="Wasserfilmdicke WFD",72,IF(BB206="Clusterkanal FG3","",IF(BB206="Gefriertemperatur GT",65,IF(BB206="Fahrbahnoberflächentemperatur FBT",49,IF(BB206="Windrichtung  Typ 56 ",56,VALUE(RIGHT(BB206,2))))))))))))))))))</f>
        <v>56</v>
      </c>
      <c r="AI206" s="21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9">
        <v>3</v>
      </c>
      <c r="AU206" s="14">
        <v>25</v>
      </c>
      <c r="AV206" s="14">
        <v>19</v>
      </c>
      <c r="AW206" s="13"/>
      <c r="AX206" s="13"/>
      <c r="AY206" s="19">
        <v>63</v>
      </c>
      <c r="AZ206" s="34">
        <v>10</v>
      </c>
      <c r="BA206" s="104" t="s">
        <v>95</v>
      </c>
      <c r="BB206" s="101" t="s">
        <v>42</v>
      </c>
      <c r="BC206" s="30"/>
      <c r="BD206" s="30"/>
      <c r="BF206" s="13" t="s">
        <v>515</v>
      </c>
    </row>
    <row r="207" spans="1:58" ht="14.25" x14ac:dyDescent="0.2">
      <c r="A207" t="str">
        <f t="shared" si="48"/>
        <v>A96</v>
      </c>
      <c r="B207" s="2" t="s">
        <v>657</v>
      </c>
      <c r="C207">
        <f t="shared" si="40"/>
        <v>58.1</v>
      </c>
      <c r="D207" t="str">
        <f t="shared" si="41"/>
        <v>UFD</v>
      </c>
      <c r="E207" s="169" t="str">
        <f>IF(OR(A207="",B207="",C207=""),"eine der Spalten BAB, FR, km leer?",CONCATENATE(VLOOKUP(VALUE(I207),[1]Grundlage!$A$1:$B$14,2,0),IF(LEFT(A207,1)="A",IF(VALUE(MID(A207,2,10))&lt;10,"A00"&amp;VALUE(MID(A207,2,10)),IF(VALUE(MID(A207,2,10))&lt;100,"A0"&amp;VALUE(MID(A207,2,10)),IF(VALUE(MID(A207,2,10))&lt;1000,"A"&amp;VALUE(MID(A207,2,10))))),IF(LEFT(A207,1)="B",IF(VALUE(MID(A207,2,10))&lt;10,"B00"&amp;VALUE(MID(A207,2,10)),IF(VALUE(MID(A207,2,10))&lt;100,"B0"&amp;VALUE(MID(A207,2,10)),IF(VALUE(MID(A207,2,10))&lt;1000,"B"&amp;VALUE(MID(A207,2,10))))),A207)),"_",IF(NOT(OR(C207=1000,C207&gt;1000)),MID(TEXT((C207+1000)*1000,0),2,6),"keine Meter in Spalte km!!!"),IF(VALUE(I207)=1,CONCATENATE("_",VLOOKUP(IF(V207&gt;0,V207,J207),[1]Grundlage!$A$20:$B$181,2,0)),CONCATENATE("_",B207))))</f>
        <v>UQ_A096_058100_W</v>
      </c>
      <c r="F207" s="2" t="s">
        <v>43</v>
      </c>
      <c r="G207" s="167">
        <f t="shared" si="37"/>
        <v>37565</v>
      </c>
      <c r="H207">
        <f t="shared" si="38"/>
        <v>252</v>
      </c>
      <c r="I207" s="2">
        <f t="shared" si="42"/>
        <v>3</v>
      </c>
      <c r="J207" s="2">
        <f t="shared" si="43"/>
        <v>26</v>
      </c>
      <c r="K207" s="2">
        <v>205</v>
      </c>
      <c r="L207" s="2">
        <f t="shared" si="44"/>
        <v>13</v>
      </c>
      <c r="M207" s="2">
        <f t="shared" si="45"/>
        <v>63</v>
      </c>
      <c r="N207" s="2">
        <f t="shared" si="46"/>
        <v>11</v>
      </c>
      <c r="P207" s="168">
        <f t="shared" si="47"/>
        <v>57</v>
      </c>
      <c r="AI207" s="21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9">
        <v>3</v>
      </c>
      <c r="AU207" s="14">
        <v>26</v>
      </c>
      <c r="AV207" s="14" t="s">
        <v>86</v>
      </c>
      <c r="AW207" s="13"/>
      <c r="AX207" s="13"/>
      <c r="AY207" s="19">
        <v>63</v>
      </c>
      <c r="AZ207" s="34">
        <v>11</v>
      </c>
      <c r="BA207" s="104" t="s">
        <v>78</v>
      </c>
      <c r="BB207" s="101" t="s">
        <v>43</v>
      </c>
      <c r="BC207" s="30"/>
      <c r="BD207" s="30"/>
      <c r="BF207" s="13" t="s">
        <v>446</v>
      </c>
    </row>
    <row r="208" spans="1:58" ht="14.25" x14ac:dyDescent="0.2">
      <c r="A208" t="str">
        <f t="shared" si="48"/>
        <v>A96</v>
      </c>
      <c r="B208" s="2" t="s">
        <v>657</v>
      </c>
      <c r="C208">
        <f t="shared" si="40"/>
        <v>58.1</v>
      </c>
      <c r="D208" t="str">
        <f t="shared" si="41"/>
        <v>UFD</v>
      </c>
      <c r="E208" s="169" t="str">
        <f>IF(OR(A208="",B208="",C208=""),"eine der Spalten BAB, FR, km leer?",CONCATENATE(VLOOKUP(VALUE(I208),[1]Grundlage!$A$1:$B$14,2,0),IF(LEFT(A208,1)="A",IF(VALUE(MID(A208,2,10))&lt;10,"A00"&amp;VALUE(MID(A208,2,10)),IF(VALUE(MID(A208,2,10))&lt;100,"A0"&amp;VALUE(MID(A208,2,10)),IF(VALUE(MID(A208,2,10))&lt;1000,"A"&amp;VALUE(MID(A208,2,10))))),IF(LEFT(A208,1)="B",IF(VALUE(MID(A208,2,10))&lt;10,"B00"&amp;VALUE(MID(A208,2,10)),IF(VALUE(MID(A208,2,10))&lt;100,"B0"&amp;VALUE(MID(A208,2,10)),IF(VALUE(MID(A208,2,10))&lt;1000,"B"&amp;VALUE(MID(A208,2,10))))),A208)),"_",IF(NOT(OR(C208=1000,C208&gt;1000)),MID(TEXT((C208+1000)*1000,0),2,6),"keine Meter in Spalte km!!!"),IF(VALUE(I208)=1,CONCATENATE("_",VLOOKUP(IF(V208&gt;0,V208,J208),[1]Grundlage!$A$20:$B$181,2,0)),CONCATENATE("_",B208))))</f>
        <v>UQ_A096_058100_W</v>
      </c>
      <c r="F208" s="2" t="s">
        <v>271</v>
      </c>
      <c r="G208" s="167">
        <f t="shared" si="37"/>
        <v>37565</v>
      </c>
      <c r="H208">
        <f t="shared" si="38"/>
        <v>252</v>
      </c>
      <c r="I208" s="2">
        <f t="shared" si="42"/>
        <v>3</v>
      </c>
      <c r="J208" s="2">
        <f t="shared" si="43"/>
        <v>67</v>
      </c>
      <c r="K208" s="2">
        <v>205</v>
      </c>
      <c r="L208" s="2">
        <f t="shared" si="44"/>
        <v>13</v>
      </c>
      <c r="M208" s="2">
        <f t="shared" si="45"/>
        <v>1</v>
      </c>
      <c r="N208" s="2">
        <f t="shared" si="46"/>
        <v>12</v>
      </c>
      <c r="P208" s="168">
        <f t="shared" si="47"/>
        <v>53</v>
      </c>
      <c r="AI208" s="21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9">
        <v>3</v>
      </c>
      <c r="AU208" s="14">
        <v>67</v>
      </c>
      <c r="AV208" s="14">
        <v>43</v>
      </c>
      <c r="AW208" s="13"/>
      <c r="AX208" s="13"/>
      <c r="AY208" s="19">
        <v>1</v>
      </c>
      <c r="AZ208" s="14">
        <v>12</v>
      </c>
      <c r="BA208" s="34" t="s">
        <v>79</v>
      </c>
      <c r="BB208" s="13" t="s">
        <v>271</v>
      </c>
      <c r="BC208" s="30"/>
      <c r="BD208" s="30"/>
      <c r="BF208" s="13" t="s">
        <v>444</v>
      </c>
    </row>
    <row r="209" spans="1:58" ht="14.25" x14ac:dyDescent="0.2">
      <c r="A209" t="str">
        <f t="shared" si="48"/>
        <v>A96</v>
      </c>
      <c r="B209" s="2" t="s">
        <v>657</v>
      </c>
      <c r="C209">
        <f t="shared" si="40"/>
        <v>58.1</v>
      </c>
      <c r="D209" t="str">
        <f t="shared" si="41"/>
        <v>UFD</v>
      </c>
      <c r="E209" s="169" t="str">
        <f>IF(OR(A209="",B209="",C209=""),"eine der Spalten BAB, FR, km leer?",CONCATENATE(VLOOKUP(VALUE(I209),[1]Grundlage!$A$1:$B$14,2,0),IF(LEFT(A209,1)="A",IF(VALUE(MID(A209,2,10))&lt;10,"A00"&amp;VALUE(MID(A209,2,10)),IF(VALUE(MID(A209,2,10))&lt;100,"A0"&amp;VALUE(MID(A209,2,10)),IF(VALUE(MID(A209,2,10))&lt;1000,"A"&amp;VALUE(MID(A209,2,10))))),IF(LEFT(A209,1)="B",IF(VALUE(MID(A209,2,10))&lt;10,"B00"&amp;VALUE(MID(A209,2,10)),IF(VALUE(MID(A209,2,10))&lt;100,"B0"&amp;VALUE(MID(A209,2,10)),IF(VALUE(MID(A209,2,10))&lt;1000,"B"&amp;VALUE(MID(A209,2,10))))),A209)),"_",IF(NOT(OR(C209=1000,C209&gt;1000)),MID(TEXT((C209+1000)*1000,0),2,6),"keine Meter in Spalte km!!!"),IF(VALUE(I209)=1,CONCATENATE("_",VLOOKUP(IF(V209&gt;0,V209,J209),[1]Grundlage!$A$20:$B$181,2,0)),CONCATENATE("_",B209))))</f>
        <v>UQ_A096_058100_W</v>
      </c>
      <c r="F209" s="2" t="s">
        <v>272</v>
      </c>
      <c r="G209" s="167">
        <f t="shared" si="37"/>
        <v>37565</v>
      </c>
      <c r="H209">
        <f t="shared" si="38"/>
        <v>252</v>
      </c>
      <c r="I209" s="2">
        <f t="shared" si="42"/>
        <v>3</v>
      </c>
      <c r="J209" s="2">
        <f t="shared" si="43"/>
        <v>82</v>
      </c>
      <c r="K209" s="2">
        <v>205</v>
      </c>
      <c r="L209" s="2">
        <f t="shared" si="44"/>
        <v>13</v>
      </c>
      <c r="M209" s="2">
        <f t="shared" si="45"/>
        <v>1</v>
      </c>
      <c r="N209" s="2">
        <f t="shared" si="46"/>
        <v>13</v>
      </c>
      <c r="P209" s="168">
        <f t="shared" si="47"/>
        <v>72</v>
      </c>
      <c r="AI209" s="21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9">
        <v>3</v>
      </c>
      <c r="AU209" s="14">
        <v>82</v>
      </c>
      <c r="AV209" s="14">
        <v>52</v>
      </c>
      <c r="AW209" s="13"/>
      <c r="AX209" s="13"/>
      <c r="AY209" s="19">
        <v>1</v>
      </c>
      <c r="AZ209" s="14">
        <v>13</v>
      </c>
      <c r="BA209" s="34" t="s">
        <v>80</v>
      </c>
      <c r="BB209" s="13" t="s">
        <v>272</v>
      </c>
      <c r="BC209" s="30"/>
      <c r="BD209" s="30"/>
      <c r="BF209" s="13" t="s">
        <v>513</v>
      </c>
    </row>
    <row r="210" spans="1:58" ht="14.25" x14ac:dyDescent="0.2">
      <c r="A210" t="str">
        <f t="shared" si="48"/>
        <v>A96</v>
      </c>
      <c r="C210">
        <f t="shared" si="40"/>
        <v>58.1</v>
      </c>
      <c r="D210" t="str">
        <f t="shared" si="41"/>
        <v/>
      </c>
      <c r="E210" s="169" t="str">
        <f>IF(OR(A210="",B210="",C210=""),"",CONCATENATE(VLOOKUP(VALUE(I210),[1]Grundlage!$A$1:$B$14,2,0),IF(LEFT(A210,1)="A",IF(VALUE(MID(A210,2,10))&lt;10,"A00"&amp;VALUE(MID(A210,2,10)),IF(VALUE(MID(A210,2,10))&lt;100,"A0"&amp;VALUE(MID(A210,2,10)),IF(VALUE(MID(A210,2,10))&lt;1000,"A"&amp;VALUE(MID(A210,2,10))))),IF(LEFT(A210,1)="B",IF(VALUE(MID(A210,2,10))&lt;10,"B00"&amp;VALUE(MID(A210,2,10)),IF(VALUE(MID(A210,2,10))&lt;100,"B0"&amp;VALUE(MID(A210,2,10)),IF(VALUE(MID(A210,2,10))&lt;1000,"B"&amp;VALUE(MID(A210,2,10))))),A210)),"_",IF(NOT(OR(C210=1000,C210&gt;1000)),MID(TEXT((C210+1000)*1000,0),2,6),"keine Meter in Spalte km!!!"),IF(VALUE(I210)=1,CONCATENATE("_",VLOOKUP(IF(V210&gt;0,V210,J210),[1]Grundlage!$A$20:$B$181,2,0)),CONCATENATE("_",B210))))</f>
        <v/>
      </c>
      <c r="F210" s="2" t="s">
        <v>669</v>
      </c>
      <c r="G210" s="167">
        <f t="shared" si="37"/>
        <v>37565</v>
      </c>
      <c r="H210">
        <f t="shared" si="38"/>
        <v>252</v>
      </c>
      <c r="I210" s="2">
        <f t="shared" si="42"/>
        <v>0</v>
      </c>
      <c r="J210" s="2">
        <f t="shared" si="43"/>
        <v>0</v>
      </c>
      <c r="K210" s="2">
        <v>205</v>
      </c>
      <c r="L210" s="2">
        <f t="shared" si="44"/>
        <v>13</v>
      </c>
      <c r="M210" s="2" t="str">
        <f t="shared" si="45"/>
        <v/>
      </c>
      <c r="N210" s="2" t="str">
        <f t="shared" si="46"/>
        <v/>
      </c>
      <c r="P210" s="168" t="str">
        <f t="shared" si="47"/>
        <v/>
      </c>
      <c r="AT210" s="19"/>
      <c r="AU210" s="14"/>
      <c r="AV210" s="14"/>
      <c r="AY210" s="1"/>
      <c r="AZ210" s="14"/>
      <c r="BA210" s="14"/>
      <c r="BB210" s="13"/>
    </row>
    <row r="211" spans="1:58" ht="15" customHeight="1" x14ac:dyDescent="0.2">
      <c r="A211" t="str">
        <f t="shared" si="48"/>
        <v>A7</v>
      </c>
      <c r="B211" s="2" t="s">
        <v>656</v>
      </c>
      <c r="C211">
        <f t="shared" si="40"/>
        <v>891.05</v>
      </c>
      <c r="D211" t="str">
        <f t="shared" si="41"/>
        <v>SS</v>
      </c>
      <c r="E211" s="169" t="str">
        <f>IF(OR(A211="",B211="",C211=""),"eine der Spalten BAB, FR, km leer?",CONCATENATE(VLOOKUP(VALUE(I211),[1]Grundlage!$A$1:$B$14,2,0),IF(LEFT(A211,1)="A",IF(VALUE(MID(A211,2,10))&lt;10,"A00"&amp;VALUE(MID(A211,2,10)),IF(VALUE(MID(A211,2,10))&lt;100,"A0"&amp;VALUE(MID(A211,2,10)),IF(VALUE(MID(A211,2,10))&lt;1000,"A"&amp;VALUE(MID(A211,2,10))))),IF(LEFT(A211,1)="B",IF(VALUE(MID(A211,2,10))&lt;10,"B00"&amp;VALUE(MID(A211,2,10)),IF(VALUE(MID(A211,2,10))&lt;100,"B0"&amp;VALUE(MID(A211,2,10)),IF(VALUE(MID(A211,2,10))&lt;1000,"B"&amp;VALUE(MID(A211,2,10))))),A211)),"_",IF(NOT(OR(C211=1000,C211&gt;1000)),MID(TEXT((C211+1000)*1000,0),2,6),"keine Meter in Spalte km!!!"),IF(VALUE(I211)=1,CONCATENATE("_",VLOOKUP(IF(V211&gt;0,V211,J211),[1]Grundlage!$A$20:$B$181,2,0)),CONCATENATE("_",B211))))</f>
        <v>SSt_A007_891050_N</v>
      </c>
      <c r="F211" s="2" t="s">
        <v>286</v>
      </c>
      <c r="G211" s="167">
        <f t="shared" si="37"/>
        <v>2748</v>
      </c>
      <c r="H211">
        <f t="shared" si="38"/>
        <v>237</v>
      </c>
      <c r="I211" s="2">
        <f t="shared" si="42"/>
        <v>254</v>
      </c>
      <c r="J211" s="2">
        <f t="shared" si="43"/>
        <v>0</v>
      </c>
      <c r="K211" s="2">
        <v>205</v>
      </c>
      <c r="L211" s="2">
        <f t="shared" si="44"/>
        <v>15</v>
      </c>
      <c r="M211" s="2" t="str">
        <f t="shared" si="45"/>
        <v/>
      </c>
      <c r="N211" s="2" t="str">
        <f t="shared" si="46"/>
        <v/>
      </c>
      <c r="P211" s="168" t="str">
        <f t="shared" si="47"/>
        <v/>
      </c>
      <c r="AI211" s="44">
        <v>891.05</v>
      </c>
      <c r="AJ211" s="36" t="s">
        <v>19</v>
      </c>
      <c r="AK211" s="36" t="s">
        <v>31</v>
      </c>
      <c r="AL211" s="36"/>
      <c r="AM211" s="36"/>
      <c r="AN211" s="36"/>
      <c r="AO211" s="92"/>
      <c r="AP211" s="102">
        <v>703725</v>
      </c>
      <c r="AQ211" s="102" t="s">
        <v>95</v>
      </c>
      <c r="AR211" s="102" t="s">
        <v>290</v>
      </c>
      <c r="AS211" s="102" t="s">
        <v>289</v>
      </c>
      <c r="AT211" s="92"/>
      <c r="AU211" s="92"/>
      <c r="AV211" s="92"/>
      <c r="AW211" s="92"/>
      <c r="AX211" s="92">
        <v>15</v>
      </c>
      <c r="AY211" s="92"/>
      <c r="AZ211" s="92"/>
      <c r="BA211" s="92"/>
      <c r="BB211" s="95" t="s">
        <v>286</v>
      </c>
      <c r="BC211" s="98"/>
      <c r="BD211" s="99" t="s">
        <v>163</v>
      </c>
      <c r="BE211" s="39" t="s">
        <v>18</v>
      </c>
      <c r="BF211" s="13" t="s">
        <v>448</v>
      </c>
    </row>
    <row r="212" spans="1:58" ht="14.25" x14ac:dyDescent="0.2">
      <c r="A212" t="str">
        <f t="shared" si="48"/>
        <v>A7</v>
      </c>
      <c r="B212" s="2" t="s">
        <v>656</v>
      </c>
      <c r="C212">
        <f t="shared" si="40"/>
        <v>891.05</v>
      </c>
      <c r="D212" t="str">
        <f t="shared" si="41"/>
        <v>UFD</v>
      </c>
      <c r="E212" s="169" t="str">
        <f>IF(OR(A212="",B212="",C212=""),"eine der Spalten BAB, FR, km leer?",CONCATENATE(VLOOKUP(VALUE(I212),[1]Grundlage!$A$1:$B$14,2,0),IF(LEFT(A212,1)="A",IF(VALUE(MID(A212,2,10))&lt;10,"A00"&amp;VALUE(MID(A212,2,10)),IF(VALUE(MID(A212,2,10))&lt;100,"A0"&amp;VALUE(MID(A212,2,10)),IF(VALUE(MID(A212,2,10))&lt;1000,"A"&amp;VALUE(MID(A212,2,10))))),IF(LEFT(A212,1)="B",IF(VALUE(MID(A212,2,10))&lt;10,"B00"&amp;VALUE(MID(A212,2,10)),IF(VALUE(MID(A212,2,10))&lt;100,"B0"&amp;VALUE(MID(A212,2,10)),IF(VALUE(MID(A212,2,10))&lt;1000,"B"&amp;VALUE(MID(A212,2,10))))),A212)),"_",IF(NOT(OR(C212=1000,C212&gt;1000)),MID(TEXT((C212+1000)*1000,0),2,6),"keine Meter in Spalte km!!!"),IF(VALUE(I212)=1,CONCATENATE("_",VLOOKUP(IF(V212&gt;0,V212,J212),[1]Grundlage!$A$20:$B$181,2,0)),CONCATENATE("_",B212))))</f>
        <v>UQ_A007_891050_N</v>
      </c>
      <c r="F212" s="2" t="s">
        <v>269</v>
      </c>
      <c r="G212" s="167">
        <f t="shared" si="37"/>
        <v>2748</v>
      </c>
      <c r="H212">
        <f t="shared" si="38"/>
        <v>237</v>
      </c>
      <c r="I212" s="2">
        <f t="shared" si="42"/>
        <v>3</v>
      </c>
      <c r="J212" s="2">
        <f t="shared" si="43"/>
        <v>6</v>
      </c>
      <c r="K212" s="2">
        <v>205</v>
      </c>
      <c r="L212" s="2">
        <f t="shared" si="44"/>
        <v>15</v>
      </c>
      <c r="M212" s="2">
        <f t="shared" si="45"/>
        <v>1</v>
      </c>
      <c r="N212" s="2">
        <f t="shared" si="46"/>
        <v>1</v>
      </c>
      <c r="P212" s="168">
        <f t="shared" si="47"/>
        <v>71</v>
      </c>
      <c r="AI212" s="21"/>
      <c r="AJ212" s="13"/>
      <c r="AK212" s="13"/>
      <c r="AL212" s="13"/>
      <c r="AM212" s="13"/>
      <c r="AN212" s="13"/>
      <c r="AO212" s="13"/>
      <c r="AP212" s="77"/>
      <c r="AQ212" s="77"/>
      <c r="AR212" s="77"/>
      <c r="AS212" s="77"/>
      <c r="AT212" s="19">
        <v>3</v>
      </c>
      <c r="AU212" s="14">
        <v>6</v>
      </c>
      <c r="AV212" s="27">
        <v>6</v>
      </c>
      <c r="AW212" s="19"/>
      <c r="AX212" s="19"/>
      <c r="AY212" s="19">
        <v>1</v>
      </c>
      <c r="AZ212" s="14">
        <v>1</v>
      </c>
      <c r="BA212" s="27">
        <v>1</v>
      </c>
      <c r="BB212" s="13" t="s">
        <v>269</v>
      </c>
      <c r="BC212" s="25"/>
      <c r="BD212" s="25"/>
      <c r="BE212" s="13"/>
      <c r="BF212" s="2" t="s">
        <v>440</v>
      </c>
    </row>
    <row r="213" spans="1:58" ht="14.25" x14ac:dyDescent="0.2">
      <c r="A213" t="str">
        <f t="shared" si="48"/>
        <v>A7</v>
      </c>
      <c r="B213" s="2" t="s">
        <v>656</v>
      </c>
      <c r="C213">
        <f t="shared" si="40"/>
        <v>891.05</v>
      </c>
      <c r="D213" t="str">
        <f t="shared" si="41"/>
        <v>UFD</v>
      </c>
      <c r="E213" s="169" t="str">
        <f>IF(OR(A213="",B213="",C213=""),"eine der Spalten BAB, FR, km leer?",CONCATENATE(VLOOKUP(VALUE(I213),[1]Grundlage!$A$1:$B$14,2,0),IF(LEFT(A213,1)="A",IF(VALUE(MID(A213,2,10))&lt;10,"A00"&amp;VALUE(MID(A213,2,10)),IF(VALUE(MID(A213,2,10))&lt;100,"A0"&amp;VALUE(MID(A213,2,10)),IF(VALUE(MID(A213,2,10))&lt;1000,"A"&amp;VALUE(MID(A213,2,10))))),IF(LEFT(A213,1)="B",IF(VALUE(MID(A213,2,10))&lt;10,"B00"&amp;VALUE(MID(A213,2,10)),IF(VALUE(MID(A213,2,10))&lt;100,"B0"&amp;VALUE(MID(A213,2,10)),IF(VALUE(MID(A213,2,10))&lt;1000,"B"&amp;VALUE(MID(A213,2,10))))),A213)),"_",IF(NOT(OR(C213=1000,C213&gt;1000)),MID(TEXT((C213+1000)*1000,0),2,6),"keine Meter in Spalte km!!!"),IF(VALUE(I213)=1,CONCATENATE("_",VLOOKUP(IF(V213&gt;0,V213,J213),[1]Grundlage!$A$20:$B$181,2,0)),CONCATENATE("_",B213))))</f>
        <v>UQ_A007_891050_N</v>
      </c>
      <c r="F213" s="2" t="s">
        <v>270</v>
      </c>
      <c r="G213" s="167">
        <f t="shared" si="37"/>
        <v>2748</v>
      </c>
      <c r="H213">
        <f t="shared" si="38"/>
        <v>237</v>
      </c>
      <c r="I213" s="2">
        <f t="shared" si="42"/>
        <v>3</v>
      </c>
      <c r="J213" s="2">
        <f t="shared" si="43"/>
        <v>11</v>
      </c>
      <c r="K213" s="2">
        <v>205</v>
      </c>
      <c r="L213" s="2">
        <f t="shared" si="44"/>
        <v>15</v>
      </c>
      <c r="M213" s="2">
        <f t="shared" si="45"/>
        <v>1</v>
      </c>
      <c r="N213" s="2">
        <f t="shared" si="46"/>
        <v>2</v>
      </c>
      <c r="P213" s="168">
        <f t="shared" si="47"/>
        <v>70</v>
      </c>
      <c r="AI213" s="21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9">
        <v>3</v>
      </c>
      <c r="AU213" s="14">
        <v>11</v>
      </c>
      <c r="AV213" s="14" t="s">
        <v>78</v>
      </c>
      <c r="AW213" s="13"/>
      <c r="AX213" s="13"/>
      <c r="AY213" s="19">
        <v>1</v>
      </c>
      <c r="AZ213" s="14">
        <v>2</v>
      </c>
      <c r="BA213" s="14">
        <v>2</v>
      </c>
      <c r="BB213" s="13" t="s">
        <v>270</v>
      </c>
      <c r="BC213" s="25"/>
      <c r="BD213" s="25"/>
      <c r="BE213" s="13"/>
      <c r="BF213" s="2" t="s">
        <v>533</v>
      </c>
    </row>
    <row r="214" spans="1:58" ht="14.25" x14ac:dyDescent="0.2">
      <c r="A214" t="str">
        <f t="shared" si="48"/>
        <v>A7</v>
      </c>
      <c r="B214" s="2" t="s">
        <v>656</v>
      </c>
      <c r="C214">
        <f t="shared" si="40"/>
        <v>891.05</v>
      </c>
      <c r="D214" t="str">
        <f t="shared" si="41"/>
        <v>UFD</v>
      </c>
      <c r="E214" s="169" t="str">
        <f>IF(OR(A214="",B214="",C214=""),"eine der Spalten BAB, FR, km leer?",CONCATENATE(VLOOKUP(VALUE(I214),[1]Grundlage!$A$1:$B$14,2,0),IF(LEFT(A214,1)="A",IF(VALUE(MID(A214,2,10))&lt;10,"A00"&amp;VALUE(MID(A214,2,10)),IF(VALUE(MID(A214,2,10))&lt;100,"A0"&amp;VALUE(MID(A214,2,10)),IF(VALUE(MID(A214,2,10))&lt;1000,"A"&amp;VALUE(MID(A214,2,10))))),IF(LEFT(A214,1)="B",IF(VALUE(MID(A214,2,10))&lt;10,"B00"&amp;VALUE(MID(A214,2,10)),IF(VALUE(MID(A214,2,10))&lt;100,"B0"&amp;VALUE(MID(A214,2,10)),IF(VALUE(MID(A214,2,10))&lt;1000,"B"&amp;VALUE(MID(A214,2,10))))),A214)),"_",IF(NOT(OR(C214=1000,C214&gt;1000)),MID(TEXT((C214+1000)*1000,0),2,6),"keine Meter in Spalte km!!!"),IF(VALUE(I214)=1,CONCATENATE("_",VLOOKUP(IF(V214&gt;0,V214,J214),[1]Grundlage!$A$20:$B$181,2,0)),CONCATENATE("_",B214))))</f>
        <v>UQ_A007_891050_N</v>
      </c>
      <c r="F214" s="2" t="s">
        <v>25</v>
      </c>
      <c r="G214" s="167">
        <f t="shared" si="37"/>
        <v>2748</v>
      </c>
      <c r="H214">
        <f t="shared" si="38"/>
        <v>237</v>
      </c>
      <c r="I214" s="2">
        <f t="shared" si="42"/>
        <v>3</v>
      </c>
      <c r="J214" s="2">
        <f t="shared" si="43"/>
        <v>12</v>
      </c>
      <c r="K214" s="2">
        <v>205</v>
      </c>
      <c r="L214" s="2">
        <f t="shared" si="44"/>
        <v>15</v>
      </c>
      <c r="M214" s="2">
        <f t="shared" si="45"/>
        <v>1</v>
      </c>
      <c r="N214" s="2">
        <f t="shared" si="46"/>
        <v>3</v>
      </c>
      <c r="P214" s="168">
        <f t="shared" si="47"/>
        <v>48</v>
      </c>
      <c r="AI214" s="21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9">
        <v>3</v>
      </c>
      <c r="AU214" s="14">
        <v>12</v>
      </c>
      <c r="AV214" s="14" t="s">
        <v>79</v>
      </c>
      <c r="AW214" s="13"/>
      <c r="AX214" s="13"/>
      <c r="AY214" s="19">
        <v>1</v>
      </c>
      <c r="AZ214" s="14">
        <v>3</v>
      </c>
      <c r="BA214" s="14">
        <v>3</v>
      </c>
      <c r="BB214" s="13" t="s">
        <v>25</v>
      </c>
      <c r="BC214" s="25"/>
      <c r="BD214" s="25"/>
      <c r="BE214" s="13"/>
      <c r="BF214" s="13" t="s">
        <v>441</v>
      </c>
    </row>
    <row r="215" spans="1:58" ht="14.25" x14ac:dyDescent="0.2">
      <c r="A215" t="str">
        <f t="shared" si="48"/>
        <v>A7</v>
      </c>
      <c r="B215" s="2" t="s">
        <v>656</v>
      </c>
      <c r="C215">
        <f t="shared" si="40"/>
        <v>891.05</v>
      </c>
      <c r="D215" t="str">
        <f t="shared" si="41"/>
        <v>UFD</v>
      </c>
      <c r="E215" s="169" t="str">
        <f>IF(OR(A215="",B215="",C215=""),"eine der Spalten BAB, FR, km leer?",CONCATENATE(VLOOKUP(VALUE(I215),[1]Grundlage!$A$1:$B$14,2,0),IF(LEFT(A215,1)="A",IF(VALUE(MID(A215,2,10))&lt;10,"A00"&amp;VALUE(MID(A215,2,10)),IF(VALUE(MID(A215,2,10))&lt;100,"A0"&amp;VALUE(MID(A215,2,10)),IF(VALUE(MID(A215,2,10))&lt;1000,"A"&amp;VALUE(MID(A215,2,10))))),IF(LEFT(A215,1)="B",IF(VALUE(MID(A215,2,10))&lt;10,"B00"&amp;VALUE(MID(A215,2,10)),IF(VALUE(MID(A215,2,10))&lt;100,"B0"&amp;VALUE(MID(A215,2,10)),IF(VALUE(MID(A215,2,10))&lt;1000,"B"&amp;VALUE(MID(A215,2,10))))),A215)),"_",IF(NOT(OR(C215=1000,C215&gt;1000)),MID(TEXT((C215+1000)*1000,0),2,6),"keine Meter in Spalte km!!!"),IF(VALUE(I215)=1,CONCATENATE("_",VLOOKUP(IF(V215&gt;0,V215,J215),[1]Grundlage!$A$20:$B$181,2,0)),CONCATENATE("_",B215))))</f>
        <v>UQ_A007_891050_N</v>
      </c>
      <c r="F215" s="2" t="s">
        <v>26</v>
      </c>
      <c r="G215" s="167">
        <f t="shared" si="37"/>
        <v>2748</v>
      </c>
      <c r="H215">
        <f t="shared" si="38"/>
        <v>237</v>
      </c>
      <c r="I215" s="2">
        <f t="shared" si="42"/>
        <v>3</v>
      </c>
      <c r="J215" s="2">
        <f t="shared" si="43"/>
        <v>13</v>
      </c>
      <c r="K215" s="2">
        <v>205</v>
      </c>
      <c r="L215" s="2">
        <f t="shared" si="44"/>
        <v>15</v>
      </c>
      <c r="M215" s="2">
        <f t="shared" si="45"/>
        <v>1</v>
      </c>
      <c r="N215" s="2">
        <f t="shared" si="46"/>
        <v>4</v>
      </c>
      <c r="P215" s="168">
        <f t="shared" si="47"/>
        <v>55</v>
      </c>
      <c r="AI215" s="21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9">
        <v>3</v>
      </c>
      <c r="AU215" s="14">
        <v>13</v>
      </c>
      <c r="AV215" s="14" t="s">
        <v>80</v>
      </c>
      <c r="AW215" s="13"/>
      <c r="AX215" s="13"/>
      <c r="AY215" s="19">
        <v>1</v>
      </c>
      <c r="AZ215" s="14">
        <v>4</v>
      </c>
      <c r="BA215" s="14">
        <v>4</v>
      </c>
      <c r="BB215" s="13" t="s">
        <v>26</v>
      </c>
      <c r="BC215" s="25"/>
      <c r="BD215" s="25"/>
      <c r="BE215" s="13"/>
      <c r="BF215" s="13" t="s">
        <v>442</v>
      </c>
    </row>
    <row r="216" spans="1:58" ht="14.25" x14ac:dyDescent="0.2">
      <c r="A216" t="str">
        <f t="shared" si="48"/>
        <v>A7</v>
      </c>
      <c r="B216" s="2" t="s">
        <v>656</v>
      </c>
      <c r="C216">
        <f t="shared" si="40"/>
        <v>891.05</v>
      </c>
      <c r="D216" t="str">
        <f t="shared" si="41"/>
        <v>UFD</v>
      </c>
      <c r="E216" s="169" t="str">
        <f>IF(OR(A216="",B216="",C216=""),"eine der Spalten BAB, FR, km leer?",CONCATENATE(VLOOKUP(VALUE(I216),[1]Grundlage!$A$1:$B$14,2,0),IF(LEFT(A216,1)="A",IF(VALUE(MID(A216,2,10))&lt;10,"A00"&amp;VALUE(MID(A216,2,10)),IF(VALUE(MID(A216,2,10))&lt;100,"A0"&amp;VALUE(MID(A216,2,10)),IF(VALUE(MID(A216,2,10))&lt;1000,"A"&amp;VALUE(MID(A216,2,10))))),IF(LEFT(A216,1)="B",IF(VALUE(MID(A216,2,10))&lt;10,"B00"&amp;VALUE(MID(A216,2,10)),IF(VALUE(MID(A216,2,10))&lt;100,"B0"&amp;VALUE(MID(A216,2,10)),IF(VALUE(MID(A216,2,10))&lt;1000,"B"&amp;VALUE(MID(A216,2,10))))),A216)),"_",IF(NOT(OR(C216=1000,C216&gt;1000)),MID(TEXT((C216+1000)*1000,0),2,6),"keine Meter in Spalte km!!!"),IF(VALUE(I216)=1,CONCATENATE("_",VLOOKUP(IF(V216&gt;0,V216,J216),[1]Grundlage!$A$20:$B$181,2,0)),CONCATENATE("_",B216))))</f>
        <v>UQ_A007_891050_N</v>
      </c>
      <c r="F216" s="2" t="s">
        <v>27</v>
      </c>
      <c r="G216" s="167">
        <f t="shared" si="37"/>
        <v>2748</v>
      </c>
      <c r="H216">
        <f t="shared" si="38"/>
        <v>237</v>
      </c>
      <c r="I216" s="2">
        <f t="shared" si="42"/>
        <v>3</v>
      </c>
      <c r="J216" s="2">
        <f t="shared" si="43"/>
        <v>14</v>
      </c>
      <c r="K216" s="2">
        <v>205</v>
      </c>
      <c r="L216" s="2">
        <f t="shared" si="44"/>
        <v>15</v>
      </c>
      <c r="M216" s="2">
        <f t="shared" si="45"/>
        <v>1</v>
      </c>
      <c r="N216" s="2">
        <f t="shared" si="46"/>
        <v>5</v>
      </c>
      <c r="P216" s="168">
        <f t="shared" si="47"/>
        <v>66</v>
      </c>
      <c r="AI216" s="21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9">
        <v>3</v>
      </c>
      <c r="AU216" s="14">
        <v>14</v>
      </c>
      <c r="AV216" s="14" t="s">
        <v>81</v>
      </c>
      <c r="AW216" s="13"/>
      <c r="AX216" s="13"/>
      <c r="AY216" s="19">
        <v>1</v>
      </c>
      <c r="AZ216" s="14">
        <v>5</v>
      </c>
      <c r="BA216" s="14">
        <v>5</v>
      </c>
      <c r="BB216" s="13" t="s">
        <v>27</v>
      </c>
      <c r="BC216" s="25"/>
      <c r="BD216" s="25"/>
      <c r="BE216" s="13"/>
      <c r="BF216" s="13" t="s">
        <v>443</v>
      </c>
    </row>
    <row r="217" spans="1:58" ht="14.25" x14ac:dyDescent="0.2">
      <c r="A217" t="str">
        <f t="shared" si="48"/>
        <v>A7</v>
      </c>
      <c r="B217" s="2" t="s">
        <v>656</v>
      </c>
      <c r="C217">
        <f t="shared" si="40"/>
        <v>891.05</v>
      </c>
      <c r="D217" t="str">
        <f t="shared" si="41"/>
        <v>UFD</v>
      </c>
      <c r="E217" s="169" t="str">
        <f>IF(OR(A217="",B217="",C217=""),"eine der Spalten BAB, FR, km leer?",CONCATENATE(VLOOKUP(VALUE(I217),[1]Grundlage!$A$1:$B$14,2,0),IF(LEFT(A217,1)="A",IF(VALUE(MID(A217,2,10))&lt;10,"A00"&amp;VALUE(MID(A217,2,10)),IF(VALUE(MID(A217,2,10))&lt;100,"A0"&amp;VALUE(MID(A217,2,10)),IF(VALUE(MID(A217,2,10))&lt;1000,"A"&amp;VALUE(MID(A217,2,10))))),IF(LEFT(A217,1)="B",IF(VALUE(MID(A217,2,10))&lt;10,"B00"&amp;VALUE(MID(A217,2,10)),IF(VALUE(MID(A217,2,10))&lt;100,"B0"&amp;VALUE(MID(A217,2,10)),IF(VALUE(MID(A217,2,10))&lt;1000,"B"&amp;VALUE(MID(A217,2,10))))),A217)),"_",IF(NOT(OR(C217=1000,C217&gt;1000)),MID(TEXT((C217+1000)*1000,0),2,6),"keine Meter in Spalte km!!!"),IF(VALUE(I217)=1,CONCATENATE("_",VLOOKUP(IF(V217&gt;0,V217,J217),[1]Grundlage!$A$20:$B$181,2,0)),CONCATENATE("_",B217))))</f>
        <v>UQ_A007_891050_N</v>
      </c>
      <c r="F217" s="2" t="s">
        <v>28</v>
      </c>
      <c r="G217" s="167">
        <f t="shared" si="37"/>
        <v>2748</v>
      </c>
      <c r="H217">
        <f t="shared" si="38"/>
        <v>237</v>
      </c>
      <c r="I217" s="2">
        <f t="shared" si="42"/>
        <v>3</v>
      </c>
      <c r="J217" s="2">
        <f t="shared" si="43"/>
        <v>15</v>
      </c>
      <c r="K217" s="2">
        <v>205</v>
      </c>
      <c r="L217" s="2">
        <f t="shared" si="44"/>
        <v>15</v>
      </c>
      <c r="M217" s="2">
        <f t="shared" si="45"/>
        <v>1</v>
      </c>
      <c r="N217" s="2">
        <f t="shared" si="46"/>
        <v>6</v>
      </c>
      <c r="P217" s="168">
        <f t="shared" si="47"/>
        <v>65</v>
      </c>
      <c r="AI217" s="21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9">
        <v>3</v>
      </c>
      <c r="AU217" s="14">
        <v>15</v>
      </c>
      <c r="AV217" s="14" t="s">
        <v>82</v>
      </c>
      <c r="AW217" s="13"/>
      <c r="AX217" s="13"/>
      <c r="AY217" s="19">
        <v>1</v>
      </c>
      <c r="AZ217" s="14">
        <v>6</v>
      </c>
      <c r="BA217" s="14">
        <v>6</v>
      </c>
      <c r="BB217" s="13" t="s">
        <v>28</v>
      </c>
      <c r="BC217" s="25"/>
      <c r="BD217" s="25"/>
      <c r="BE217" s="13"/>
      <c r="BF217" s="13" t="s">
        <v>534</v>
      </c>
    </row>
    <row r="218" spans="1:58" ht="14.25" x14ac:dyDescent="0.2">
      <c r="A218" t="str">
        <f t="shared" si="48"/>
        <v>A7</v>
      </c>
      <c r="B218" s="2" t="s">
        <v>656</v>
      </c>
      <c r="C218">
        <f t="shared" si="40"/>
        <v>891.05</v>
      </c>
      <c r="D218" t="str">
        <f t="shared" si="41"/>
        <v>UFD</v>
      </c>
      <c r="E218" s="169" t="str">
        <f>IF(OR(A218="",B218="",C218=""),"eine der Spalten BAB, FR, km leer?",CONCATENATE(VLOOKUP(VALUE(I218),[1]Grundlage!$A$1:$B$14,2,0),IF(LEFT(A218,1)="A",IF(VALUE(MID(A218,2,10))&lt;10,"A00"&amp;VALUE(MID(A218,2,10)),IF(VALUE(MID(A218,2,10))&lt;100,"A0"&amp;VALUE(MID(A218,2,10)),IF(VALUE(MID(A218,2,10))&lt;1000,"A"&amp;VALUE(MID(A218,2,10))))),IF(LEFT(A218,1)="B",IF(VALUE(MID(A218,2,10))&lt;10,"B00"&amp;VALUE(MID(A218,2,10)),IF(VALUE(MID(A218,2,10))&lt;100,"B0"&amp;VALUE(MID(A218,2,10)),IF(VALUE(MID(A218,2,10))&lt;1000,"B"&amp;VALUE(MID(A218,2,10))))),A218)),"_",IF(NOT(OR(C218=1000,C218&gt;1000)),MID(TEXT((C218+1000)*1000,0),2,6),"keine Meter in Spalte km!!!"),IF(VALUE(I218)=1,CONCATENATE("_",VLOOKUP(IF(V218&gt;0,V218,J218),[1]Grundlage!$A$20:$B$181,2,0)),CONCATENATE("_",B218))))</f>
        <v>UQ_A007_891050_N</v>
      </c>
      <c r="F218" s="2" t="s">
        <v>29</v>
      </c>
      <c r="G218" s="167">
        <f t="shared" si="37"/>
        <v>2748</v>
      </c>
      <c r="H218">
        <f t="shared" si="38"/>
        <v>237</v>
      </c>
      <c r="I218" s="2">
        <f t="shared" si="42"/>
        <v>3</v>
      </c>
      <c r="J218" s="2">
        <f t="shared" si="43"/>
        <v>19</v>
      </c>
      <c r="K218" s="2">
        <v>205</v>
      </c>
      <c r="L218" s="2">
        <f t="shared" si="44"/>
        <v>15</v>
      </c>
      <c r="M218" s="2">
        <f t="shared" si="45"/>
        <v>1</v>
      </c>
      <c r="N218" s="2">
        <f t="shared" si="46"/>
        <v>7</v>
      </c>
      <c r="P218" s="168">
        <f t="shared" si="47"/>
        <v>49</v>
      </c>
      <c r="AI218" s="21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9">
        <v>3</v>
      </c>
      <c r="AU218" s="14">
        <v>19</v>
      </c>
      <c r="AV218" s="14">
        <v>13</v>
      </c>
      <c r="AW218" s="13"/>
      <c r="AX218" s="13"/>
      <c r="AY218" s="19">
        <v>1</v>
      </c>
      <c r="AZ218" s="14">
        <v>7</v>
      </c>
      <c r="BA218" s="14">
        <v>7</v>
      </c>
      <c r="BB218" s="13" t="s">
        <v>29</v>
      </c>
      <c r="BC218" s="25"/>
      <c r="BD218" s="25"/>
      <c r="BE218" s="13"/>
      <c r="BF218" s="13" t="s">
        <v>535</v>
      </c>
    </row>
    <row r="219" spans="1:58" ht="14.25" x14ac:dyDescent="0.2">
      <c r="A219" t="str">
        <f t="shared" si="48"/>
        <v>A7</v>
      </c>
      <c r="B219" s="2" t="s">
        <v>656</v>
      </c>
      <c r="C219">
        <f t="shared" si="40"/>
        <v>891.05</v>
      </c>
      <c r="D219" t="str">
        <f t="shared" si="41"/>
        <v>UFD</v>
      </c>
      <c r="E219" s="169" t="str">
        <f>IF(OR(A219="",B219="",C219=""),"eine der Spalten BAB, FR, km leer?",CONCATENATE(VLOOKUP(VALUE(I219),[1]Grundlage!$A$1:$B$14,2,0),IF(LEFT(A219,1)="A",IF(VALUE(MID(A219,2,10))&lt;10,"A00"&amp;VALUE(MID(A219,2,10)),IF(VALUE(MID(A219,2,10))&lt;100,"A0"&amp;VALUE(MID(A219,2,10)),IF(VALUE(MID(A219,2,10))&lt;1000,"A"&amp;VALUE(MID(A219,2,10))))),IF(LEFT(A219,1)="B",IF(VALUE(MID(A219,2,10))&lt;10,"B00"&amp;VALUE(MID(A219,2,10)),IF(VALUE(MID(A219,2,10))&lt;100,"B0"&amp;VALUE(MID(A219,2,10)),IF(VALUE(MID(A219,2,10))&lt;1000,"B"&amp;VALUE(MID(A219,2,10))))),A219)),"_",IF(NOT(OR(C219=1000,C219&gt;1000)),MID(TEXT((C219+1000)*1000,0),2,6),"keine Meter in Spalte km!!!"),IF(VALUE(I219)=1,CONCATENATE("_",VLOOKUP(IF(V219&gt;0,V219,J219),[1]Grundlage!$A$20:$B$181,2,0)),CONCATENATE("_",B219))))</f>
        <v>UQ_A007_891050_N</v>
      </c>
      <c r="F219" s="2" t="s">
        <v>30</v>
      </c>
      <c r="G219" s="167">
        <f t="shared" si="37"/>
        <v>2748</v>
      </c>
      <c r="H219">
        <f t="shared" si="38"/>
        <v>237</v>
      </c>
      <c r="I219" s="2">
        <f t="shared" si="42"/>
        <v>3</v>
      </c>
      <c r="J219" s="2">
        <f t="shared" si="43"/>
        <v>21</v>
      </c>
      <c r="K219" s="2">
        <v>205</v>
      </c>
      <c r="L219" s="2">
        <f t="shared" si="44"/>
        <v>15</v>
      </c>
      <c r="M219" s="2">
        <f t="shared" si="45"/>
        <v>1</v>
      </c>
      <c r="N219" s="2">
        <f t="shared" si="46"/>
        <v>8</v>
      </c>
      <c r="P219" s="168">
        <f t="shared" si="47"/>
        <v>67</v>
      </c>
      <c r="AI219" s="21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9">
        <v>3</v>
      </c>
      <c r="AU219" s="14">
        <v>21</v>
      </c>
      <c r="AV219" s="14">
        <v>15</v>
      </c>
      <c r="AW219" s="13"/>
      <c r="AX219" s="13"/>
      <c r="AY219" s="19">
        <v>1</v>
      </c>
      <c r="AZ219" s="14">
        <v>8</v>
      </c>
      <c r="BA219" s="14">
        <v>8</v>
      </c>
      <c r="BB219" s="13" t="s">
        <v>30</v>
      </c>
      <c r="BC219" s="25"/>
      <c r="BD219" s="25"/>
      <c r="BE219" s="13"/>
      <c r="BF219" s="13" t="s">
        <v>536</v>
      </c>
    </row>
    <row r="220" spans="1:58" ht="14.25" x14ac:dyDescent="0.2">
      <c r="A220" t="str">
        <f t="shared" si="48"/>
        <v>A7</v>
      </c>
      <c r="B220" s="2" t="s">
        <v>656</v>
      </c>
      <c r="C220">
        <f t="shared" si="40"/>
        <v>891.05</v>
      </c>
      <c r="D220" t="str">
        <f t="shared" si="41"/>
        <v>UFD</v>
      </c>
      <c r="E220" s="169" t="str">
        <f>IF(OR(A220="",B220="",C220=""),"eine der Spalten BAB, FR, km leer?",CONCATENATE(VLOOKUP(VALUE(I220),[1]Grundlage!$A$1:$B$14,2,0),IF(LEFT(A220,1)="A",IF(VALUE(MID(A220,2,10))&lt;10,"A00"&amp;VALUE(MID(A220,2,10)),IF(VALUE(MID(A220,2,10))&lt;100,"A0"&amp;VALUE(MID(A220,2,10)),IF(VALUE(MID(A220,2,10))&lt;1000,"A"&amp;VALUE(MID(A220,2,10))))),IF(LEFT(A220,1)="B",IF(VALUE(MID(A220,2,10))&lt;10,"B00"&amp;VALUE(MID(A220,2,10)),IF(VALUE(MID(A220,2,10))&lt;100,"B0"&amp;VALUE(MID(A220,2,10)),IF(VALUE(MID(A220,2,10))&lt;1000,"B"&amp;VALUE(MID(A220,2,10))))),A220)),"_",IF(NOT(OR(C220=1000,C220&gt;1000)),MID(TEXT((C220+1000)*1000,0),2,6),"keine Meter in Spalte km!!!"),IF(VALUE(I220)=1,CONCATENATE("_",VLOOKUP(IF(V220&gt;0,V220,J220),[1]Grundlage!$A$20:$B$181,2,0)),CONCATENATE("_",B220))))</f>
        <v>UQ_A007_891050_N</v>
      </c>
      <c r="F220" s="2" t="s">
        <v>41</v>
      </c>
      <c r="G220" s="167">
        <f t="shared" si="37"/>
        <v>2748</v>
      </c>
      <c r="H220">
        <f t="shared" si="38"/>
        <v>237</v>
      </c>
      <c r="I220" s="2">
        <f t="shared" si="42"/>
        <v>3</v>
      </c>
      <c r="J220" s="2">
        <f t="shared" si="43"/>
        <v>24</v>
      </c>
      <c r="K220" s="2">
        <v>205</v>
      </c>
      <c r="L220" s="2">
        <f t="shared" si="44"/>
        <v>15</v>
      </c>
      <c r="M220" s="2">
        <f t="shared" si="45"/>
        <v>1</v>
      </c>
      <c r="N220" s="2">
        <f t="shared" si="46"/>
        <v>9</v>
      </c>
      <c r="P220" s="168">
        <f t="shared" si="47"/>
        <v>69</v>
      </c>
      <c r="AI220" s="21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9">
        <v>3</v>
      </c>
      <c r="AU220" s="14">
        <v>24</v>
      </c>
      <c r="AV220" s="14">
        <v>18</v>
      </c>
      <c r="AW220" s="13"/>
      <c r="AX220" s="13"/>
      <c r="AY220" s="19">
        <v>1</v>
      </c>
      <c r="AZ220" s="14">
        <v>9</v>
      </c>
      <c r="BA220" s="14">
        <v>9</v>
      </c>
      <c r="BB220" s="13" t="s">
        <v>41</v>
      </c>
      <c r="BC220" s="25"/>
      <c r="BD220" s="25"/>
      <c r="BE220" s="13"/>
      <c r="BF220" s="13" t="s">
        <v>540</v>
      </c>
    </row>
    <row r="221" spans="1:58" ht="14.25" x14ac:dyDescent="0.2">
      <c r="A221" t="str">
        <f t="shared" si="48"/>
        <v>A7</v>
      </c>
      <c r="B221" s="2" t="s">
        <v>656</v>
      </c>
      <c r="C221">
        <f t="shared" si="40"/>
        <v>891.05</v>
      </c>
      <c r="D221" t="str">
        <f t="shared" si="41"/>
        <v>UFD</v>
      </c>
      <c r="E221" s="169" t="str">
        <f>IF(OR(A221="",B221="",C221=""),"eine der Spalten BAB, FR, km leer?",CONCATENATE(VLOOKUP(VALUE(I221),[1]Grundlage!$A$1:$B$14,2,0),IF(LEFT(A221,1)="A",IF(VALUE(MID(A221,2,10))&lt;10,"A00"&amp;VALUE(MID(A221,2,10)),IF(VALUE(MID(A221,2,10))&lt;100,"A0"&amp;VALUE(MID(A221,2,10)),IF(VALUE(MID(A221,2,10))&lt;1000,"A"&amp;VALUE(MID(A221,2,10))))),IF(LEFT(A221,1)="B",IF(VALUE(MID(A221,2,10))&lt;10,"B00"&amp;VALUE(MID(A221,2,10)),IF(VALUE(MID(A221,2,10))&lt;100,"B0"&amp;VALUE(MID(A221,2,10)),IF(VALUE(MID(A221,2,10))&lt;1000,"B"&amp;VALUE(MID(A221,2,10))))),A221)),"_",IF(NOT(OR(C221=1000,C221&gt;1000)),MID(TEXT((C221+1000)*1000,0),2,6),"keine Meter in Spalte km!!!"),IF(VALUE(I221)=1,CONCATENATE("_",VLOOKUP(IF(V221&gt;0,V221,J221),[1]Grundlage!$A$20:$B$181,2,0)),CONCATENATE("_",B221))))</f>
        <v>UQ_A007_891050_N</v>
      </c>
      <c r="F221" s="2" t="s">
        <v>271</v>
      </c>
      <c r="G221" s="167">
        <f t="shared" si="37"/>
        <v>2748</v>
      </c>
      <c r="H221">
        <f t="shared" si="38"/>
        <v>237</v>
      </c>
      <c r="I221" s="2">
        <f t="shared" si="42"/>
        <v>3</v>
      </c>
      <c r="J221" s="2">
        <f t="shared" si="43"/>
        <v>67</v>
      </c>
      <c r="K221" s="2">
        <v>205</v>
      </c>
      <c r="L221" s="2">
        <f t="shared" si="44"/>
        <v>15</v>
      </c>
      <c r="M221" s="2">
        <f t="shared" si="45"/>
        <v>1</v>
      </c>
      <c r="N221" s="2">
        <f t="shared" si="46"/>
        <v>10</v>
      </c>
      <c r="P221" s="168">
        <f t="shared" si="47"/>
        <v>53</v>
      </c>
      <c r="AI221" s="21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9">
        <v>3</v>
      </c>
      <c r="AU221" s="14">
        <v>67</v>
      </c>
      <c r="AV221" s="14">
        <v>43</v>
      </c>
      <c r="AW221" s="13"/>
      <c r="AX221" s="13"/>
      <c r="AY221" s="19">
        <v>1</v>
      </c>
      <c r="AZ221" s="14">
        <v>10</v>
      </c>
      <c r="BA221" s="34" t="s">
        <v>95</v>
      </c>
      <c r="BB221" s="13" t="s">
        <v>271</v>
      </c>
      <c r="BC221" s="25"/>
      <c r="BD221" s="25"/>
      <c r="BE221" s="13"/>
      <c r="BF221" s="13" t="s">
        <v>444</v>
      </c>
    </row>
    <row r="222" spans="1:58" ht="14.25" x14ac:dyDescent="0.2">
      <c r="A222" t="str">
        <f t="shared" si="48"/>
        <v>A7</v>
      </c>
      <c r="B222" s="2" t="s">
        <v>656</v>
      </c>
      <c r="C222">
        <f t="shared" si="40"/>
        <v>891.05</v>
      </c>
      <c r="D222" t="str">
        <f t="shared" si="41"/>
        <v>UFD</v>
      </c>
      <c r="E222" s="169" t="str">
        <f>IF(OR(A222="",B222="",C222=""),"eine der Spalten BAB, FR, km leer?",CONCATENATE(VLOOKUP(VALUE(I222),[1]Grundlage!$A$1:$B$14,2,0),IF(LEFT(A222,1)="A",IF(VALUE(MID(A222,2,10))&lt;10,"A00"&amp;VALUE(MID(A222,2,10)),IF(VALUE(MID(A222,2,10))&lt;100,"A0"&amp;VALUE(MID(A222,2,10)),IF(VALUE(MID(A222,2,10))&lt;1000,"A"&amp;VALUE(MID(A222,2,10))))),IF(LEFT(A222,1)="B",IF(VALUE(MID(A222,2,10))&lt;10,"B00"&amp;VALUE(MID(A222,2,10)),IF(VALUE(MID(A222,2,10))&lt;100,"B0"&amp;VALUE(MID(A222,2,10)),IF(VALUE(MID(A222,2,10))&lt;1000,"B"&amp;VALUE(MID(A222,2,10))))),A222)),"_",IF(NOT(OR(C222=1000,C222&gt;1000)),MID(TEXT((C222+1000)*1000,0),2,6),"keine Meter in Spalte km!!!"),IF(VALUE(I222)=1,CONCATENATE("_",VLOOKUP(IF(V222&gt;0,V222,J222),[1]Grundlage!$A$20:$B$181,2,0)),CONCATENATE("_",B222))))</f>
        <v>UQ_A007_891050_N</v>
      </c>
      <c r="F222" s="2" t="s">
        <v>272</v>
      </c>
      <c r="G222" s="167">
        <f t="shared" si="37"/>
        <v>2748</v>
      </c>
      <c r="H222">
        <f t="shared" si="38"/>
        <v>237</v>
      </c>
      <c r="I222" s="2">
        <f t="shared" si="42"/>
        <v>3</v>
      </c>
      <c r="J222" s="2">
        <f t="shared" si="43"/>
        <v>82</v>
      </c>
      <c r="K222" s="2">
        <v>205</v>
      </c>
      <c r="L222" s="2">
        <f t="shared" si="44"/>
        <v>15</v>
      </c>
      <c r="M222" s="2">
        <f t="shared" si="45"/>
        <v>1</v>
      </c>
      <c r="N222" s="2">
        <f t="shared" si="46"/>
        <v>11</v>
      </c>
      <c r="P222" s="168">
        <f t="shared" si="47"/>
        <v>72</v>
      </c>
      <c r="AI222" s="21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9">
        <v>3</v>
      </c>
      <c r="AU222" s="14">
        <v>82</v>
      </c>
      <c r="AV222" s="14">
        <v>52</v>
      </c>
      <c r="AW222" s="13"/>
      <c r="AX222" s="13"/>
      <c r="AY222" s="19">
        <v>1</v>
      </c>
      <c r="AZ222" s="14">
        <v>11</v>
      </c>
      <c r="BA222" s="34" t="s">
        <v>78</v>
      </c>
      <c r="BB222" s="13" t="s">
        <v>272</v>
      </c>
      <c r="BC222" s="25"/>
      <c r="BD222" s="25"/>
      <c r="BE222" s="13"/>
      <c r="BF222" s="13" t="s">
        <v>537</v>
      </c>
    </row>
    <row r="223" spans="1:58" ht="17.25" customHeight="1" x14ac:dyDescent="0.2">
      <c r="A223" t="str">
        <f t="shared" si="48"/>
        <v>A7</v>
      </c>
      <c r="C223">
        <f t="shared" si="40"/>
        <v>891.05</v>
      </c>
      <c r="D223" t="str">
        <f t="shared" si="41"/>
        <v/>
      </c>
      <c r="E223" s="169" t="str">
        <f>IF(OR(A223="",B223="",C223=""),"",CONCATENATE(VLOOKUP(VALUE(I223),[1]Grundlage!$A$1:$B$14,2,0),IF(LEFT(A223,1)="A",IF(VALUE(MID(A223,2,10))&lt;10,"A00"&amp;VALUE(MID(A223,2,10)),IF(VALUE(MID(A223,2,10))&lt;100,"A0"&amp;VALUE(MID(A223,2,10)),IF(VALUE(MID(A223,2,10))&lt;1000,"A"&amp;VALUE(MID(A223,2,10))))),IF(LEFT(A223,1)="B",IF(VALUE(MID(A223,2,10))&lt;10,"B00"&amp;VALUE(MID(A223,2,10)),IF(VALUE(MID(A223,2,10))&lt;100,"B0"&amp;VALUE(MID(A223,2,10)),IF(VALUE(MID(A223,2,10))&lt;1000,"B"&amp;VALUE(MID(A223,2,10))))),A223)),"_",IF(NOT(OR(C223=1000,C223&gt;1000)),MID(TEXT((C223+1000)*1000,0),2,6),"keine Meter in Spalte km!!!"),IF(VALUE(I223)=1,CONCATENATE("_",VLOOKUP(IF(V223&gt;0,V223,J223),[1]Grundlage!$A$20:$B$181,2,0)),CONCATENATE("_",B223))))</f>
        <v/>
      </c>
      <c r="F223" s="2" t="s">
        <v>669</v>
      </c>
      <c r="G223" s="167">
        <f t="shared" si="37"/>
        <v>2748</v>
      </c>
      <c r="H223">
        <f t="shared" si="38"/>
        <v>237</v>
      </c>
      <c r="I223" s="2">
        <f t="shared" si="42"/>
        <v>0</v>
      </c>
      <c r="J223" s="2">
        <f t="shared" si="43"/>
        <v>0</v>
      </c>
      <c r="K223" s="2">
        <v>205</v>
      </c>
      <c r="L223" s="2">
        <f t="shared" si="44"/>
        <v>15</v>
      </c>
      <c r="M223" s="2" t="str">
        <f t="shared" si="45"/>
        <v/>
      </c>
      <c r="N223" s="2" t="str">
        <f t="shared" si="46"/>
        <v/>
      </c>
      <c r="P223" s="168" t="str">
        <f t="shared" si="47"/>
        <v/>
      </c>
      <c r="AT223" s="19"/>
      <c r="AU223" s="14"/>
      <c r="AV223" s="14"/>
      <c r="AY223" s="1"/>
      <c r="AZ223" s="14"/>
      <c r="BA223" s="14"/>
      <c r="BB223" s="13"/>
    </row>
    <row r="224" spans="1:58" ht="15" customHeight="1" x14ac:dyDescent="0.2">
      <c r="A224" t="str">
        <f t="shared" si="48"/>
        <v>A96</v>
      </c>
      <c r="B224" s="2" t="s">
        <v>658</v>
      </c>
      <c r="C224">
        <f t="shared" si="40"/>
        <v>108.65</v>
      </c>
      <c r="D224" t="str">
        <f t="shared" si="41"/>
        <v>SS</v>
      </c>
      <c r="E224" s="169" t="str">
        <f>IF(OR(A224="",B224="",C224=""),"eine der Spalten BAB, FR, km leer?",CONCATENATE(VLOOKUP(VALUE(I224),[1]Grundlage!$A$1:$B$14,2,0),IF(LEFT(A224,1)="A",IF(VALUE(MID(A224,2,10))&lt;10,"A00"&amp;VALUE(MID(A224,2,10)),IF(VALUE(MID(A224,2,10))&lt;100,"A0"&amp;VALUE(MID(A224,2,10)),IF(VALUE(MID(A224,2,10))&lt;1000,"A"&amp;VALUE(MID(A224,2,10))))),IF(LEFT(A224,1)="B",IF(VALUE(MID(A224,2,10))&lt;10,"B00"&amp;VALUE(MID(A224,2,10)),IF(VALUE(MID(A224,2,10))&lt;100,"B0"&amp;VALUE(MID(A224,2,10)),IF(VALUE(MID(A224,2,10))&lt;1000,"B"&amp;VALUE(MID(A224,2,10))))),A224)),"_",IF(NOT(OR(C224=1000,C224&gt;1000)),MID(TEXT((C224+1000)*1000,0),2,6),"keine Meter in Spalte km!!!"),IF(VALUE(I224)=1,CONCATENATE("_",VLOOKUP(IF(V224&gt;0,V224,J224),[1]Grundlage!$A$20:$B$181,2,0)),CONCATENATE("_",B224))))</f>
        <v>SSt_A096_108650_O</v>
      </c>
      <c r="F224" s="2" t="s">
        <v>287</v>
      </c>
      <c r="G224" s="167">
        <f t="shared" si="37"/>
        <v>37533</v>
      </c>
      <c r="H224">
        <f t="shared" si="38"/>
        <v>71</v>
      </c>
      <c r="I224" s="2">
        <f t="shared" si="42"/>
        <v>254</v>
      </c>
      <c r="J224" s="2">
        <f t="shared" si="43"/>
        <v>0</v>
      </c>
      <c r="K224" s="2">
        <v>205</v>
      </c>
      <c r="L224" s="2">
        <f t="shared" si="44"/>
        <v>16</v>
      </c>
      <c r="M224" s="2" t="str">
        <f t="shared" si="45"/>
        <v/>
      </c>
      <c r="N224" s="2" t="str">
        <f t="shared" si="46"/>
        <v/>
      </c>
      <c r="P224" s="168" t="str">
        <f t="shared" si="47"/>
        <v/>
      </c>
      <c r="AI224" s="44">
        <v>108.65</v>
      </c>
      <c r="AJ224" s="36" t="s">
        <v>19</v>
      </c>
      <c r="AK224" s="36" t="s">
        <v>51</v>
      </c>
      <c r="AL224" s="36"/>
      <c r="AM224" s="92"/>
      <c r="AN224" s="92"/>
      <c r="AO224" s="92"/>
      <c r="AP224" s="102">
        <v>9608519</v>
      </c>
      <c r="AQ224" s="102">
        <v>92</v>
      </c>
      <c r="AR224" s="102" t="s">
        <v>291</v>
      </c>
      <c r="AS224" s="102">
        <v>47</v>
      </c>
      <c r="AT224" s="92"/>
      <c r="AU224" s="92"/>
      <c r="AV224" s="92"/>
      <c r="AW224" s="92"/>
      <c r="AX224" s="92">
        <v>16</v>
      </c>
      <c r="AY224" s="92"/>
      <c r="AZ224" s="92"/>
      <c r="BA224" s="92"/>
      <c r="BB224" s="95" t="s">
        <v>287</v>
      </c>
      <c r="BC224" s="98"/>
      <c r="BD224" s="99" t="s">
        <v>163</v>
      </c>
      <c r="BE224" s="39" t="s">
        <v>18</v>
      </c>
      <c r="BF224" s="2" t="s">
        <v>453</v>
      </c>
    </row>
    <row r="225" spans="1:58" ht="14.25" x14ac:dyDescent="0.2">
      <c r="A225" t="str">
        <f t="shared" si="48"/>
        <v>A96</v>
      </c>
      <c r="B225" s="2" t="s">
        <v>658</v>
      </c>
      <c r="C225">
        <f t="shared" si="40"/>
        <v>108.65</v>
      </c>
      <c r="D225" t="str">
        <f t="shared" si="41"/>
        <v>UFD</v>
      </c>
      <c r="E225" s="169" t="str">
        <f>IF(OR(A225="",B225="",C225=""),"eine der Spalten BAB, FR, km leer?",CONCATENATE(VLOOKUP(VALUE(I225),[1]Grundlage!$A$1:$B$14,2,0),IF(LEFT(A225,1)="A",IF(VALUE(MID(A225,2,10))&lt;10,"A00"&amp;VALUE(MID(A225,2,10)),IF(VALUE(MID(A225,2,10))&lt;100,"A0"&amp;VALUE(MID(A225,2,10)),IF(VALUE(MID(A225,2,10))&lt;1000,"A"&amp;VALUE(MID(A225,2,10))))),IF(LEFT(A225,1)="B",IF(VALUE(MID(A225,2,10))&lt;10,"B00"&amp;VALUE(MID(A225,2,10)),IF(VALUE(MID(A225,2,10))&lt;100,"B0"&amp;VALUE(MID(A225,2,10)),IF(VALUE(MID(A225,2,10))&lt;1000,"B"&amp;VALUE(MID(A225,2,10))))),A225)),"_",IF(NOT(OR(C225=1000,C225&gt;1000)),MID(TEXT((C225+1000)*1000,0),2,6),"keine Meter in Spalte km!!!"),IF(VALUE(I225)=1,CONCATENATE("_",VLOOKUP(IF(V225&gt;0,V225,J225),[1]Grundlage!$A$20:$B$181,2,0)),CONCATENATE("_",B225))))</f>
        <v>UQ_A096_108650_O</v>
      </c>
      <c r="F225" s="2" t="s">
        <v>269</v>
      </c>
      <c r="G225" s="167">
        <f t="shared" si="37"/>
        <v>37533</v>
      </c>
      <c r="H225">
        <f t="shared" si="38"/>
        <v>71</v>
      </c>
      <c r="I225" s="2">
        <f t="shared" si="42"/>
        <v>3</v>
      </c>
      <c r="J225" s="2">
        <f t="shared" si="43"/>
        <v>6</v>
      </c>
      <c r="K225" s="2">
        <v>205</v>
      </c>
      <c r="L225" s="2">
        <f t="shared" si="44"/>
        <v>16</v>
      </c>
      <c r="M225" s="2">
        <f t="shared" si="45"/>
        <v>1</v>
      </c>
      <c r="N225" s="2">
        <f t="shared" si="46"/>
        <v>1</v>
      </c>
      <c r="P225" s="168">
        <f t="shared" si="47"/>
        <v>71</v>
      </c>
      <c r="AI225" s="21"/>
      <c r="AJ225" s="13"/>
      <c r="AK225" s="13"/>
      <c r="AL225" s="13"/>
      <c r="AM225" s="13"/>
      <c r="AN225" s="13"/>
      <c r="AO225" s="13"/>
      <c r="AP225" s="77"/>
      <c r="AQ225" s="77"/>
      <c r="AR225" s="77"/>
      <c r="AS225" s="77"/>
      <c r="AT225" s="19">
        <v>3</v>
      </c>
      <c r="AU225" s="14">
        <v>6</v>
      </c>
      <c r="AV225" s="27">
        <v>6</v>
      </c>
      <c r="AW225" s="19"/>
      <c r="AX225" s="19"/>
      <c r="AY225" s="19">
        <v>1</v>
      </c>
      <c r="AZ225" s="14">
        <v>1</v>
      </c>
      <c r="BA225" s="27">
        <v>1</v>
      </c>
      <c r="BB225" s="13" t="s">
        <v>269</v>
      </c>
      <c r="BC225" s="25"/>
      <c r="BD225" s="25"/>
      <c r="BE225" s="13"/>
      <c r="BF225" s="2" t="s">
        <v>440</v>
      </c>
    </row>
    <row r="226" spans="1:58" ht="14.25" x14ac:dyDescent="0.2">
      <c r="A226" t="str">
        <f t="shared" si="48"/>
        <v>A96</v>
      </c>
      <c r="B226" s="2" t="s">
        <v>658</v>
      </c>
      <c r="C226">
        <f t="shared" si="40"/>
        <v>108.65</v>
      </c>
      <c r="D226" t="str">
        <f t="shared" si="41"/>
        <v>UFD</v>
      </c>
      <c r="E226" s="169" t="str">
        <f>IF(OR(A226="",B226="",C226=""),"eine der Spalten BAB, FR, km leer?",CONCATENATE(VLOOKUP(VALUE(I226),[1]Grundlage!$A$1:$B$14,2,0),IF(LEFT(A226,1)="A",IF(VALUE(MID(A226,2,10))&lt;10,"A00"&amp;VALUE(MID(A226,2,10)),IF(VALUE(MID(A226,2,10))&lt;100,"A0"&amp;VALUE(MID(A226,2,10)),IF(VALUE(MID(A226,2,10))&lt;1000,"A"&amp;VALUE(MID(A226,2,10))))),IF(LEFT(A226,1)="B",IF(VALUE(MID(A226,2,10))&lt;10,"B00"&amp;VALUE(MID(A226,2,10)),IF(VALUE(MID(A226,2,10))&lt;100,"B0"&amp;VALUE(MID(A226,2,10)),IF(VALUE(MID(A226,2,10))&lt;1000,"B"&amp;VALUE(MID(A226,2,10))))),A226)),"_",IF(NOT(OR(C226=1000,C226&gt;1000)),MID(TEXT((C226+1000)*1000,0),2,6),"keine Meter in Spalte km!!!"),IF(VALUE(I226)=1,CONCATENATE("_",VLOOKUP(IF(V226&gt;0,V226,J226),[1]Grundlage!$A$20:$B$181,2,0)),CONCATENATE("_",B226))))</f>
        <v>UQ_A096_108650_O</v>
      </c>
      <c r="F226" s="2" t="s">
        <v>270</v>
      </c>
      <c r="G226" s="167">
        <f t="shared" si="37"/>
        <v>37533</v>
      </c>
      <c r="H226">
        <f t="shared" si="38"/>
        <v>71</v>
      </c>
      <c r="I226" s="2">
        <f t="shared" si="42"/>
        <v>3</v>
      </c>
      <c r="J226" s="2">
        <f t="shared" si="43"/>
        <v>11</v>
      </c>
      <c r="K226" s="2">
        <v>205</v>
      </c>
      <c r="L226" s="2">
        <f t="shared" si="44"/>
        <v>16</v>
      </c>
      <c r="M226" s="2">
        <f t="shared" si="45"/>
        <v>1</v>
      </c>
      <c r="N226" s="2">
        <f t="shared" si="46"/>
        <v>2</v>
      </c>
      <c r="P226" s="168">
        <f t="shared" si="47"/>
        <v>70</v>
      </c>
      <c r="AI226" s="21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9">
        <v>3</v>
      </c>
      <c r="AU226" s="14">
        <v>11</v>
      </c>
      <c r="AV226" s="14" t="s">
        <v>78</v>
      </c>
      <c r="AW226" s="13"/>
      <c r="AX226" s="13"/>
      <c r="AY226" s="19">
        <v>1</v>
      </c>
      <c r="AZ226" s="14">
        <v>2</v>
      </c>
      <c r="BA226" s="14">
        <v>2</v>
      </c>
      <c r="BB226" s="13" t="s">
        <v>270</v>
      </c>
      <c r="BC226" s="25"/>
      <c r="BD226" s="25"/>
      <c r="BE226" s="13"/>
      <c r="BF226" s="2" t="s">
        <v>478</v>
      </c>
    </row>
    <row r="227" spans="1:58" ht="14.25" x14ac:dyDescent="0.2">
      <c r="A227" t="str">
        <f t="shared" si="48"/>
        <v>A96</v>
      </c>
      <c r="B227" s="2" t="s">
        <v>658</v>
      </c>
      <c r="C227">
        <f t="shared" si="40"/>
        <v>108.65</v>
      </c>
      <c r="D227" t="str">
        <f t="shared" si="41"/>
        <v>UFD</v>
      </c>
      <c r="E227" s="169" t="str">
        <f>IF(OR(A227="",B227="",C227=""),"eine der Spalten BAB, FR, km leer?",CONCATENATE(VLOOKUP(VALUE(I227),[1]Grundlage!$A$1:$B$14,2,0),IF(LEFT(A227,1)="A",IF(VALUE(MID(A227,2,10))&lt;10,"A00"&amp;VALUE(MID(A227,2,10)),IF(VALUE(MID(A227,2,10))&lt;100,"A0"&amp;VALUE(MID(A227,2,10)),IF(VALUE(MID(A227,2,10))&lt;1000,"A"&amp;VALUE(MID(A227,2,10))))),IF(LEFT(A227,1)="B",IF(VALUE(MID(A227,2,10))&lt;10,"B00"&amp;VALUE(MID(A227,2,10)),IF(VALUE(MID(A227,2,10))&lt;100,"B0"&amp;VALUE(MID(A227,2,10)),IF(VALUE(MID(A227,2,10))&lt;1000,"B"&amp;VALUE(MID(A227,2,10))))),A227)),"_",IF(NOT(OR(C227=1000,C227&gt;1000)),MID(TEXT((C227+1000)*1000,0),2,6),"keine Meter in Spalte km!!!"),IF(VALUE(I227)=1,CONCATENATE("_",VLOOKUP(IF(V227&gt;0,V227,J227),[1]Grundlage!$A$20:$B$181,2,0)),CONCATENATE("_",B227))))</f>
        <v>UQ_A096_108650_O</v>
      </c>
      <c r="F227" s="2" t="s">
        <v>25</v>
      </c>
      <c r="G227" s="167">
        <f t="shared" si="37"/>
        <v>37533</v>
      </c>
      <c r="H227">
        <f t="shared" si="38"/>
        <v>71</v>
      </c>
      <c r="I227" s="2">
        <f t="shared" si="42"/>
        <v>3</v>
      </c>
      <c r="J227" s="2">
        <f t="shared" si="43"/>
        <v>12</v>
      </c>
      <c r="K227" s="2">
        <v>205</v>
      </c>
      <c r="L227" s="2">
        <f t="shared" si="44"/>
        <v>16</v>
      </c>
      <c r="M227" s="2">
        <f t="shared" si="45"/>
        <v>1</v>
      </c>
      <c r="N227" s="2">
        <f t="shared" si="46"/>
        <v>3</v>
      </c>
      <c r="P227" s="168">
        <f t="shared" si="47"/>
        <v>48</v>
      </c>
      <c r="AI227" s="21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9">
        <v>3</v>
      </c>
      <c r="AU227" s="14">
        <v>12</v>
      </c>
      <c r="AV227" s="14" t="s">
        <v>79</v>
      </c>
      <c r="AW227" s="13"/>
      <c r="AX227" s="13"/>
      <c r="AY227" s="19">
        <v>1</v>
      </c>
      <c r="AZ227" s="14">
        <v>3</v>
      </c>
      <c r="BA227" s="14">
        <v>3</v>
      </c>
      <c r="BB227" s="13" t="s">
        <v>25</v>
      </c>
      <c r="BC227" s="25"/>
      <c r="BD227" s="25"/>
      <c r="BE227" s="13"/>
      <c r="BF227" s="13" t="s">
        <v>441</v>
      </c>
    </row>
    <row r="228" spans="1:58" ht="14.25" x14ac:dyDescent="0.2">
      <c r="A228" t="str">
        <f t="shared" si="48"/>
        <v>A96</v>
      </c>
      <c r="B228" s="2" t="s">
        <v>658</v>
      </c>
      <c r="C228">
        <f t="shared" si="40"/>
        <v>108.65</v>
      </c>
      <c r="D228" t="str">
        <f t="shared" si="41"/>
        <v>UFD</v>
      </c>
      <c r="E228" s="169" t="str">
        <f>IF(OR(A228="",B228="",C228=""),"eine der Spalten BAB, FR, km leer?",CONCATENATE(VLOOKUP(VALUE(I228),[1]Grundlage!$A$1:$B$14,2,0),IF(LEFT(A228,1)="A",IF(VALUE(MID(A228,2,10))&lt;10,"A00"&amp;VALUE(MID(A228,2,10)),IF(VALUE(MID(A228,2,10))&lt;100,"A0"&amp;VALUE(MID(A228,2,10)),IF(VALUE(MID(A228,2,10))&lt;1000,"A"&amp;VALUE(MID(A228,2,10))))),IF(LEFT(A228,1)="B",IF(VALUE(MID(A228,2,10))&lt;10,"B00"&amp;VALUE(MID(A228,2,10)),IF(VALUE(MID(A228,2,10))&lt;100,"B0"&amp;VALUE(MID(A228,2,10)),IF(VALUE(MID(A228,2,10))&lt;1000,"B"&amp;VALUE(MID(A228,2,10))))),A228)),"_",IF(NOT(OR(C228=1000,C228&gt;1000)),MID(TEXT((C228+1000)*1000,0),2,6),"keine Meter in Spalte km!!!"),IF(VALUE(I228)=1,CONCATENATE("_",VLOOKUP(IF(V228&gt;0,V228,J228),[1]Grundlage!$A$20:$B$181,2,0)),CONCATENATE("_",B228))))</f>
        <v>UQ_A096_108650_O</v>
      </c>
      <c r="F228" s="2" t="s">
        <v>26</v>
      </c>
      <c r="G228" s="167">
        <f t="shared" si="37"/>
        <v>37533</v>
      </c>
      <c r="H228">
        <f t="shared" si="38"/>
        <v>71</v>
      </c>
      <c r="I228" s="2">
        <f t="shared" si="42"/>
        <v>3</v>
      </c>
      <c r="J228" s="2">
        <f t="shared" si="43"/>
        <v>13</v>
      </c>
      <c r="K228" s="2">
        <v>205</v>
      </c>
      <c r="L228" s="2">
        <f t="shared" si="44"/>
        <v>16</v>
      </c>
      <c r="M228" s="2">
        <f t="shared" si="45"/>
        <v>1</v>
      </c>
      <c r="N228" s="2">
        <f t="shared" si="46"/>
        <v>4</v>
      </c>
      <c r="P228" s="168">
        <f t="shared" si="47"/>
        <v>55</v>
      </c>
      <c r="AI228" s="21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9">
        <v>3</v>
      </c>
      <c r="AU228" s="14">
        <v>13</v>
      </c>
      <c r="AV228" s="14" t="s">
        <v>80</v>
      </c>
      <c r="AW228" s="13"/>
      <c r="AX228" s="13"/>
      <c r="AY228" s="19">
        <v>1</v>
      </c>
      <c r="AZ228" s="14">
        <v>4</v>
      </c>
      <c r="BA228" s="14">
        <v>4</v>
      </c>
      <c r="BB228" s="13" t="s">
        <v>26</v>
      </c>
      <c r="BC228" s="25"/>
      <c r="BD228" s="25"/>
      <c r="BE228" s="13"/>
      <c r="BF228" s="13" t="s">
        <v>442</v>
      </c>
    </row>
    <row r="229" spans="1:58" ht="14.25" x14ac:dyDescent="0.2">
      <c r="A229" t="str">
        <f t="shared" si="48"/>
        <v>A96</v>
      </c>
      <c r="B229" s="2" t="s">
        <v>658</v>
      </c>
      <c r="C229">
        <f t="shared" si="40"/>
        <v>108.65</v>
      </c>
      <c r="D229" t="str">
        <f t="shared" si="41"/>
        <v>UFD</v>
      </c>
      <c r="E229" s="169" t="str">
        <f>IF(OR(A229="",B229="",C229=""),"eine der Spalten BAB, FR, km leer?",CONCATENATE(VLOOKUP(VALUE(I229),[1]Grundlage!$A$1:$B$14,2,0),IF(LEFT(A229,1)="A",IF(VALUE(MID(A229,2,10))&lt;10,"A00"&amp;VALUE(MID(A229,2,10)),IF(VALUE(MID(A229,2,10))&lt;100,"A0"&amp;VALUE(MID(A229,2,10)),IF(VALUE(MID(A229,2,10))&lt;1000,"A"&amp;VALUE(MID(A229,2,10))))),IF(LEFT(A229,1)="B",IF(VALUE(MID(A229,2,10))&lt;10,"B00"&amp;VALUE(MID(A229,2,10)),IF(VALUE(MID(A229,2,10))&lt;100,"B0"&amp;VALUE(MID(A229,2,10)),IF(VALUE(MID(A229,2,10))&lt;1000,"B"&amp;VALUE(MID(A229,2,10))))),A229)),"_",IF(NOT(OR(C229=1000,C229&gt;1000)),MID(TEXT((C229+1000)*1000,0),2,6),"keine Meter in Spalte km!!!"),IF(VALUE(I229)=1,CONCATENATE("_",VLOOKUP(IF(V229&gt;0,V229,J229),[1]Grundlage!$A$20:$B$181,2,0)),CONCATENATE("_",B229))))</f>
        <v>UQ_A096_108650_O</v>
      </c>
      <c r="F229" s="2" t="s">
        <v>27</v>
      </c>
      <c r="G229" s="167">
        <f t="shared" si="37"/>
        <v>37533</v>
      </c>
      <c r="H229">
        <f t="shared" si="38"/>
        <v>71</v>
      </c>
      <c r="I229" s="2">
        <f t="shared" si="42"/>
        <v>3</v>
      </c>
      <c r="J229" s="2">
        <f t="shared" si="43"/>
        <v>14</v>
      </c>
      <c r="K229" s="2">
        <v>205</v>
      </c>
      <c r="L229" s="2">
        <f t="shared" si="44"/>
        <v>16</v>
      </c>
      <c r="M229" s="2">
        <f t="shared" si="45"/>
        <v>1</v>
      </c>
      <c r="N229" s="2">
        <f t="shared" si="46"/>
        <v>5</v>
      </c>
      <c r="P229" s="168">
        <f t="shared" si="47"/>
        <v>66</v>
      </c>
      <c r="AI229" s="21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9">
        <v>3</v>
      </c>
      <c r="AU229" s="14">
        <v>14</v>
      </c>
      <c r="AV229" s="14" t="s">
        <v>81</v>
      </c>
      <c r="AW229" s="13"/>
      <c r="AX229" s="13"/>
      <c r="AY229" s="19">
        <v>1</v>
      </c>
      <c r="AZ229" s="14">
        <v>5</v>
      </c>
      <c r="BA229" s="14">
        <v>5</v>
      </c>
      <c r="BB229" s="13" t="s">
        <v>27</v>
      </c>
      <c r="BC229" s="25"/>
      <c r="BD229" s="25"/>
      <c r="BE229" s="13"/>
      <c r="BF229" s="13" t="s">
        <v>443</v>
      </c>
    </row>
    <row r="230" spans="1:58" ht="14.25" x14ac:dyDescent="0.2">
      <c r="A230" t="str">
        <f t="shared" si="48"/>
        <v>A96</v>
      </c>
      <c r="B230" s="2" t="s">
        <v>658</v>
      </c>
      <c r="C230">
        <f t="shared" si="40"/>
        <v>108.65</v>
      </c>
      <c r="D230" t="str">
        <f t="shared" si="41"/>
        <v>UFD</v>
      </c>
      <c r="E230" s="169" t="str">
        <f>IF(OR(A230="",B230="",C230=""),"eine der Spalten BAB, FR, km leer?",CONCATENATE(VLOOKUP(VALUE(I230),[1]Grundlage!$A$1:$B$14,2,0),IF(LEFT(A230,1)="A",IF(VALUE(MID(A230,2,10))&lt;10,"A00"&amp;VALUE(MID(A230,2,10)),IF(VALUE(MID(A230,2,10))&lt;100,"A0"&amp;VALUE(MID(A230,2,10)),IF(VALUE(MID(A230,2,10))&lt;1000,"A"&amp;VALUE(MID(A230,2,10))))),IF(LEFT(A230,1)="B",IF(VALUE(MID(A230,2,10))&lt;10,"B00"&amp;VALUE(MID(A230,2,10)),IF(VALUE(MID(A230,2,10))&lt;100,"B0"&amp;VALUE(MID(A230,2,10)),IF(VALUE(MID(A230,2,10))&lt;1000,"B"&amp;VALUE(MID(A230,2,10))))),A230)),"_",IF(NOT(OR(C230=1000,C230&gt;1000)),MID(TEXT((C230+1000)*1000,0),2,6),"keine Meter in Spalte km!!!"),IF(VALUE(I230)=1,CONCATENATE("_",VLOOKUP(IF(V230&gt;0,V230,J230),[1]Grundlage!$A$20:$B$181,2,0)),CONCATENATE("_",B230))))</f>
        <v>UQ_A096_108650_O</v>
      </c>
      <c r="F230" s="2" t="s">
        <v>28</v>
      </c>
      <c r="G230" s="167">
        <f t="shared" si="37"/>
        <v>37533</v>
      </c>
      <c r="H230">
        <f t="shared" si="38"/>
        <v>71</v>
      </c>
      <c r="I230" s="2">
        <f t="shared" si="42"/>
        <v>3</v>
      </c>
      <c r="J230" s="2">
        <f t="shared" si="43"/>
        <v>15</v>
      </c>
      <c r="K230" s="2">
        <v>205</v>
      </c>
      <c r="L230" s="2">
        <f t="shared" si="44"/>
        <v>16</v>
      </c>
      <c r="M230" s="2">
        <f t="shared" si="45"/>
        <v>1</v>
      </c>
      <c r="N230" s="2">
        <f t="shared" si="46"/>
        <v>6</v>
      </c>
      <c r="P230" s="168">
        <f t="shared" si="47"/>
        <v>65</v>
      </c>
      <c r="AI230" s="21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9">
        <v>3</v>
      </c>
      <c r="AU230" s="14">
        <v>15</v>
      </c>
      <c r="AV230" s="14" t="s">
        <v>82</v>
      </c>
      <c r="AW230" s="13"/>
      <c r="AX230" s="13"/>
      <c r="AY230" s="19">
        <v>1</v>
      </c>
      <c r="AZ230" s="14">
        <v>6</v>
      </c>
      <c r="BA230" s="14">
        <v>6</v>
      </c>
      <c r="BB230" s="13" t="s">
        <v>28</v>
      </c>
      <c r="BC230" s="25"/>
      <c r="BD230" s="25"/>
      <c r="BE230" s="13"/>
      <c r="BF230" s="13" t="s">
        <v>482</v>
      </c>
    </row>
    <row r="231" spans="1:58" ht="14.25" x14ac:dyDescent="0.2">
      <c r="A231" t="str">
        <f t="shared" si="48"/>
        <v>A96</v>
      </c>
      <c r="B231" s="2" t="s">
        <v>658</v>
      </c>
      <c r="C231">
        <f t="shared" si="40"/>
        <v>108.65</v>
      </c>
      <c r="D231" t="str">
        <f t="shared" si="41"/>
        <v>UFD</v>
      </c>
      <c r="E231" s="169" t="str">
        <f>IF(OR(A231="",B231="",C231=""),"eine der Spalten BAB, FR, km leer?",CONCATENATE(VLOOKUP(VALUE(I231),[1]Grundlage!$A$1:$B$14,2,0),IF(LEFT(A231,1)="A",IF(VALUE(MID(A231,2,10))&lt;10,"A00"&amp;VALUE(MID(A231,2,10)),IF(VALUE(MID(A231,2,10))&lt;100,"A0"&amp;VALUE(MID(A231,2,10)),IF(VALUE(MID(A231,2,10))&lt;1000,"A"&amp;VALUE(MID(A231,2,10))))),IF(LEFT(A231,1)="B",IF(VALUE(MID(A231,2,10))&lt;10,"B00"&amp;VALUE(MID(A231,2,10)),IF(VALUE(MID(A231,2,10))&lt;100,"B0"&amp;VALUE(MID(A231,2,10)),IF(VALUE(MID(A231,2,10))&lt;1000,"B"&amp;VALUE(MID(A231,2,10))))),A231)),"_",IF(NOT(OR(C231=1000,C231&gt;1000)),MID(TEXT((C231+1000)*1000,0),2,6),"keine Meter in Spalte km!!!"),IF(VALUE(I231)=1,CONCATENATE("_",VLOOKUP(IF(V231&gt;0,V231,J231),[1]Grundlage!$A$20:$B$181,2,0)),CONCATENATE("_",B231))))</f>
        <v>UQ_A096_108650_O</v>
      </c>
      <c r="F231" s="2" t="s">
        <v>29</v>
      </c>
      <c r="G231" s="167">
        <f t="shared" ref="G231:G294" si="49">IF(ISBLANK(AP231),G230,INT(AP231/256))</f>
        <v>37533</v>
      </c>
      <c r="H231">
        <f t="shared" ref="H231:H294" si="50">IF(ISBLANK(AP231),H230,MOD(AP231,256))</f>
        <v>71</v>
      </c>
      <c r="I231" s="2">
        <f t="shared" si="42"/>
        <v>3</v>
      </c>
      <c r="J231" s="2">
        <f t="shared" si="43"/>
        <v>19</v>
      </c>
      <c r="K231" s="2">
        <v>205</v>
      </c>
      <c r="L231" s="2">
        <f t="shared" si="44"/>
        <v>16</v>
      </c>
      <c r="M231" s="2">
        <f t="shared" si="45"/>
        <v>1</v>
      </c>
      <c r="N231" s="2">
        <f t="shared" si="46"/>
        <v>7</v>
      </c>
      <c r="P231" s="168">
        <f t="shared" si="47"/>
        <v>49</v>
      </c>
      <c r="AI231" s="21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9">
        <v>3</v>
      </c>
      <c r="AU231" s="14">
        <v>19</v>
      </c>
      <c r="AV231" s="14">
        <v>13</v>
      </c>
      <c r="AW231" s="13"/>
      <c r="AX231" s="13"/>
      <c r="AY231" s="19">
        <v>1</v>
      </c>
      <c r="AZ231" s="14">
        <v>7</v>
      </c>
      <c r="BA231" s="14">
        <v>7</v>
      </c>
      <c r="BB231" s="13" t="s">
        <v>29</v>
      </c>
      <c r="BC231" s="25"/>
      <c r="BD231" s="25"/>
      <c r="BE231" s="13"/>
      <c r="BF231" s="13" t="s">
        <v>479</v>
      </c>
    </row>
    <row r="232" spans="1:58" ht="14.25" x14ac:dyDescent="0.2">
      <c r="A232" t="str">
        <f t="shared" si="48"/>
        <v>A96</v>
      </c>
      <c r="B232" s="2" t="s">
        <v>658</v>
      </c>
      <c r="C232">
        <f t="shared" si="40"/>
        <v>108.65</v>
      </c>
      <c r="D232" t="str">
        <f t="shared" si="41"/>
        <v>UFD</v>
      </c>
      <c r="E232" s="169" t="str">
        <f>IF(OR(A232="",B232="",C232=""),"eine der Spalten BAB, FR, km leer?",CONCATENATE(VLOOKUP(VALUE(I232),[1]Grundlage!$A$1:$B$14,2,0),IF(LEFT(A232,1)="A",IF(VALUE(MID(A232,2,10))&lt;10,"A00"&amp;VALUE(MID(A232,2,10)),IF(VALUE(MID(A232,2,10))&lt;100,"A0"&amp;VALUE(MID(A232,2,10)),IF(VALUE(MID(A232,2,10))&lt;1000,"A"&amp;VALUE(MID(A232,2,10))))),IF(LEFT(A232,1)="B",IF(VALUE(MID(A232,2,10))&lt;10,"B00"&amp;VALUE(MID(A232,2,10)),IF(VALUE(MID(A232,2,10))&lt;100,"B0"&amp;VALUE(MID(A232,2,10)),IF(VALUE(MID(A232,2,10))&lt;1000,"B"&amp;VALUE(MID(A232,2,10))))),A232)),"_",IF(NOT(OR(C232=1000,C232&gt;1000)),MID(TEXT((C232+1000)*1000,0),2,6),"keine Meter in Spalte km!!!"),IF(VALUE(I232)=1,CONCATENATE("_",VLOOKUP(IF(V232&gt;0,V232,J232),[1]Grundlage!$A$20:$B$181,2,0)),CONCATENATE("_",B232))))</f>
        <v>UQ_A096_108650_O</v>
      </c>
      <c r="F232" s="2" t="s">
        <v>30</v>
      </c>
      <c r="G232" s="167">
        <f t="shared" si="49"/>
        <v>37533</v>
      </c>
      <c r="H232">
        <f t="shared" si="50"/>
        <v>71</v>
      </c>
      <c r="I232" s="2">
        <f t="shared" si="42"/>
        <v>3</v>
      </c>
      <c r="J232" s="2">
        <f t="shared" si="43"/>
        <v>21</v>
      </c>
      <c r="K232" s="2">
        <v>205</v>
      </c>
      <c r="L232" s="2">
        <f t="shared" si="44"/>
        <v>16</v>
      </c>
      <c r="M232" s="2">
        <f t="shared" si="45"/>
        <v>1</v>
      </c>
      <c r="N232" s="2">
        <f t="shared" si="46"/>
        <v>8</v>
      </c>
      <c r="P232" s="168">
        <f t="shared" si="47"/>
        <v>67</v>
      </c>
      <c r="AI232" s="21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9">
        <v>3</v>
      </c>
      <c r="AU232" s="14">
        <v>21</v>
      </c>
      <c r="AV232" s="14">
        <v>15</v>
      </c>
      <c r="AW232" s="13"/>
      <c r="AX232" s="13"/>
      <c r="AY232" s="19">
        <v>1</v>
      </c>
      <c r="AZ232" s="14">
        <v>8</v>
      </c>
      <c r="BA232" s="14">
        <v>8</v>
      </c>
      <c r="BB232" s="13" t="s">
        <v>30</v>
      </c>
      <c r="BC232" s="25"/>
      <c r="BD232" s="25"/>
      <c r="BE232" s="13"/>
      <c r="BF232" s="13" t="s">
        <v>480</v>
      </c>
    </row>
    <row r="233" spans="1:58" ht="14.25" x14ac:dyDescent="0.2">
      <c r="A233" t="str">
        <f t="shared" si="48"/>
        <v>A96</v>
      </c>
      <c r="B233" s="2" t="s">
        <v>658</v>
      </c>
      <c r="C233">
        <f t="shared" si="40"/>
        <v>108.65</v>
      </c>
      <c r="D233" t="str">
        <f t="shared" si="41"/>
        <v>UFD</v>
      </c>
      <c r="E233" s="169" t="str">
        <f>IF(OR(A233="",B233="",C233=""),"eine der Spalten BAB, FR, km leer?",CONCATENATE(VLOOKUP(VALUE(I233),[1]Grundlage!$A$1:$B$14,2,0),IF(LEFT(A233,1)="A",IF(VALUE(MID(A233,2,10))&lt;10,"A00"&amp;VALUE(MID(A233,2,10)),IF(VALUE(MID(A233,2,10))&lt;100,"A0"&amp;VALUE(MID(A233,2,10)),IF(VALUE(MID(A233,2,10))&lt;1000,"A"&amp;VALUE(MID(A233,2,10))))),IF(LEFT(A233,1)="B",IF(VALUE(MID(A233,2,10))&lt;10,"B00"&amp;VALUE(MID(A233,2,10)),IF(VALUE(MID(A233,2,10))&lt;100,"B0"&amp;VALUE(MID(A233,2,10)),IF(VALUE(MID(A233,2,10))&lt;1000,"B"&amp;VALUE(MID(A233,2,10))))),A233)),"_",IF(NOT(OR(C233=1000,C233&gt;1000)),MID(TEXT((C233+1000)*1000,0),2,6),"keine Meter in Spalte km!!!"),IF(VALUE(I233)=1,CONCATENATE("_",VLOOKUP(IF(V233&gt;0,V233,J233),[1]Grundlage!$A$20:$B$181,2,0)),CONCATENATE("_",B233))))</f>
        <v>UQ_A096_108650_O</v>
      </c>
      <c r="F233" s="2" t="s">
        <v>271</v>
      </c>
      <c r="G233" s="167">
        <f t="shared" si="49"/>
        <v>37533</v>
      </c>
      <c r="H233">
        <f t="shared" si="50"/>
        <v>71</v>
      </c>
      <c r="I233" s="2">
        <f t="shared" si="42"/>
        <v>3</v>
      </c>
      <c r="J233" s="2">
        <f t="shared" si="43"/>
        <v>67</v>
      </c>
      <c r="K233" s="2">
        <v>205</v>
      </c>
      <c r="L233" s="2">
        <f t="shared" si="44"/>
        <v>16</v>
      </c>
      <c r="M233" s="2">
        <f t="shared" si="45"/>
        <v>1</v>
      </c>
      <c r="N233" s="2">
        <f t="shared" si="46"/>
        <v>9</v>
      </c>
      <c r="P233" s="168">
        <f t="shared" si="47"/>
        <v>53</v>
      </c>
      <c r="AI233" s="21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9">
        <v>3</v>
      </c>
      <c r="AU233" s="14">
        <v>67</v>
      </c>
      <c r="AV233" s="14">
        <v>43</v>
      </c>
      <c r="AW233" s="13"/>
      <c r="AX233" s="13"/>
      <c r="AY233" s="19">
        <v>1</v>
      </c>
      <c r="AZ233" s="14">
        <v>9</v>
      </c>
      <c r="BA233" s="34">
        <v>9</v>
      </c>
      <c r="BB233" s="13" t="s">
        <v>271</v>
      </c>
      <c r="BC233" s="25"/>
      <c r="BD233" s="25"/>
      <c r="BE233" s="13"/>
      <c r="BF233" s="13" t="s">
        <v>444</v>
      </c>
    </row>
    <row r="234" spans="1:58" ht="14.25" x14ac:dyDescent="0.2">
      <c r="A234" t="str">
        <f t="shared" si="48"/>
        <v>A96</v>
      </c>
      <c r="B234" s="2" t="s">
        <v>658</v>
      </c>
      <c r="C234">
        <f t="shared" si="40"/>
        <v>108.65</v>
      </c>
      <c r="D234" t="str">
        <f t="shared" si="41"/>
        <v>UFD</v>
      </c>
      <c r="E234" s="169" t="str">
        <f>IF(OR(A234="",B234="",C234=""),"eine der Spalten BAB, FR, km leer?",CONCATENATE(VLOOKUP(VALUE(I234),[1]Grundlage!$A$1:$B$14,2,0),IF(LEFT(A234,1)="A",IF(VALUE(MID(A234,2,10))&lt;10,"A00"&amp;VALUE(MID(A234,2,10)),IF(VALUE(MID(A234,2,10))&lt;100,"A0"&amp;VALUE(MID(A234,2,10)),IF(VALUE(MID(A234,2,10))&lt;1000,"A"&amp;VALUE(MID(A234,2,10))))),IF(LEFT(A234,1)="B",IF(VALUE(MID(A234,2,10))&lt;10,"B00"&amp;VALUE(MID(A234,2,10)),IF(VALUE(MID(A234,2,10))&lt;100,"B0"&amp;VALUE(MID(A234,2,10)),IF(VALUE(MID(A234,2,10))&lt;1000,"B"&amp;VALUE(MID(A234,2,10))))),A234)),"_",IF(NOT(OR(C234=1000,C234&gt;1000)),MID(TEXT((C234+1000)*1000,0),2,6),"keine Meter in Spalte km!!!"),IF(VALUE(I234)=1,CONCATENATE("_",VLOOKUP(IF(V234&gt;0,V234,J234),[1]Grundlage!$A$20:$B$181,2,0)),CONCATENATE("_",B234))))</f>
        <v>UQ_A096_108650_O</v>
      </c>
      <c r="F234" s="2" t="s">
        <v>272</v>
      </c>
      <c r="G234" s="167">
        <f t="shared" si="49"/>
        <v>37533</v>
      </c>
      <c r="H234">
        <f t="shared" si="50"/>
        <v>71</v>
      </c>
      <c r="I234" s="2">
        <f t="shared" si="42"/>
        <v>3</v>
      </c>
      <c r="J234" s="2">
        <f t="shared" si="43"/>
        <v>82</v>
      </c>
      <c r="K234" s="2">
        <v>205</v>
      </c>
      <c r="L234" s="2">
        <f t="shared" si="44"/>
        <v>16</v>
      </c>
      <c r="M234" s="2">
        <f t="shared" si="45"/>
        <v>1</v>
      </c>
      <c r="N234" s="2">
        <f t="shared" si="46"/>
        <v>10</v>
      </c>
      <c r="P234" s="168">
        <f t="shared" si="47"/>
        <v>72</v>
      </c>
      <c r="AI234" s="21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9">
        <v>3</v>
      </c>
      <c r="AU234" s="14">
        <v>82</v>
      </c>
      <c r="AV234" s="14">
        <v>52</v>
      </c>
      <c r="AW234" s="13"/>
      <c r="AX234" s="13"/>
      <c r="AY234" s="19">
        <v>1</v>
      </c>
      <c r="AZ234" s="14">
        <v>10</v>
      </c>
      <c r="BA234" s="34" t="s">
        <v>95</v>
      </c>
      <c r="BB234" s="13" t="s">
        <v>272</v>
      </c>
      <c r="BC234" s="25"/>
      <c r="BD234" s="25"/>
      <c r="BE234" s="13"/>
      <c r="BF234" s="13" t="s">
        <v>481</v>
      </c>
    </row>
    <row r="235" spans="1:58" ht="17.25" customHeight="1" x14ac:dyDescent="0.2">
      <c r="A235" t="str">
        <f t="shared" si="48"/>
        <v>A96</v>
      </c>
      <c r="C235">
        <f t="shared" si="40"/>
        <v>108.65</v>
      </c>
      <c r="D235" t="str">
        <f t="shared" si="41"/>
        <v/>
      </c>
      <c r="E235" s="169" t="str">
        <f>IF(OR(A235="",B235="",C235=""),"",CONCATENATE(VLOOKUP(VALUE(I235),[1]Grundlage!$A$1:$B$14,2,0),IF(LEFT(A235,1)="A",IF(VALUE(MID(A235,2,10))&lt;10,"A00"&amp;VALUE(MID(A235,2,10)),IF(VALUE(MID(A235,2,10))&lt;100,"A0"&amp;VALUE(MID(A235,2,10)),IF(VALUE(MID(A235,2,10))&lt;1000,"A"&amp;VALUE(MID(A235,2,10))))),IF(LEFT(A235,1)="B",IF(VALUE(MID(A235,2,10))&lt;10,"B00"&amp;VALUE(MID(A235,2,10)),IF(VALUE(MID(A235,2,10))&lt;100,"B0"&amp;VALUE(MID(A235,2,10)),IF(VALUE(MID(A235,2,10))&lt;1000,"B"&amp;VALUE(MID(A235,2,10))))),A235)),"_",IF(NOT(OR(C235=1000,C235&gt;1000)),MID(TEXT((C235+1000)*1000,0),2,6),"keine Meter in Spalte km!!!"),IF(VALUE(I235)=1,CONCATENATE("_",VLOOKUP(IF(V235&gt;0,V235,J235),[1]Grundlage!$A$20:$B$181,2,0)),CONCATENATE("_",B235))))</f>
        <v/>
      </c>
      <c r="F235" s="2" t="s">
        <v>669</v>
      </c>
      <c r="G235" s="167">
        <f t="shared" si="49"/>
        <v>37533</v>
      </c>
      <c r="H235">
        <f t="shared" si="50"/>
        <v>71</v>
      </c>
      <c r="I235" s="2">
        <f t="shared" si="42"/>
        <v>0</v>
      </c>
      <c r="J235" s="2">
        <f t="shared" si="43"/>
        <v>0</v>
      </c>
      <c r="L235" s="2">
        <f t="shared" si="44"/>
        <v>16</v>
      </c>
      <c r="M235" s="2" t="str">
        <f t="shared" si="45"/>
        <v/>
      </c>
      <c r="N235" s="2" t="str">
        <f t="shared" si="46"/>
        <v/>
      </c>
      <c r="P235" s="168" t="str">
        <f t="shared" si="47"/>
        <v/>
      </c>
      <c r="AI235" s="21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9"/>
      <c r="AU235" s="14"/>
      <c r="AV235" s="14"/>
      <c r="AW235" s="13"/>
      <c r="AX235" s="13"/>
      <c r="AY235" s="19"/>
      <c r="AZ235" s="14"/>
      <c r="BA235" s="14"/>
      <c r="BB235" s="13"/>
      <c r="BC235" s="25"/>
      <c r="BD235" s="25"/>
      <c r="BE235" s="13"/>
      <c r="BF235" s="13"/>
    </row>
    <row r="236" spans="1:58" ht="15" thickBot="1" x14ac:dyDescent="0.25">
      <c r="A236" t="str">
        <f t="shared" si="48"/>
        <v>A96</v>
      </c>
      <c r="C236">
        <f t="shared" si="40"/>
        <v>108.65</v>
      </c>
      <c r="D236" t="str">
        <f t="shared" si="41"/>
        <v/>
      </c>
      <c r="E236" s="169" t="str">
        <f>IF(OR(A236="",B236="",C236=""),"",CONCATENATE(VLOOKUP(VALUE(I236),[1]Grundlage!$A$1:$B$14,2,0),IF(LEFT(A236,1)="A",IF(VALUE(MID(A236,2,10))&lt;10,"A00"&amp;VALUE(MID(A236,2,10)),IF(VALUE(MID(A236,2,10))&lt;100,"A0"&amp;VALUE(MID(A236,2,10)),IF(VALUE(MID(A236,2,10))&lt;1000,"A"&amp;VALUE(MID(A236,2,10))))),IF(LEFT(A236,1)="B",IF(VALUE(MID(A236,2,10))&lt;10,"B00"&amp;VALUE(MID(A236,2,10)),IF(VALUE(MID(A236,2,10))&lt;100,"B0"&amp;VALUE(MID(A236,2,10)),IF(VALUE(MID(A236,2,10))&lt;1000,"B"&amp;VALUE(MID(A236,2,10))))),A236)),"_",IF(NOT(OR(C236=1000,C236&gt;1000)),MID(TEXT((C236+1000)*1000,0),2,6),"keine Meter in Spalte km!!!"),IF(VALUE(I236)=1,CONCATENATE("_",VLOOKUP(IF(V236&gt;0,V236,J236),[1]Grundlage!$A$20:$B$181,2,0)),CONCATENATE("_",B236))))</f>
        <v/>
      </c>
      <c r="F236" s="2" t="s">
        <v>669</v>
      </c>
      <c r="G236" s="167">
        <f t="shared" si="49"/>
        <v>37533</v>
      </c>
      <c r="H236">
        <f t="shared" si="50"/>
        <v>71</v>
      </c>
      <c r="I236" s="2">
        <f t="shared" si="42"/>
        <v>0</v>
      </c>
      <c r="J236" s="2">
        <f t="shared" si="43"/>
        <v>0</v>
      </c>
      <c r="L236" s="2">
        <f t="shared" si="44"/>
        <v>16</v>
      </c>
      <c r="M236" s="2" t="str">
        <f t="shared" si="45"/>
        <v/>
      </c>
      <c r="N236" s="2" t="str">
        <f t="shared" si="46"/>
        <v/>
      </c>
      <c r="P236" s="168" t="str">
        <f t="shared" si="47"/>
        <v/>
      </c>
      <c r="BF236" s="13"/>
    </row>
    <row r="237" spans="1:58" ht="15.75" thickTop="1" thickBot="1" x14ac:dyDescent="0.25">
      <c r="A237" t="str">
        <f t="shared" si="48"/>
        <v>Augsburg</v>
      </c>
      <c r="C237">
        <f t="shared" si="40"/>
        <v>108.65</v>
      </c>
      <c r="D237" t="str">
        <f t="shared" si="41"/>
        <v/>
      </c>
      <c r="E237" s="169" t="str">
        <f>IF(OR(A237="",B237="",C237=""),"",CONCATENATE(VLOOKUP(VALUE(I237),[1]Grundlage!$A$1:$B$14,2,0),IF(LEFT(A237,1)="A",IF(VALUE(MID(A237,2,10))&lt;10,"A00"&amp;VALUE(MID(A237,2,10)),IF(VALUE(MID(A237,2,10))&lt;100,"A0"&amp;VALUE(MID(A237,2,10)),IF(VALUE(MID(A237,2,10))&lt;1000,"A"&amp;VALUE(MID(A237,2,10))))),IF(LEFT(A237,1)="B",IF(VALUE(MID(A237,2,10))&lt;10,"B00"&amp;VALUE(MID(A237,2,10)),IF(VALUE(MID(A237,2,10))&lt;100,"B0"&amp;VALUE(MID(A237,2,10)),IF(VALUE(MID(A237,2,10))&lt;1000,"B"&amp;VALUE(MID(A237,2,10))))),A237)),"_",IF(NOT(OR(C237=1000,C237&gt;1000)),MID(TEXT((C237+1000)*1000,0),2,6),"keine Meter in Spalte km!!!"),IF(VALUE(I237)=1,CONCATENATE("_",VLOOKUP(IF(V237&gt;0,V237,J237),[1]Grundlage!$A$20:$B$181,2,0)),CONCATENATE("_",B237))))</f>
        <v/>
      </c>
      <c r="F237" s="2" t="s">
        <v>669</v>
      </c>
      <c r="G237" s="167">
        <f t="shared" si="49"/>
        <v>37533</v>
      </c>
      <c r="H237">
        <f t="shared" si="50"/>
        <v>71</v>
      </c>
      <c r="I237" s="2">
        <f t="shared" si="42"/>
        <v>0</v>
      </c>
      <c r="J237" s="2">
        <f t="shared" si="43"/>
        <v>0</v>
      </c>
      <c r="L237" s="2">
        <f t="shared" si="44"/>
        <v>16</v>
      </c>
      <c r="M237" s="2" t="str">
        <f t="shared" si="45"/>
        <v/>
      </c>
      <c r="N237" s="2" t="str">
        <f t="shared" si="46"/>
        <v/>
      </c>
      <c r="P237" s="168" t="str">
        <f t="shared" si="47"/>
        <v/>
      </c>
      <c r="AI237" s="48"/>
      <c r="AJ237" s="49" t="s">
        <v>17</v>
      </c>
      <c r="AK237" s="49" t="s">
        <v>45</v>
      </c>
      <c r="AL237" s="49"/>
      <c r="AM237" s="49"/>
      <c r="AN237" s="49"/>
      <c r="AO237" s="49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1"/>
      <c r="BD237" s="51"/>
      <c r="BE237" s="50"/>
      <c r="BF237" s="13"/>
    </row>
    <row r="238" spans="1:58" ht="15" thickTop="1" x14ac:dyDescent="0.2">
      <c r="A238" t="str">
        <f t="shared" si="48"/>
        <v>Augsburg</v>
      </c>
      <c r="C238">
        <f t="shared" si="40"/>
        <v>108.65</v>
      </c>
      <c r="D238" t="str">
        <f t="shared" si="41"/>
        <v/>
      </c>
      <c r="E238" s="169" t="str">
        <f>IF(OR(A238="",B238="",C238=""),"",CONCATENATE(VLOOKUP(VALUE(I238),[1]Grundlage!$A$1:$B$14,2,0),IF(LEFT(A238,1)="A",IF(VALUE(MID(A238,2,10))&lt;10,"A00"&amp;VALUE(MID(A238,2,10)),IF(VALUE(MID(A238,2,10))&lt;100,"A0"&amp;VALUE(MID(A238,2,10)),IF(VALUE(MID(A238,2,10))&lt;1000,"A"&amp;VALUE(MID(A238,2,10))))),IF(LEFT(A238,1)="B",IF(VALUE(MID(A238,2,10))&lt;10,"B00"&amp;VALUE(MID(A238,2,10)),IF(VALUE(MID(A238,2,10))&lt;100,"B0"&amp;VALUE(MID(A238,2,10)),IF(VALUE(MID(A238,2,10))&lt;1000,"B"&amp;VALUE(MID(A238,2,10))))),A238)),"_",IF(NOT(OR(C238=1000,C238&gt;1000)),MID(TEXT((C238+1000)*1000,0),2,6),"keine Meter in Spalte km!!!"),IF(VALUE(I238)=1,CONCATENATE("_",VLOOKUP(IF(V238&gt;0,V238,J238),[1]Grundlage!$A$20:$B$181,2,0)),CONCATENATE("_",B238))))</f>
        <v/>
      </c>
      <c r="F238" s="2" t="s">
        <v>669</v>
      </c>
      <c r="G238" s="167">
        <f t="shared" si="49"/>
        <v>37533</v>
      </c>
      <c r="H238">
        <f t="shared" si="50"/>
        <v>71</v>
      </c>
      <c r="I238" s="2">
        <f t="shared" si="42"/>
        <v>0</v>
      </c>
      <c r="J238" s="2">
        <f t="shared" si="43"/>
        <v>0</v>
      </c>
      <c r="L238" s="2">
        <f t="shared" si="44"/>
        <v>16</v>
      </c>
      <c r="M238" s="2" t="str">
        <f t="shared" si="45"/>
        <v/>
      </c>
      <c r="N238" s="2" t="str">
        <f t="shared" si="46"/>
        <v/>
      </c>
      <c r="P238" s="168" t="str">
        <f t="shared" si="47"/>
        <v/>
      </c>
    </row>
    <row r="239" spans="1:58" s="205" customFormat="1" ht="14.25" x14ac:dyDescent="0.2">
      <c r="A239" s="204" t="s">
        <v>168</v>
      </c>
      <c r="B239" s="205" t="s">
        <v>658</v>
      </c>
      <c r="C239" s="204">
        <f t="shared" si="40"/>
        <v>17.95</v>
      </c>
      <c r="D239" s="204" t="s">
        <v>712</v>
      </c>
      <c r="E239" s="206" t="str">
        <f>IF(OR(A239="",B239="",C239=""),"eine der Spalten BAB, FR, km leer?",CONCATENATE(VLOOKUP(VALUE(I239),[1]Grundlage!$A$1:$B$14,2,0),IF(LEFT(A239,1)="A",IF(VALUE(MID(A239,2,10))&lt;10,"A00"&amp;VALUE(MID(A239,2,10)),IF(VALUE(MID(A239,2,10))&lt;100,"A0"&amp;VALUE(MID(A239,2,10)),IF(VALUE(MID(A239,2,10))&lt;1000,"A"&amp;VALUE(MID(A239,2,10))))),IF(LEFT(A239,1)="B",IF(VALUE(MID(A239,2,10))&lt;10,"B00"&amp;VALUE(MID(A239,2,10)),IF(VALUE(MID(A239,2,10))&lt;100,"B0"&amp;VALUE(MID(A239,2,10)),IF(VALUE(MID(A239,2,10))&lt;1000,"B"&amp;VALUE(MID(A239,2,10))))),A239)),"_",IF(NOT(OR(C239=1000,C239&gt;1000)),MID(TEXT((C239+1000)*1000,0),2,6),"keine Meter in Spalte km!!!"),IF(VALUE(I239)=1,CONCATENATE("_",VLOOKUP(IF(V239&gt;0,V239,J239),[1]Grundlage!$A$20:$B$181,2,0)),CONCATENATE("_",B239))))</f>
        <v>SSt_A008_017950_O</v>
      </c>
      <c r="F239" s="205" t="s">
        <v>47</v>
      </c>
      <c r="G239" s="207">
        <f t="shared" si="49"/>
        <v>3195</v>
      </c>
      <c r="H239" s="204">
        <f t="shared" si="50"/>
        <v>231</v>
      </c>
      <c r="I239" s="205">
        <f t="shared" si="42"/>
        <v>254</v>
      </c>
      <c r="J239" s="205">
        <f t="shared" si="43"/>
        <v>0</v>
      </c>
      <c r="K239" s="205">
        <v>206</v>
      </c>
      <c r="L239" s="205">
        <f t="shared" si="44"/>
        <v>1</v>
      </c>
      <c r="M239" s="205" t="str">
        <f t="shared" si="45"/>
        <v/>
      </c>
      <c r="N239" s="205" t="str">
        <f t="shared" si="46"/>
        <v/>
      </c>
      <c r="P239" s="208" t="str">
        <f t="shared" si="47"/>
        <v/>
      </c>
      <c r="AI239" s="209">
        <v>17.95</v>
      </c>
      <c r="AJ239" s="210" t="s">
        <v>19</v>
      </c>
      <c r="AK239" s="210" t="s">
        <v>46</v>
      </c>
      <c r="AL239" s="210"/>
      <c r="AM239" s="210"/>
      <c r="AN239" s="210"/>
      <c r="AO239" s="210"/>
      <c r="AP239" s="217">
        <v>818151</v>
      </c>
      <c r="AQ239" s="217" t="s">
        <v>79</v>
      </c>
      <c r="AR239" s="217" t="s">
        <v>227</v>
      </c>
      <c r="AS239" s="217" t="s">
        <v>226</v>
      </c>
      <c r="AT239" s="210"/>
      <c r="AU239" s="210"/>
      <c r="AV239" s="210"/>
      <c r="AW239" s="210"/>
      <c r="AX239" s="210">
        <v>1</v>
      </c>
      <c r="AY239" s="210"/>
      <c r="AZ239" s="210"/>
      <c r="BA239" s="210"/>
      <c r="BB239" s="211" t="s">
        <v>47</v>
      </c>
      <c r="BC239" s="212"/>
      <c r="BD239" s="212"/>
    </row>
    <row r="240" spans="1:58" s="205" customFormat="1" ht="14.25" x14ac:dyDescent="0.2">
      <c r="A240" s="204" t="str">
        <f t="shared" si="48"/>
        <v>A8</v>
      </c>
      <c r="B240" s="205" t="s">
        <v>658</v>
      </c>
      <c r="C240" s="204">
        <f t="shared" si="40"/>
        <v>17.95</v>
      </c>
      <c r="D240" s="204" t="s">
        <v>713</v>
      </c>
      <c r="E240" s="206" t="str">
        <f>IF(OR(A240="",B240="",C240=""),"eine der Spalten BAB, FR, km leer?",CONCATENATE(VLOOKUP(VALUE(I240),[1]Grundlage!$A$1:$B$14,2,0),IF(LEFT(A240,1)="A",IF(VALUE(MID(A240,2,10))&lt;10,"A00"&amp;VALUE(MID(A240,2,10)),IF(VALUE(MID(A240,2,10))&lt;100,"A0"&amp;VALUE(MID(A240,2,10)),IF(VALUE(MID(A240,2,10))&lt;1000,"A"&amp;VALUE(MID(A240,2,10))))),IF(LEFT(A240,1)="B",IF(VALUE(MID(A240,2,10))&lt;10,"B00"&amp;VALUE(MID(A240,2,10)),IF(VALUE(MID(A240,2,10))&lt;100,"B0"&amp;VALUE(MID(A240,2,10)),IF(VALUE(MID(A240,2,10))&lt;1000,"B"&amp;VALUE(MID(A240,2,10))))),A240)),"_",IF(NOT(OR(C240=1000,C240&gt;1000)),MID(TEXT((C240+1000)*1000,0),2,6),"keine Meter in Spalte km!!!"),IF(VALUE(I240)=1,CONCATENATE("_",VLOOKUP(IF(V240&gt;0,V240,J240),[1]Grundlage!$A$20:$B$181,2,0)),CONCATENATE("_",B240))))</f>
        <v>UQ_A008_017950_O</v>
      </c>
      <c r="F240" s="205" t="s">
        <v>23</v>
      </c>
      <c r="G240" s="207">
        <f t="shared" si="49"/>
        <v>3195</v>
      </c>
      <c r="H240" s="204">
        <f t="shared" si="50"/>
        <v>231</v>
      </c>
      <c r="I240" s="205">
        <f t="shared" si="42"/>
        <v>3</v>
      </c>
      <c r="J240" s="205">
        <f t="shared" si="43"/>
        <v>6</v>
      </c>
      <c r="K240" s="205">
        <v>206</v>
      </c>
      <c r="L240" s="205">
        <f t="shared" si="44"/>
        <v>1</v>
      </c>
      <c r="M240" s="205">
        <f t="shared" si="45"/>
        <v>1</v>
      </c>
      <c r="N240" s="205">
        <f t="shared" si="46"/>
        <v>6</v>
      </c>
      <c r="P240" s="208">
        <f t="shared" si="47"/>
        <v>63</v>
      </c>
      <c r="AI240" s="213"/>
      <c r="AP240" s="217"/>
      <c r="AQ240" s="217"/>
      <c r="AR240" s="217"/>
      <c r="AS240" s="217"/>
      <c r="AT240" s="210">
        <v>3</v>
      </c>
      <c r="AU240" s="214">
        <v>6</v>
      </c>
      <c r="AV240" s="215">
        <v>6</v>
      </c>
      <c r="AW240" s="210"/>
      <c r="AX240" s="210"/>
      <c r="AY240" s="210">
        <v>1</v>
      </c>
      <c r="AZ240" s="214">
        <v>6</v>
      </c>
      <c r="BA240" s="215">
        <v>6</v>
      </c>
      <c r="BB240" s="205" t="s">
        <v>23</v>
      </c>
      <c r="BC240" s="216"/>
      <c r="BD240" s="216"/>
    </row>
    <row r="241" spans="1:58" s="205" customFormat="1" ht="14.25" x14ac:dyDescent="0.2">
      <c r="A241" s="204" t="str">
        <f t="shared" si="48"/>
        <v>A8</v>
      </c>
      <c r="B241" s="205" t="s">
        <v>658</v>
      </c>
      <c r="C241" s="204">
        <f t="shared" si="40"/>
        <v>17.95</v>
      </c>
      <c r="D241" s="204" t="s">
        <v>713</v>
      </c>
      <c r="E241" s="206" t="str">
        <f>IF(OR(A241="",B241="",C241=""),"eine der Spalten BAB, FR, km leer?",CONCATENATE(VLOOKUP(VALUE(I241),[1]Grundlage!$A$1:$B$14,2,0),IF(LEFT(A241,1)="A",IF(VALUE(MID(A241,2,10))&lt;10,"A00"&amp;VALUE(MID(A241,2,10)),IF(VALUE(MID(A241,2,10))&lt;100,"A0"&amp;VALUE(MID(A241,2,10)),IF(VALUE(MID(A241,2,10))&lt;1000,"A"&amp;VALUE(MID(A241,2,10))))),IF(LEFT(A241,1)="B",IF(VALUE(MID(A241,2,10))&lt;10,"B00"&amp;VALUE(MID(A241,2,10)),IF(VALUE(MID(A241,2,10))&lt;100,"B0"&amp;VALUE(MID(A241,2,10)),IF(VALUE(MID(A241,2,10))&lt;1000,"B"&amp;VALUE(MID(A241,2,10))))),A241)),"_",IF(NOT(OR(C241=1000,C241&gt;1000)),MID(TEXT((C241+1000)*1000,0),2,6),"keine Meter in Spalte km!!!"),IF(VALUE(I241)=1,CONCATENATE("_",VLOOKUP(IF(V241&gt;0,V241,J241),[1]Grundlage!$A$20:$B$181,2,0)),CONCATENATE("_",B241))))</f>
        <v>UQ_A008_017950_O</v>
      </c>
      <c r="F241" s="205" t="s">
        <v>24</v>
      </c>
      <c r="G241" s="207">
        <f t="shared" si="49"/>
        <v>3195</v>
      </c>
      <c r="H241" s="204">
        <f t="shared" si="50"/>
        <v>231</v>
      </c>
      <c r="I241" s="205">
        <f t="shared" si="42"/>
        <v>3</v>
      </c>
      <c r="J241" s="205">
        <f t="shared" si="43"/>
        <v>11</v>
      </c>
      <c r="K241" s="205">
        <v>206</v>
      </c>
      <c r="L241" s="205">
        <f t="shared" si="44"/>
        <v>1</v>
      </c>
      <c r="M241" s="205">
        <f t="shared" si="45"/>
        <v>1</v>
      </c>
      <c r="N241" s="205">
        <f t="shared" si="46"/>
        <v>14</v>
      </c>
      <c r="P241" s="208">
        <v>51</v>
      </c>
      <c r="AI241" s="213"/>
      <c r="AT241" s="210">
        <v>3</v>
      </c>
      <c r="AU241" s="214">
        <v>11</v>
      </c>
      <c r="AV241" s="214" t="s">
        <v>78</v>
      </c>
      <c r="AY241" s="210">
        <v>1</v>
      </c>
      <c r="AZ241" s="214">
        <v>14</v>
      </c>
      <c r="BA241" s="214" t="s">
        <v>81</v>
      </c>
      <c r="BB241" s="205" t="s">
        <v>24</v>
      </c>
      <c r="BC241" s="216"/>
      <c r="BD241" s="216"/>
    </row>
    <row r="242" spans="1:58" s="205" customFormat="1" ht="14.25" x14ac:dyDescent="0.2">
      <c r="A242" s="204" t="str">
        <f t="shared" si="48"/>
        <v>A8</v>
      </c>
      <c r="B242" s="205" t="s">
        <v>658</v>
      </c>
      <c r="C242" s="204">
        <f t="shared" si="40"/>
        <v>17.95</v>
      </c>
      <c r="D242" s="204" t="s">
        <v>713</v>
      </c>
      <c r="E242" s="206" t="str">
        <f>IF(OR(A242="",B242="",C242=""),"eine der Spalten BAB, FR, km leer?",CONCATENATE(VLOOKUP(VALUE(I242),[1]Grundlage!$A$1:$B$14,2,0),IF(LEFT(A242,1)="A",IF(VALUE(MID(A242,2,10))&lt;10,"A00"&amp;VALUE(MID(A242,2,10)),IF(VALUE(MID(A242,2,10))&lt;100,"A0"&amp;VALUE(MID(A242,2,10)),IF(VALUE(MID(A242,2,10))&lt;1000,"A"&amp;VALUE(MID(A242,2,10))))),IF(LEFT(A242,1)="B",IF(VALUE(MID(A242,2,10))&lt;10,"B00"&amp;VALUE(MID(A242,2,10)),IF(VALUE(MID(A242,2,10))&lt;100,"B0"&amp;VALUE(MID(A242,2,10)),IF(VALUE(MID(A242,2,10))&lt;1000,"B"&amp;VALUE(MID(A242,2,10))))),A242)),"_",IF(NOT(OR(C242=1000,C242&gt;1000)),MID(TEXT((C242+1000)*1000,0),2,6),"keine Meter in Spalte km!!!"),IF(VALUE(I242)=1,CONCATENATE("_",VLOOKUP(IF(V242&gt;0,V242,J242),[1]Grundlage!$A$20:$B$181,2,0)),CONCATENATE("_",B242))))</f>
        <v>UQ_A008_017950_O</v>
      </c>
      <c r="F242" s="205" t="s">
        <v>25</v>
      </c>
      <c r="G242" s="207">
        <f t="shared" si="49"/>
        <v>3195</v>
      </c>
      <c r="H242" s="204">
        <f t="shared" si="50"/>
        <v>231</v>
      </c>
      <c r="I242" s="205">
        <f t="shared" si="42"/>
        <v>3</v>
      </c>
      <c r="J242" s="205">
        <f t="shared" si="43"/>
        <v>12</v>
      </c>
      <c r="K242" s="205">
        <v>206</v>
      </c>
      <c r="L242" s="205">
        <f t="shared" si="44"/>
        <v>1</v>
      </c>
      <c r="M242" s="205">
        <f t="shared" si="45"/>
        <v>1</v>
      </c>
      <c r="N242" s="205">
        <f t="shared" si="46"/>
        <v>16</v>
      </c>
      <c r="P242" s="208">
        <f t="shared" si="47"/>
        <v>48</v>
      </c>
      <c r="AI242" s="213"/>
      <c r="AT242" s="210">
        <v>3</v>
      </c>
      <c r="AU242" s="214">
        <v>12</v>
      </c>
      <c r="AV242" s="214" t="s">
        <v>79</v>
      </c>
      <c r="AY242" s="210">
        <v>1</v>
      </c>
      <c r="AZ242" s="214">
        <v>16</v>
      </c>
      <c r="BA242" s="214">
        <v>10</v>
      </c>
      <c r="BB242" s="205" t="s">
        <v>25</v>
      </c>
      <c r="BC242" s="216"/>
      <c r="BD242" s="216"/>
    </row>
    <row r="243" spans="1:58" s="205" customFormat="1" ht="14.25" x14ac:dyDescent="0.2">
      <c r="A243" s="204" t="str">
        <f t="shared" si="48"/>
        <v>A8</v>
      </c>
      <c r="B243" s="205" t="s">
        <v>658</v>
      </c>
      <c r="C243" s="204">
        <f t="shared" si="40"/>
        <v>17.95</v>
      </c>
      <c r="D243" s="204" t="s">
        <v>713</v>
      </c>
      <c r="E243" s="206" t="str">
        <f>IF(OR(A243="",B243="",C243=""),"eine der Spalten BAB, FR, km leer?",CONCATENATE(VLOOKUP(VALUE(I243),[1]Grundlage!$A$1:$B$14,2,0),IF(LEFT(A243,1)="A",IF(VALUE(MID(A243,2,10))&lt;10,"A00"&amp;VALUE(MID(A243,2,10)),IF(VALUE(MID(A243,2,10))&lt;100,"A0"&amp;VALUE(MID(A243,2,10)),IF(VALUE(MID(A243,2,10))&lt;1000,"A"&amp;VALUE(MID(A243,2,10))))),IF(LEFT(A243,1)="B",IF(VALUE(MID(A243,2,10))&lt;10,"B00"&amp;VALUE(MID(A243,2,10)),IF(VALUE(MID(A243,2,10))&lt;100,"B0"&amp;VALUE(MID(A243,2,10)),IF(VALUE(MID(A243,2,10))&lt;1000,"B"&amp;VALUE(MID(A243,2,10))))),A243)),"_",IF(NOT(OR(C243=1000,C243&gt;1000)),MID(TEXT((C243+1000)*1000,0),2,6),"keine Meter in Spalte km!!!"),IF(VALUE(I243)=1,CONCATENATE("_",VLOOKUP(IF(V243&gt;0,V243,J243),[1]Grundlage!$A$20:$B$181,2,0)),CONCATENATE("_",B243))))</f>
        <v>UQ_A008_017950_O</v>
      </c>
      <c r="F243" s="205" t="s">
        <v>26</v>
      </c>
      <c r="G243" s="207">
        <f t="shared" si="49"/>
        <v>3195</v>
      </c>
      <c r="H243" s="204">
        <f t="shared" si="50"/>
        <v>231</v>
      </c>
      <c r="I243" s="205">
        <f t="shared" si="42"/>
        <v>3</v>
      </c>
      <c r="J243" s="205">
        <f t="shared" si="43"/>
        <v>13</v>
      </c>
      <c r="K243" s="205">
        <v>206</v>
      </c>
      <c r="L243" s="205">
        <f t="shared" si="44"/>
        <v>1</v>
      </c>
      <c r="M243" s="205">
        <f t="shared" si="45"/>
        <v>1</v>
      </c>
      <c r="N243" s="205">
        <f t="shared" si="46"/>
        <v>17</v>
      </c>
      <c r="P243" s="208">
        <f t="shared" si="47"/>
        <v>55</v>
      </c>
      <c r="AI243" s="213"/>
      <c r="AT243" s="210">
        <v>3</v>
      </c>
      <c r="AU243" s="214">
        <v>13</v>
      </c>
      <c r="AV243" s="214" t="s">
        <v>80</v>
      </c>
      <c r="AY243" s="210">
        <v>1</v>
      </c>
      <c r="AZ243" s="214">
        <v>17</v>
      </c>
      <c r="BA243" s="214">
        <v>11</v>
      </c>
      <c r="BB243" s="205" t="s">
        <v>26</v>
      </c>
      <c r="BC243" s="216"/>
      <c r="BD243" s="216"/>
    </row>
    <row r="244" spans="1:58" s="205" customFormat="1" ht="14.25" x14ac:dyDescent="0.2">
      <c r="A244" s="204" t="str">
        <f t="shared" si="48"/>
        <v>A8</v>
      </c>
      <c r="B244" s="205" t="s">
        <v>658</v>
      </c>
      <c r="C244" s="204">
        <f t="shared" si="40"/>
        <v>17.95</v>
      </c>
      <c r="D244" s="204" t="s">
        <v>713</v>
      </c>
      <c r="E244" s="206" t="str">
        <f>IF(OR(A244="",B244="",C244=""),"eine der Spalten BAB, FR, km leer?",CONCATENATE(VLOOKUP(VALUE(I244),[1]Grundlage!$A$1:$B$14,2,0),IF(LEFT(A244,1)="A",IF(VALUE(MID(A244,2,10))&lt;10,"A00"&amp;VALUE(MID(A244,2,10)),IF(VALUE(MID(A244,2,10))&lt;100,"A0"&amp;VALUE(MID(A244,2,10)),IF(VALUE(MID(A244,2,10))&lt;1000,"A"&amp;VALUE(MID(A244,2,10))))),IF(LEFT(A244,1)="B",IF(VALUE(MID(A244,2,10))&lt;10,"B00"&amp;VALUE(MID(A244,2,10)),IF(VALUE(MID(A244,2,10))&lt;100,"B0"&amp;VALUE(MID(A244,2,10)),IF(VALUE(MID(A244,2,10))&lt;1000,"B"&amp;VALUE(MID(A244,2,10))))),A244)),"_",IF(NOT(OR(C244=1000,C244&gt;1000)),MID(TEXT((C244+1000)*1000,0),2,6),"keine Meter in Spalte km!!!"),IF(VALUE(I244)=1,CONCATENATE("_",VLOOKUP(IF(V244&gt;0,V244,J244),[1]Grundlage!$A$20:$B$181,2,0)),CONCATENATE("_",B244))))</f>
        <v>UQ_A008_017950_O</v>
      </c>
      <c r="F244" s="205" t="s">
        <v>27</v>
      </c>
      <c r="G244" s="207">
        <f t="shared" si="49"/>
        <v>3195</v>
      </c>
      <c r="H244" s="204">
        <f t="shared" si="50"/>
        <v>231</v>
      </c>
      <c r="I244" s="205">
        <f t="shared" si="42"/>
        <v>3</v>
      </c>
      <c r="J244" s="205">
        <f t="shared" si="43"/>
        <v>14</v>
      </c>
      <c r="K244" s="205">
        <v>206</v>
      </c>
      <c r="L244" s="205">
        <f t="shared" si="44"/>
        <v>1</v>
      </c>
      <c r="M244" s="205">
        <f t="shared" si="45"/>
        <v>1</v>
      </c>
      <c r="N244" s="205">
        <f t="shared" si="46"/>
        <v>18</v>
      </c>
      <c r="P244" s="208">
        <f t="shared" si="47"/>
        <v>66</v>
      </c>
      <c r="AI244" s="213"/>
      <c r="AT244" s="210">
        <v>3</v>
      </c>
      <c r="AU244" s="214">
        <v>14</v>
      </c>
      <c r="AV244" s="214" t="s">
        <v>81</v>
      </c>
      <c r="AY244" s="210">
        <v>1</v>
      </c>
      <c r="AZ244" s="214">
        <v>18</v>
      </c>
      <c r="BA244" s="214">
        <v>12</v>
      </c>
      <c r="BB244" s="205" t="s">
        <v>27</v>
      </c>
      <c r="BC244" s="216"/>
      <c r="BD244" s="216"/>
    </row>
    <row r="245" spans="1:58" s="205" customFormat="1" ht="14.25" x14ac:dyDescent="0.2">
      <c r="A245" s="204" t="str">
        <f t="shared" si="48"/>
        <v>A8</v>
      </c>
      <c r="B245" s="205" t="s">
        <v>658</v>
      </c>
      <c r="C245" s="204">
        <f t="shared" si="40"/>
        <v>17.95</v>
      </c>
      <c r="D245" s="204" t="s">
        <v>713</v>
      </c>
      <c r="E245" s="206" t="str">
        <f>IF(OR(A245="",B245="",C245=""),"eine der Spalten BAB, FR, km leer?",CONCATENATE(VLOOKUP(VALUE(I245),[1]Grundlage!$A$1:$B$14,2,0),IF(LEFT(A245,1)="A",IF(VALUE(MID(A245,2,10))&lt;10,"A00"&amp;VALUE(MID(A245,2,10)),IF(VALUE(MID(A245,2,10))&lt;100,"A0"&amp;VALUE(MID(A245,2,10)),IF(VALUE(MID(A245,2,10))&lt;1000,"A"&amp;VALUE(MID(A245,2,10))))),IF(LEFT(A245,1)="B",IF(VALUE(MID(A245,2,10))&lt;10,"B00"&amp;VALUE(MID(A245,2,10)),IF(VALUE(MID(A245,2,10))&lt;100,"B0"&amp;VALUE(MID(A245,2,10)),IF(VALUE(MID(A245,2,10))&lt;1000,"B"&amp;VALUE(MID(A245,2,10))))),A245)),"_",IF(NOT(OR(C245=1000,C245&gt;1000)),MID(TEXT((C245+1000)*1000,0),2,6),"keine Meter in Spalte km!!!"),IF(VALUE(I245)=1,CONCATENATE("_",VLOOKUP(IF(V245&gt;0,V245,J245),[1]Grundlage!$A$20:$B$181,2,0)),CONCATENATE("_",B245))))</f>
        <v>UQ_A008_017950_O</v>
      </c>
      <c r="F245" s="205" t="s">
        <v>28</v>
      </c>
      <c r="G245" s="207">
        <f t="shared" si="49"/>
        <v>3195</v>
      </c>
      <c r="H245" s="204">
        <f t="shared" si="50"/>
        <v>231</v>
      </c>
      <c r="I245" s="205">
        <f t="shared" si="42"/>
        <v>3</v>
      </c>
      <c r="J245" s="205">
        <f t="shared" si="43"/>
        <v>15</v>
      </c>
      <c r="K245" s="205">
        <v>206</v>
      </c>
      <c r="L245" s="205">
        <f t="shared" si="44"/>
        <v>1</v>
      </c>
      <c r="M245" s="205">
        <f t="shared" si="45"/>
        <v>1</v>
      </c>
      <c r="N245" s="205">
        <f t="shared" si="46"/>
        <v>19</v>
      </c>
      <c r="P245" s="208">
        <f t="shared" si="47"/>
        <v>65</v>
      </c>
      <c r="AI245" s="213"/>
      <c r="AT245" s="210">
        <v>3</v>
      </c>
      <c r="AU245" s="214">
        <v>15</v>
      </c>
      <c r="AV245" s="214" t="s">
        <v>82</v>
      </c>
      <c r="AY245" s="210">
        <v>1</v>
      </c>
      <c r="AZ245" s="214">
        <v>19</v>
      </c>
      <c r="BA245" s="214">
        <v>13</v>
      </c>
      <c r="BB245" s="205" t="s">
        <v>28</v>
      </c>
      <c r="BC245" s="216"/>
      <c r="BD245" s="216"/>
    </row>
    <row r="246" spans="1:58" s="205" customFormat="1" ht="14.25" x14ac:dyDescent="0.2">
      <c r="A246" s="204" t="str">
        <f t="shared" si="48"/>
        <v>A8</v>
      </c>
      <c r="B246" s="205" t="s">
        <v>658</v>
      </c>
      <c r="C246" s="204">
        <f t="shared" si="40"/>
        <v>17.95</v>
      </c>
      <c r="D246" s="204" t="s">
        <v>713</v>
      </c>
      <c r="E246" s="206" t="str">
        <f>IF(OR(A246="",B246="",C246=""),"eine der Spalten BAB, FR, km leer?",CONCATENATE(VLOOKUP(VALUE(I246),[1]Grundlage!$A$1:$B$14,2,0),IF(LEFT(A246,1)="A",IF(VALUE(MID(A246,2,10))&lt;10,"A00"&amp;VALUE(MID(A246,2,10)),IF(VALUE(MID(A246,2,10))&lt;100,"A0"&amp;VALUE(MID(A246,2,10)),IF(VALUE(MID(A246,2,10))&lt;1000,"A"&amp;VALUE(MID(A246,2,10))))),IF(LEFT(A246,1)="B",IF(VALUE(MID(A246,2,10))&lt;10,"B00"&amp;VALUE(MID(A246,2,10)),IF(VALUE(MID(A246,2,10))&lt;100,"B0"&amp;VALUE(MID(A246,2,10)),IF(VALUE(MID(A246,2,10))&lt;1000,"B"&amp;VALUE(MID(A246,2,10))))),A246)),"_",IF(NOT(OR(C246=1000,C246&gt;1000)),MID(TEXT((C246+1000)*1000,0),2,6),"keine Meter in Spalte km!!!"),IF(VALUE(I246)=1,CONCATENATE("_",VLOOKUP(IF(V246&gt;0,V246,J246),[1]Grundlage!$A$20:$B$181,2,0)),CONCATENATE("_",B246))))</f>
        <v>UQ_A008_017950_O</v>
      </c>
      <c r="F246" s="205" t="s">
        <v>29</v>
      </c>
      <c r="G246" s="207">
        <f t="shared" si="49"/>
        <v>3195</v>
      </c>
      <c r="H246" s="204">
        <f t="shared" si="50"/>
        <v>231</v>
      </c>
      <c r="I246" s="205">
        <f t="shared" si="42"/>
        <v>3</v>
      </c>
      <c r="J246" s="205">
        <f t="shared" si="43"/>
        <v>19</v>
      </c>
      <c r="K246" s="205">
        <v>206</v>
      </c>
      <c r="L246" s="205">
        <f t="shared" si="44"/>
        <v>1</v>
      </c>
      <c r="M246" s="205">
        <f t="shared" si="45"/>
        <v>1</v>
      </c>
      <c r="N246" s="205">
        <f t="shared" si="46"/>
        <v>23</v>
      </c>
      <c r="P246" s="208">
        <f t="shared" si="47"/>
        <v>49</v>
      </c>
      <c r="AI246" s="213"/>
      <c r="AT246" s="210">
        <v>3</v>
      </c>
      <c r="AU246" s="214">
        <v>19</v>
      </c>
      <c r="AV246" s="214">
        <v>13</v>
      </c>
      <c r="AY246" s="210">
        <v>1</v>
      </c>
      <c r="AZ246" s="214">
        <v>23</v>
      </c>
      <c r="BA246" s="214">
        <v>17</v>
      </c>
      <c r="BB246" s="205" t="s">
        <v>29</v>
      </c>
      <c r="BC246" s="216"/>
      <c r="BD246" s="216"/>
    </row>
    <row r="247" spans="1:58" s="205" customFormat="1" ht="14.25" x14ac:dyDescent="0.2">
      <c r="A247" s="204" t="str">
        <f t="shared" si="48"/>
        <v>A8</v>
      </c>
      <c r="B247" s="205" t="s">
        <v>658</v>
      </c>
      <c r="C247" s="204">
        <f t="shared" si="40"/>
        <v>17.95</v>
      </c>
      <c r="D247" s="204" t="s">
        <v>713</v>
      </c>
      <c r="E247" s="206" t="str">
        <f>IF(OR(A247="",B247="",C247=""),"eine der Spalten BAB, FR, km leer?",CONCATENATE(VLOOKUP(VALUE(I247),[1]Grundlage!$A$1:$B$14,2,0),IF(LEFT(A247,1)="A",IF(VALUE(MID(A247,2,10))&lt;10,"A00"&amp;VALUE(MID(A247,2,10)),IF(VALUE(MID(A247,2,10))&lt;100,"A0"&amp;VALUE(MID(A247,2,10)),IF(VALUE(MID(A247,2,10))&lt;1000,"A"&amp;VALUE(MID(A247,2,10))))),IF(LEFT(A247,1)="B",IF(VALUE(MID(A247,2,10))&lt;10,"B00"&amp;VALUE(MID(A247,2,10)),IF(VALUE(MID(A247,2,10))&lt;100,"B0"&amp;VALUE(MID(A247,2,10)),IF(VALUE(MID(A247,2,10))&lt;1000,"B"&amp;VALUE(MID(A247,2,10))))),A247)),"_",IF(NOT(OR(C247=1000,C247&gt;1000)),MID(TEXT((C247+1000)*1000,0),2,6),"keine Meter in Spalte km!!!"),IF(VALUE(I247)=1,CONCATENATE("_",VLOOKUP(IF(V247&gt;0,V247,J247),[1]Grundlage!$A$20:$B$181,2,0)),CONCATENATE("_",B247))))</f>
        <v>UQ_A008_017950_O</v>
      </c>
      <c r="F247" s="205" t="s">
        <v>30</v>
      </c>
      <c r="G247" s="207">
        <f t="shared" si="49"/>
        <v>3195</v>
      </c>
      <c r="H247" s="204">
        <f t="shared" si="50"/>
        <v>231</v>
      </c>
      <c r="I247" s="205">
        <f t="shared" si="42"/>
        <v>3</v>
      </c>
      <c r="J247" s="205">
        <f t="shared" si="43"/>
        <v>21</v>
      </c>
      <c r="K247" s="205">
        <v>206</v>
      </c>
      <c r="L247" s="205">
        <f t="shared" si="44"/>
        <v>1</v>
      </c>
      <c r="M247" s="205">
        <f t="shared" si="45"/>
        <v>1</v>
      </c>
      <c r="N247" s="205">
        <f t="shared" si="46"/>
        <v>25</v>
      </c>
      <c r="P247" s="208">
        <f t="shared" si="47"/>
        <v>67</v>
      </c>
      <c r="AI247" s="213"/>
      <c r="AT247" s="210">
        <v>3</v>
      </c>
      <c r="AU247" s="214">
        <v>21</v>
      </c>
      <c r="AV247" s="214">
        <v>15</v>
      </c>
      <c r="AY247" s="210">
        <v>1</v>
      </c>
      <c r="AZ247" s="214">
        <v>25</v>
      </c>
      <c r="BA247" s="214">
        <v>19</v>
      </c>
      <c r="BB247" s="205" t="s">
        <v>30</v>
      </c>
      <c r="BC247" s="216"/>
      <c r="BD247" s="216"/>
    </row>
    <row r="248" spans="1:58" s="205" customFormat="1" ht="14.25" x14ac:dyDescent="0.2">
      <c r="A248" s="204" t="str">
        <f t="shared" si="48"/>
        <v>A8</v>
      </c>
      <c r="B248" s="205" t="s">
        <v>658</v>
      </c>
      <c r="C248" s="204">
        <f t="shared" si="40"/>
        <v>17.95</v>
      </c>
      <c r="D248" s="204" t="s">
        <v>713</v>
      </c>
      <c r="E248" s="206" t="str">
        <f>IF(OR(A248="",B248="",C248=""),"eine der Spalten BAB, FR, km leer?",CONCATENATE(VLOOKUP(VALUE(I248),[1]Grundlage!$A$1:$B$14,2,0),IF(LEFT(A248,1)="A",IF(VALUE(MID(A248,2,10))&lt;10,"A00"&amp;VALUE(MID(A248,2,10)),IF(VALUE(MID(A248,2,10))&lt;100,"A0"&amp;VALUE(MID(A248,2,10)),IF(VALUE(MID(A248,2,10))&lt;1000,"A"&amp;VALUE(MID(A248,2,10))))),IF(LEFT(A248,1)="B",IF(VALUE(MID(A248,2,10))&lt;10,"B00"&amp;VALUE(MID(A248,2,10)),IF(VALUE(MID(A248,2,10))&lt;100,"B0"&amp;VALUE(MID(A248,2,10)),IF(VALUE(MID(A248,2,10))&lt;1000,"B"&amp;VALUE(MID(A248,2,10))))),A248)),"_",IF(NOT(OR(C248=1000,C248&gt;1000)),MID(TEXT((C248+1000)*1000,0),2,6),"keine Meter in Spalte km!!!"),IF(VALUE(I248)=1,CONCATENATE("_",VLOOKUP(IF(V248&gt;0,V248,J248),[1]Grundlage!$A$20:$B$181,2,0)),CONCATENATE("_",B248))))</f>
        <v>UQ_A008_017950_O</v>
      </c>
      <c r="F248" s="205" t="s">
        <v>41</v>
      </c>
      <c r="G248" s="207">
        <f t="shared" si="49"/>
        <v>3195</v>
      </c>
      <c r="H248" s="204">
        <f t="shared" si="50"/>
        <v>231</v>
      </c>
      <c r="I248" s="205">
        <f t="shared" si="42"/>
        <v>3</v>
      </c>
      <c r="J248" s="205">
        <f t="shared" si="43"/>
        <v>24</v>
      </c>
      <c r="K248" s="205">
        <v>206</v>
      </c>
      <c r="L248" s="205">
        <f t="shared" si="44"/>
        <v>1</v>
      </c>
      <c r="M248" s="205">
        <f t="shared" si="45"/>
        <v>1</v>
      </c>
      <c r="N248" s="205">
        <f t="shared" si="46"/>
        <v>27</v>
      </c>
      <c r="P248" s="208">
        <f t="shared" si="47"/>
        <v>69</v>
      </c>
      <c r="AI248" s="213"/>
      <c r="AT248" s="210">
        <v>3</v>
      </c>
      <c r="AU248" s="214">
        <v>24</v>
      </c>
      <c r="AV248" s="214">
        <v>18</v>
      </c>
      <c r="AY248" s="210">
        <v>1</v>
      </c>
      <c r="AZ248" s="214">
        <v>27</v>
      </c>
      <c r="BA248" s="214" t="s">
        <v>85</v>
      </c>
      <c r="BB248" s="205" t="s">
        <v>41</v>
      </c>
      <c r="BC248" s="216"/>
      <c r="BD248" s="216"/>
    </row>
    <row r="249" spans="1:58" ht="14.25" x14ac:dyDescent="0.2">
      <c r="A249" t="str">
        <f t="shared" si="48"/>
        <v>A8</v>
      </c>
      <c r="C249">
        <f t="shared" si="40"/>
        <v>17.95</v>
      </c>
      <c r="D249" t="str">
        <f t="shared" si="41"/>
        <v/>
      </c>
      <c r="E249" s="169" t="str">
        <f>IF(OR(A249="",B249="",C249=""),"",CONCATENATE(VLOOKUP(VALUE(I249),[1]Grundlage!$A$1:$B$14,2,0),IF(LEFT(A249,1)="A",IF(VALUE(MID(A249,2,10))&lt;10,"A00"&amp;VALUE(MID(A249,2,10)),IF(VALUE(MID(A249,2,10))&lt;100,"A0"&amp;VALUE(MID(A249,2,10)),IF(VALUE(MID(A249,2,10))&lt;1000,"A"&amp;VALUE(MID(A249,2,10))))),IF(LEFT(A249,1)="B",IF(VALUE(MID(A249,2,10))&lt;10,"B00"&amp;VALUE(MID(A249,2,10)),IF(VALUE(MID(A249,2,10))&lt;100,"B0"&amp;VALUE(MID(A249,2,10)),IF(VALUE(MID(A249,2,10))&lt;1000,"B"&amp;VALUE(MID(A249,2,10))))),A249)),"_",IF(NOT(OR(C249=1000,C249&gt;1000)),MID(TEXT((C249+1000)*1000,0),2,6),"keine Meter in Spalte km!!!"),IF(VALUE(I249)=1,CONCATENATE("_",VLOOKUP(IF(V249&gt;0,V249,J249),[1]Grundlage!$A$20:$B$181,2,0)),CONCATENATE("_",B249))))</f>
        <v/>
      </c>
      <c r="F249" s="2" t="s">
        <v>669</v>
      </c>
      <c r="G249" s="167">
        <f t="shared" si="49"/>
        <v>3195</v>
      </c>
      <c r="H249">
        <f t="shared" si="50"/>
        <v>231</v>
      </c>
      <c r="I249" s="2">
        <f t="shared" si="42"/>
        <v>0</v>
      </c>
      <c r="J249" s="2">
        <f t="shared" si="43"/>
        <v>0</v>
      </c>
      <c r="K249" s="2">
        <v>206</v>
      </c>
      <c r="L249" s="2">
        <f t="shared" si="44"/>
        <v>1</v>
      </c>
      <c r="M249" s="2" t="str">
        <f t="shared" si="45"/>
        <v/>
      </c>
      <c r="N249" s="2" t="str">
        <f t="shared" si="46"/>
        <v/>
      </c>
      <c r="P249" s="168" t="str">
        <f t="shared" si="47"/>
        <v/>
      </c>
    </row>
    <row r="250" spans="1:58" ht="14.25" x14ac:dyDescent="0.2">
      <c r="A250" t="s">
        <v>168</v>
      </c>
      <c r="B250" s="2" t="s">
        <v>658</v>
      </c>
      <c r="C250">
        <f t="shared" si="40"/>
        <v>67.45</v>
      </c>
      <c r="D250" t="str">
        <f t="shared" si="41"/>
        <v>SS</v>
      </c>
      <c r="E250" s="169" t="str">
        <f>IF(OR(A250="",B250="",C250=""),"eine der Spalten BAB, FR, km leer?",CONCATENATE(VLOOKUP(VALUE(I250),[1]Grundlage!$A$1:$B$14,2,0),IF(LEFT(A250,1)="A",IF(VALUE(MID(A250,2,10))&lt;10,"A00"&amp;VALUE(MID(A250,2,10)),IF(VALUE(MID(A250,2,10))&lt;100,"A0"&amp;VALUE(MID(A250,2,10)),IF(VALUE(MID(A250,2,10))&lt;1000,"A"&amp;VALUE(MID(A250,2,10))))),IF(LEFT(A250,1)="B",IF(VALUE(MID(A250,2,10))&lt;10,"B00"&amp;VALUE(MID(A250,2,10)),IF(VALUE(MID(A250,2,10))&lt;100,"B0"&amp;VALUE(MID(A250,2,10)),IF(VALUE(MID(A250,2,10))&lt;1000,"B"&amp;VALUE(MID(A250,2,10))))),A250)),"_",IF(NOT(OR(C250=1000,C250&gt;1000)),MID(TEXT((C250+1000)*1000,0),2,6),"keine Meter in Spalte km!!!"),IF(VALUE(I250)=1,CONCATENATE("_",VLOOKUP(IF(V250&gt;0,V250,J250),[1]Grundlage!$A$20:$B$181,2,0)),CONCATENATE("_",B250))))</f>
        <v>SSt_A008_067450_O</v>
      </c>
      <c r="F250" s="2" t="s">
        <v>48</v>
      </c>
      <c r="G250" s="167">
        <f t="shared" si="49"/>
        <v>3197</v>
      </c>
      <c r="H250">
        <f t="shared" si="50"/>
        <v>136</v>
      </c>
      <c r="I250" s="2">
        <f t="shared" si="42"/>
        <v>254</v>
      </c>
      <c r="J250" s="2">
        <f t="shared" si="43"/>
        <v>0</v>
      </c>
      <c r="K250" s="2">
        <v>206</v>
      </c>
      <c r="L250" s="2">
        <f t="shared" si="44"/>
        <v>2</v>
      </c>
      <c r="M250" s="2" t="str">
        <f t="shared" si="45"/>
        <v/>
      </c>
      <c r="N250" s="2" t="str">
        <f t="shared" si="46"/>
        <v/>
      </c>
      <c r="P250" s="168" t="str">
        <f t="shared" si="47"/>
        <v/>
      </c>
      <c r="AI250" s="93">
        <v>67.45</v>
      </c>
      <c r="AJ250" s="92" t="s">
        <v>19</v>
      </c>
      <c r="AK250" s="92" t="s">
        <v>46</v>
      </c>
      <c r="AL250" s="92" t="s">
        <v>384</v>
      </c>
      <c r="AM250" s="92" t="s">
        <v>389</v>
      </c>
      <c r="AN250" s="92" t="s">
        <v>390</v>
      </c>
      <c r="AO250" s="92">
        <v>7200</v>
      </c>
      <c r="AP250" s="94">
        <v>818568</v>
      </c>
      <c r="AQ250" s="94" t="s">
        <v>79</v>
      </c>
      <c r="AR250" s="94" t="s">
        <v>263</v>
      </c>
      <c r="AS250" s="94">
        <v>88</v>
      </c>
      <c r="AT250" s="92"/>
      <c r="AU250" s="36"/>
      <c r="AV250" s="36"/>
      <c r="AW250" s="92"/>
      <c r="AX250" s="36">
        <v>2</v>
      </c>
      <c r="AY250" s="36"/>
      <c r="AZ250" s="36"/>
      <c r="BA250" s="36"/>
      <c r="BB250" s="37" t="s">
        <v>48</v>
      </c>
      <c r="BC250" s="45" t="s">
        <v>398</v>
      </c>
      <c r="BD250" s="38"/>
      <c r="BE250" s="39" t="s">
        <v>45</v>
      </c>
      <c r="BF250" s="45" t="s">
        <v>451</v>
      </c>
    </row>
    <row r="251" spans="1:58" ht="14.25" x14ac:dyDescent="0.2">
      <c r="A251" t="str">
        <f t="shared" si="48"/>
        <v>A8</v>
      </c>
      <c r="B251" s="2" t="s">
        <v>658</v>
      </c>
      <c r="C251">
        <f t="shared" si="40"/>
        <v>67.45</v>
      </c>
      <c r="D251" t="str">
        <f t="shared" si="41"/>
        <v>UFD</v>
      </c>
      <c r="E251" s="169" t="str">
        <f>IF(OR(A251="",B251="",C251=""),"eine der Spalten BAB, FR, km leer?",CONCATENATE(VLOOKUP(VALUE(I251),[1]Grundlage!$A$1:$B$14,2,0),IF(LEFT(A251,1)="A",IF(VALUE(MID(A251,2,10))&lt;10,"A00"&amp;VALUE(MID(A251,2,10)),IF(VALUE(MID(A251,2,10))&lt;100,"A0"&amp;VALUE(MID(A251,2,10)),IF(VALUE(MID(A251,2,10))&lt;1000,"A"&amp;VALUE(MID(A251,2,10))))),IF(LEFT(A251,1)="B",IF(VALUE(MID(A251,2,10))&lt;10,"B00"&amp;VALUE(MID(A251,2,10)),IF(VALUE(MID(A251,2,10))&lt;100,"B0"&amp;VALUE(MID(A251,2,10)),IF(VALUE(MID(A251,2,10))&lt;1000,"B"&amp;VALUE(MID(A251,2,10))))),A251)),"_",IF(NOT(OR(C251=1000,C251&gt;1000)),MID(TEXT((C251+1000)*1000,0),2,6),"keine Meter in Spalte km!!!"),IF(VALUE(I251)=1,CONCATENATE("_",VLOOKUP(IF(V251&gt;0,V251,J251),[1]Grundlage!$A$20:$B$181,2,0)),CONCATENATE("_",B251))))</f>
        <v>UQ_A008_067450_O</v>
      </c>
      <c r="F251" s="2" t="s">
        <v>269</v>
      </c>
      <c r="G251" s="167">
        <f t="shared" si="49"/>
        <v>3197</v>
      </c>
      <c r="H251">
        <f t="shared" si="50"/>
        <v>136</v>
      </c>
      <c r="I251" s="2">
        <f t="shared" si="42"/>
        <v>3</v>
      </c>
      <c r="J251" s="2">
        <f t="shared" si="43"/>
        <v>6</v>
      </c>
      <c r="K251" s="2">
        <v>206</v>
      </c>
      <c r="L251" s="2">
        <f t="shared" si="44"/>
        <v>2</v>
      </c>
      <c r="M251" s="2">
        <f t="shared" si="45"/>
        <v>1</v>
      </c>
      <c r="N251" s="2">
        <f t="shared" si="46"/>
        <v>1</v>
      </c>
      <c r="P251" s="168">
        <f t="shared" si="47"/>
        <v>71</v>
      </c>
      <c r="AI251" s="21"/>
      <c r="AJ251" s="13"/>
      <c r="AK251" s="13"/>
      <c r="AL251" s="13"/>
      <c r="AM251" s="13"/>
      <c r="AN251" s="13"/>
      <c r="AO251" s="13"/>
      <c r="AP251" s="77"/>
      <c r="AQ251" s="77"/>
      <c r="AR251" s="77"/>
      <c r="AS251" s="77"/>
      <c r="AT251" s="19">
        <v>3</v>
      </c>
      <c r="AU251" s="14">
        <v>6</v>
      </c>
      <c r="AV251" s="27">
        <v>6</v>
      </c>
      <c r="AW251" s="19"/>
      <c r="AX251" s="19"/>
      <c r="AY251" s="19">
        <v>1</v>
      </c>
      <c r="AZ251" s="14">
        <v>1</v>
      </c>
      <c r="BA251" s="27">
        <v>1</v>
      </c>
      <c r="BB251" s="13" t="s">
        <v>269</v>
      </c>
      <c r="BC251" s="91" t="s">
        <v>384</v>
      </c>
      <c r="BD251" s="25"/>
    </row>
    <row r="252" spans="1:58" ht="14.25" x14ac:dyDescent="0.2">
      <c r="A252" t="str">
        <f t="shared" si="48"/>
        <v>A8</v>
      </c>
      <c r="B252" s="2" t="s">
        <v>658</v>
      </c>
      <c r="C252">
        <f t="shared" si="40"/>
        <v>67.45</v>
      </c>
      <c r="D252" t="str">
        <f t="shared" si="41"/>
        <v>UFD</v>
      </c>
      <c r="E252" s="169" t="str">
        <f>IF(OR(A252="",B252="",C252=""),"eine der Spalten BAB, FR, km leer?",CONCATENATE(VLOOKUP(VALUE(I252),[1]Grundlage!$A$1:$B$14,2,0),IF(LEFT(A252,1)="A",IF(VALUE(MID(A252,2,10))&lt;10,"A00"&amp;VALUE(MID(A252,2,10)),IF(VALUE(MID(A252,2,10))&lt;100,"A0"&amp;VALUE(MID(A252,2,10)),IF(VALUE(MID(A252,2,10))&lt;1000,"A"&amp;VALUE(MID(A252,2,10))))),IF(LEFT(A252,1)="B",IF(VALUE(MID(A252,2,10))&lt;10,"B00"&amp;VALUE(MID(A252,2,10)),IF(VALUE(MID(A252,2,10))&lt;100,"B0"&amp;VALUE(MID(A252,2,10)),IF(VALUE(MID(A252,2,10))&lt;1000,"B"&amp;VALUE(MID(A252,2,10))))),A252)),"_",IF(NOT(OR(C252=1000,C252&gt;1000)),MID(TEXT((C252+1000)*1000,0),2,6),"keine Meter in Spalte km!!!"),IF(VALUE(I252)=1,CONCATENATE("_",VLOOKUP(IF(V252&gt;0,V252,J252),[1]Grundlage!$A$20:$B$181,2,0)),CONCATENATE("_",B252))))</f>
        <v>UQ_A008_067450_O</v>
      </c>
      <c r="F252" s="2" t="s">
        <v>270</v>
      </c>
      <c r="G252" s="167">
        <f t="shared" si="49"/>
        <v>3197</v>
      </c>
      <c r="H252">
        <f t="shared" si="50"/>
        <v>136</v>
      </c>
      <c r="I252" s="2">
        <f t="shared" si="42"/>
        <v>3</v>
      </c>
      <c r="J252" s="2">
        <f t="shared" si="43"/>
        <v>11</v>
      </c>
      <c r="K252" s="2">
        <v>206</v>
      </c>
      <c r="L252" s="2">
        <f t="shared" si="44"/>
        <v>2</v>
      </c>
      <c r="M252" s="2">
        <f t="shared" si="45"/>
        <v>1</v>
      </c>
      <c r="N252" s="2">
        <f t="shared" si="46"/>
        <v>2</v>
      </c>
      <c r="P252" s="168">
        <f t="shared" si="47"/>
        <v>70</v>
      </c>
      <c r="AI252" s="21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9">
        <v>3</v>
      </c>
      <c r="AU252" s="14">
        <v>11</v>
      </c>
      <c r="AV252" s="14" t="s">
        <v>78</v>
      </c>
      <c r="AW252" s="13"/>
      <c r="AX252" s="13"/>
      <c r="AY252" s="19">
        <v>1</v>
      </c>
      <c r="AZ252" s="14">
        <v>2</v>
      </c>
      <c r="BA252" s="14">
        <v>2</v>
      </c>
      <c r="BB252" s="13" t="s">
        <v>270</v>
      </c>
      <c r="BC252" s="91" t="s">
        <v>382</v>
      </c>
      <c r="BD252" s="25"/>
    </row>
    <row r="253" spans="1:58" ht="14.25" x14ac:dyDescent="0.2">
      <c r="A253" t="str">
        <f t="shared" si="48"/>
        <v>A8</v>
      </c>
      <c r="B253" s="2" t="s">
        <v>658</v>
      </c>
      <c r="C253">
        <f t="shared" si="40"/>
        <v>67.45</v>
      </c>
      <c r="D253" t="str">
        <f t="shared" si="41"/>
        <v>UFD</v>
      </c>
      <c r="E253" s="169" t="str">
        <f>IF(OR(A253="",B253="",C253=""),"eine der Spalten BAB, FR, km leer?",CONCATENATE(VLOOKUP(VALUE(I253),[1]Grundlage!$A$1:$B$14,2,0),IF(LEFT(A253,1)="A",IF(VALUE(MID(A253,2,10))&lt;10,"A00"&amp;VALUE(MID(A253,2,10)),IF(VALUE(MID(A253,2,10))&lt;100,"A0"&amp;VALUE(MID(A253,2,10)),IF(VALUE(MID(A253,2,10))&lt;1000,"A"&amp;VALUE(MID(A253,2,10))))),IF(LEFT(A253,1)="B",IF(VALUE(MID(A253,2,10))&lt;10,"B00"&amp;VALUE(MID(A253,2,10)),IF(VALUE(MID(A253,2,10))&lt;100,"B0"&amp;VALUE(MID(A253,2,10)),IF(VALUE(MID(A253,2,10))&lt;1000,"B"&amp;VALUE(MID(A253,2,10))))),A253)),"_",IF(NOT(OR(C253=1000,C253&gt;1000)),MID(TEXT((C253+1000)*1000,0),2,6),"keine Meter in Spalte km!!!"),IF(VALUE(I253)=1,CONCATENATE("_",VLOOKUP(IF(V253&gt;0,V253,J253),[1]Grundlage!$A$20:$B$181,2,0)),CONCATENATE("_",B253))))</f>
        <v>UQ_A008_067450_O</v>
      </c>
      <c r="F253" s="2" t="s">
        <v>25</v>
      </c>
      <c r="G253" s="167">
        <f t="shared" si="49"/>
        <v>3197</v>
      </c>
      <c r="H253">
        <f t="shared" si="50"/>
        <v>136</v>
      </c>
      <c r="I253" s="2">
        <f t="shared" si="42"/>
        <v>3</v>
      </c>
      <c r="J253" s="2">
        <f t="shared" si="43"/>
        <v>12</v>
      </c>
      <c r="K253" s="2">
        <v>206</v>
      </c>
      <c r="L253" s="2">
        <f t="shared" si="44"/>
        <v>2</v>
      </c>
      <c r="M253" s="2">
        <f t="shared" si="45"/>
        <v>1</v>
      </c>
      <c r="N253" s="2">
        <f t="shared" si="46"/>
        <v>3</v>
      </c>
      <c r="P253" s="168">
        <f t="shared" si="47"/>
        <v>48</v>
      </c>
      <c r="AI253" s="21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9">
        <v>3</v>
      </c>
      <c r="AU253" s="14">
        <v>12</v>
      </c>
      <c r="AV253" s="14" t="s">
        <v>79</v>
      </c>
      <c r="AW253" s="13"/>
      <c r="AX253" s="13"/>
      <c r="AY253" s="19">
        <v>1</v>
      </c>
      <c r="AZ253" s="14">
        <v>3</v>
      </c>
      <c r="BA253" s="14">
        <v>3</v>
      </c>
      <c r="BB253" s="13" t="s">
        <v>25</v>
      </c>
      <c r="BC253" s="25"/>
      <c r="BD253" s="25"/>
    </row>
    <row r="254" spans="1:58" ht="14.25" x14ac:dyDescent="0.2">
      <c r="A254" t="str">
        <f t="shared" si="48"/>
        <v>A8</v>
      </c>
      <c r="B254" s="2" t="s">
        <v>658</v>
      </c>
      <c r="C254">
        <f t="shared" si="40"/>
        <v>67.45</v>
      </c>
      <c r="D254" t="str">
        <f t="shared" si="41"/>
        <v>UFD</v>
      </c>
      <c r="E254" s="169" t="str">
        <f>IF(OR(A254="",B254="",C254=""),"eine der Spalten BAB, FR, km leer?",CONCATENATE(VLOOKUP(VALUE(I254),[1]Grundlage!$A$1:$B$14,2,0),IF(LEFT(A254,1)="A",IF(VALUE(MID(A254,2,10))&lt;10,"A00"&amp;VALUE(MID(A254,2,10)),IF(VALUE(MID(A254,2,10))&lt;100,"A0"&amp;VALUE(MID(A254,2,10)),IF(VALUE(MID(A254,2,10))&lt;1000,"A"&amp;VALUE(MID(A254,2,10))))),IF(LEFT(A254,1)="B",IF(VALUE(MID(A254,2,10))&lt;10,"B00"&amp;VALUE(MID(A254,2,10)),IF(VALUE(MID(A254,2,10))&lt;100,"B0"&amp;VALUE(MID(A254,2,10)),IF(VALUE(MID(A254,2,10))&lt;1000,"B"&amp;VALUE(MID(A254,2,10))))),A254)),"_",IF(NOT(OR(C254=1000,C254&gt;1000)),MID(TEXT((C254+1000)*1000,0),2,6),"keine Meter in Spalte km!!!"),IF(VALUE(I254)=1,CONCATENATE("_",VLOOKUP(IF(V254&gt;0,V254,J254),[1]Grundlage!$A$20:$B$181,2,0)),CONCATENATE("_",B254))))</f>
        <v>UQ_A008_067450_O</v>
      </c>
      <c r="F254" s="2" t="s">
        <v>26</v>
      </c>
      <c r="G254" s="167">
        <f t="shared" si="49"/>
        <v>3197</v>
      </c>
      <c r="H254">
        <f t="shared" si="50"/>
        <v>136</v>
      </c>
      <c r="I254" s="2">
        <f t="shared" si="42"/>
        <v>3</v>
      </c>
      <c r="J254" s="2">
        <f t="shared" si="43"/>
        <v>13</v>
      </c>
      <c r="K254" s="2">
        <v>206</v>
      </c>
      <c r="L254" s="2">
        <f t="shared" si="44"/>
        <v>2</v>
      </c>
      <c r="M254" s="2">
        <f t="shared" si="45"/>
        <v>1</v>
      </c>
      <c r="N254" s="2">
        <f t="shared" si="46"/>
        <v>4</v>
      </c>
      <c r="P254" s="168">
        <f t="shared" si="47"/>
        <v>55</v>
      </c>
      <c r="AI254" s="21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9">
        <v>3</v>
      </c>
      <c r="AU254" s="14">
        <v>13</v>
      </c>
      <c r="AV254" s="14" t="s">
        <v>80</v>
      </c>
      <c r="AW254" s="13"/>
      <c r="AX254" s="13"/>
      <c r="AY254" s="19">
        <v>1</v>
      </c>
      <c r="AZ254" s="14">
        <v>4</v>
      </c>
      <c r="BA254" s="14">
        <v>4</v>
      </c>
      <c r="BB254" s="13" t="s">
        <v>26</v>
      </c>
      <c r="BC254" s="25"/>
      <c r="BD254" s="25"/>
    </row>
    <row r="255" spans="1:58" ht="14.25" x14ac:dyDescent="0.2">
      <c r="A255" t="str">
        <f t="shared" si="48"/>
        <v>A8</v>
      </c>
      <c r="B255" s="2" t="s">
        <v>658</v>
      </c>
      <c r="C255">
        <f t="shared" si="40"/>
        <v>67.45</v>
      </c>
      <c r="D255" t="str">
        <f t="shared" si="41"/>
        <v>UFD</v>
      </c>
      <c r="E255" s="169" t="str">
        <f>IF(OR(A255="",B255="",C255=""),"eine der Spalten BAB, FR, km leer?",CONCATENATE(VLOOKUP(VALUE(I255),[1]Grundlage!$A$1:$B$14,2,0),IF(LEFT(A255,1)="A",IF(VALUE(MID(A255,2,10))&lt;10,"A00"&amp;VALUE(MID(A255,2,10)),IF(VALUE(MID(A255,2,10))&lt;100,"A0"&amp;VALUE(MID(A255,2,10)),IF(VALUE(MID(A255,2,10))&lt;1000,"A"&amp;VALUE(MID(A255,2,10))))),IF(LEFT(A255,1)="B",IF(VALUE(MID(A255,2,10))&lt;10,"B00"&amp;VALUE(MID(A255,2,10)),IF(VALUE(MID(A255,2,10))&lt;100,"B0"&amp;VALUE(MID(A255,2,10)),IF(VALUE(MID(A255,2,10))&lt;1000,"B"&amp;VALUE(MID(A255,2,10))))),A255)),"_",IF(NOT(OR(C255=1000,C255&gt;1000)),MID(TEXT((C255+1000)*1000,0),2,6),"keine Meter in Spalte km!!!"),IF(VALUE(I255)=1,CONCATENATE("_",VLOOKUP(IF(V255&gt;0,V255,J255),[1]Grundlage!$A$20:$B$181,2,0)),CONCATENATE("_",B255))))</f>
        <v>UQ_A008_067450_O</v>
      </c>
      <c r="F255" s="2" t="s">
        <v>27</v>
      </c>
      <c r="G255" s="167">
        <f t="shared" si="49"/>
        <v>3197</v>
      </c>
      <c r="H255">
        <f t="shared" si="50"/>
        <v>136</v>
      </c>
      <c r="I255" s="2">
        <f t="shared" si="42"/>
        <v>3</v>
      </c>
      <c r="J255" s="2">
        <f t="shared" si="43"/>
        <v>14</v>
      </c>
      <c r="K255" s="2">
        <v>206</v>
      </c>
      <c r="L255" s="2">
        <f t="shared" si="44"/>
        <v>2</v>
      </c>
      <c r="M255" s="2">
        <f t="shared" si="45"/>
        <v>1</v>
      </c>
      <c r="N255" s="2">
        <f t="shared" si="46"/>
        <v>5</v>
      </c>
      <c r="P255" s="168">
        <f t="shared" si="47"/>
        <v>66</v>
      </c>
      <c r="AI255" s="21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9">
        <v>3</v>
      </c>
      <c r="AU255" s="14">
        <v>14</v>
      </c>
      <c r="AV255" s="14" t="s">
        <v>81</v>
      </c>
      <c r="AW255" s="13"/>
      <c r="AX255" s="13"/>
      <c r="AY255" s="19">
        <v>1</v>
      </c>
      <c r="AZ255" s="14">
        <v>5</v>
      </c>
      <c r="BA255" s="14">
        <v>5</v>
      </c>
      <c r="BB255" s="13" t="s">
        <v>27</v>
      </c>
      <c r="BC255" s="25"/>
      <c r="BD255" s="25"/>
    </row>
    <row r="256" spans="1:58" ht="14.25" x14ac:dyDescent="0.2">
      <c r="A256" t="str">
        <f t="shared" si="48"/>
        <v>A8</v>
      </c>
      <c r="B256" s="2" t="s">
        <v>658</v>
      </c>
      <c r="C256">
        <f t="shared" si="40"/>
        <v>67.45</v>
      </c>
      <c r="D256" t="str">
        <f t="shared" si="41"/>
        <v>UFD</v>
      </c>
      <c r="E256" s="169" t="str">
        <f>IF(OR(A256="",B256="",C256=""),"eine der Spalten BAB, FR, km leer?",CONCATENATE(VLOOKUP(VALUE(I256),[1]Grundlage!$A$1:$B$14,2,0),IF(LEFT(A256,1)="A",IF(VALUE(MID(A256,2,10))&lt;10,"A00"&amp;VALUE(MID(A256,2,10)),IF(VALUE(MID(A256,2,10))&lt;100,"A0"&amp;VALUE(MID(A256,2,10)),IF(VALUE(MID(A256,2,10))&lt;1000,"A"&amp;VALUE(MID(A256,2,10))))),IF(LEFT(A256,1)="B",IF(VALUE(MID(A256,2,10))&lt;10,"B00"&amp;VALUE(MID(A256,2,10)),IF(VALUE(MID(A256,2,10))&lt;100,"B0"&amp;VALUE(MID(A256,2,10)),IF(VALUE(MID(A256,2,10))&lt;1000,"B"&amp;VALUE(MID(A256,2,10))))),A256)),"_",IF(NOT(OR(C256=1000,C256&gt;1000)),MID(TEXT((C256+1000)*1000,0),2,6),"keine Meter in Spalte km!!!"),IF(VALUE(I256)=1,CONCATENATE("_",VLOOKUP(IF(V256&gt;0,V256,J256),[1]Grundlage!$A$20:$B$181,2,0)),CONCATENATE("_",B256))))</f>
        <v>UQ_A008_067450_O</v>
      </c>
      <c r="F256" s="2" t="s">
        <v>28</v>
      </c>
      <c r="G256" s="167">
        <f t="shared" si="49"/>
        <v>3197</v>
      </c>
      <c r="H256">
        <f t="shared" si="50"/>
        <v>136</v>
      </c>
      <c r="I256" s="2">
        <f t="shared" si="42"/>
        <v>3</v>
      </c>
      <c r="J256" s="2">
        <f t="shared" si="43"/>
        <v>15</v>
      </c>
      <c r="K256" s="2">
        <v>206</v>
      </c>
      <c r="L256" s="2">
        <f t="shared" si="44"/>
        <v>2</v>
      </c>
      <c r="M256" s="2">
        <f t="shared" si="45"/>
        <v>1</v>
      </c>
      <c r="N256" s="2">
        <f t="shared" si="46"/>
        <v>6</v>
      </c>
      <c r="P256" s="168">
        <f t="shared" si="47"/>
        <v>65</v>
      </c>
      <c r="AI256" s="21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9">
        <v>3</v>
      </c>
      <c r="AU256" s="14">
        <v>15</v>
      </c>
      <c r="AV256" s="14" t="s">
        <v>82</v>
      </c>
      <c r="AW256" s="13"/>
      <c r="AX256" s="13"/>
      <c r="AY256" s="19">
        <v>1</v>
      </c>
      <c r="AZ256" s="14">
        <v>6</v>
      </c>
      <c r="BA256" s="14">
        <v>6</v>
      </c>
      <c r="BB256" s="13" t="s">
        <v>28</v>
      </c>
      <c r="BC256" s="25"/>
      <c r="BD256" s="25"/>
    </row>
    <row r="257" spans="1:57" ht="14.25" x14ac:dyDescent="0.2">
      <c r="A257" t="str">
        <f t="shared" si="48"/>
        <v>A8</v>
      </c>
      <c r="B257" s="2" t="s">
        <v>658</v>
      </c>
      <c r="C257">
        <f t="shared" si="40"/>
        <v>67.45</v>
      </c>
      <c r="D257" t="str">
        <f t="shared" si="41"/>
        <v>UFD</v>
      </c>
      <c r="E257" s="169" t="str">
        <f>IF(OR(A257="",B257="",C257=""),"eine der Spalten BAB, FR, km leer?",CONCATENATE(VLOOKUP(VALUE(I257),[1]Grundlage!$A$1:$B$14,2,0),IF(LEFT(A257,1)="A",IF(VALUE(MID(A257,2,10))&lt;10,"A00"&amp;VALUE(MID(A257,2,10)),IF(VALUE(MID(A257,2,10))&lt;100,"A0"&amp;VALUE(MID(A257,2,10)),IF(VALUE(MID(A257,2,10))&lt;1000,"A"&amp;VALUE(MID(A257,2,10))))),IF(LEFT(A257,1)="B",IF(VALUE(MID(A257,2,10))&lt;10,"B00"&amp;VALUE(MID(A257,2,10)),IF(VALUE(MID(A257,2,10))&lt;100,"B0"&amp;VALUE(MID(A257,2,10)),IF(VALUE(MID(A257,2,10))&lt;1000,"B"&amp;VALUE(MID(A257,2,10))))),A257)),"_",IF(NOT(OR(C257=1000,C257&gt;1000)),MID(TEXT((C257+1000)*1000,0),2,6),"keine Meter in Spalte km!!!"),IF(VALUE(I257)=1,CONCATENATE("_",VLOOKUP(IF(V257&gt;0,V257,J257),[1]Grundlage!$A$20:$B$181,2,0)),CONCATENATE("_",B257))))</f>
        <v>UQ_A008_067450_O</v>
      </c>
      <c r="F257" s="2" t="s">
        <v>29</v>
      </c>
      <c r="G257" s="167">
        <f t="shared" si="49"/>
        <v>3197</v>
      </c>
      <c r="H257">
        <f t="shared" si="50"/>
        <v>136</v>
      </c>
      <c r="I257" s="2">
        <f t="shared" si="42"/>
        <v>3</v>
      </c>
      <c r="J257" s="2">
        <f t="shared" si="43"/>
        <v>19</v>
      </c>
      <c r="K257" s="2">
        <v>206</v>
      </c>
      <c r="L257" s="2">
        <f t="shared" si="44"/>
        <v>2</v>
      </c>
      <c r="M257" s="2">
        <f t="shared" si="45"/>
        <v>1</v>
      </c>
      <c r="N257" s="2">
        <f t="shared" si="46"/>
        <v>7</v>
      </c>
      <c r="P257" s="168">
        <f t="shared" si="47"/>
        <v>49</v>
      </c>
      <c r="AI257" s="21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9">
        <v>3</v>
      </c>
      <c r="AU257" s="14">
        <v>19</v>
      </c>
      <c r="AV257" s="14">
        <v>13</v>
      </c>
      <c r="AW257" s="13"/>
      <c r="AX257" s="13"/>
      <c r="AY257" s="19">
        <v>1</v>
      </c>
      <c r="AZ257" s="14">
        <v>7</v>
      </c>
      <c r="BA257" s="14">
        <v>7</v>
      </c>
      <c r="BB257" s="13" t="s">
        <v>29</v>
      </c>
      <c r="BC257" s="25"/>
      <c r="BD257" s="25"/>
    </row>
    <row r="258" spans="1:57" ht="14.25" x14ac:dyDescent="0.2">
      <c r="A258" t="str">
        <f t="shared" si="48"/>
        <v>A8</v>
      </c>
      <c r="B258" s="2" t="s">
        <v>658</v>
      </c>
      <c r="C258">
        <f t="shared" si="40"/>
        <v>67.45</v>
      </c>
      <c r="D258" t="str">
        <f t="shared" si="41"/>
        <v>UFD</v>
      </c>
      <c r="E258" s="169" t="str">
        <f>IF(OR(A258="",B258="",C258=""),"eine der Spalten BAB, FR, km leer?",CONCATENATE(VLOOKUP(VALUE(I258),[1]Grundlage!$A$1:$B$14,2,0),IF(LEFT(A258,1)="A",IF(VALUE(MID(A258,2,10))&lt;10,"A00"&amp;VALUE(MID(A258,2,10)),IF(VALUE(MID(A258,2,10))&lt;100,"A0"&amp;VALUE(MID(A258,2,10)),IF(VALUE(MID(A258,2,10))&lt;1000,"A"&amp;VALUE(MID(A258,2,10))))),IF(LEFT(A258,1)="B",IF(VALUE(MID(A258,2,10))&lt;10,"B00"&amp;VALUE(MID(A258,2,10)),IF(VALUE(MID(A258,2,10))&lt;100,"B0"&amp;VALUE(MID(A258,2,10)),IF(VALUE(MID(A258,2,10))&lt;1000,"B"&amp;VALUE(MID(A258,2,10))))),A258)),"_",IF(NOT(OR(C258=1000,C258&gt;1000)),MID(TEXT((C258+1000)*1000,0),2,6),"keine Meter in Spalte km!!!"),IF(VALUE(I258)=1,CONCATENATE("_",VLOOKUP(IF(V258&gt;0,V258,J258),[1]Grundlage!$A$20:$B$181,2,0)),CONCATENATE("_",B258))))</f>
        <v>UQ_A008_067450_O</v>
      </c>
      <c r="F258" s="2" t="s">
        <v>30</v>
      </c>
      <c r="G258" s="167">
        <f t="shared" si="49"/>
        <v>3197</v>
      </c>
      <c r="H258">
        <f t="shared" si="50"/>
        <v>136</v>
      </c>
      <c r="I258" s="2">
        <f t="shared" si="42"/>
        <v>3</v>
      </c>
      <c r="J258" s="2">
        <f t="shared" si="43"/>
        <v>21</v>
      </c>
      <c r="K258" s="2">
        <v>206</v>
      </c>
      <c r="L258" s="2">
        <f t="shared" si="44"/>
        <v>2</v>
      </c>
      <c r="M258" s="2">
        <f t="shared" si="45"/>
        <v>1</v>
      </c>
      <c r="N258" s="2">
        <f t="shared" si="46"/>
        <v>8</v>
      </c>
      <c r="P258" s="168">
        <f t="shared" si="47"/>
        <v>67</v>
      </c>
      <c r="AI258" s="21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9">
        <v>3</v>
      </c>
      <c r="AU258" s="14">
        <v>21</v>
      </c>
      <c r="AV258" s="14">
        <v>15</v>
      </c>
      <c r="AW258" s="13"/>
      <c r="AX258" s="13"/>
      <c r="AY258" s="19">
        <v>1</v>
      </c>
      <c r="AZ258" s="14">
        <v>8</v>
      </c>
      <c r="BA258" s="14">
        <v>8</v>
      </c>
      <c r="BB258" s="13" t="s">
        <v>30</v>
      </c>
      <c r="BC258" s="25"/>
      <c r="BD258" s="25"/>
    </row>
    <row r="259" spans="1:57" ht="14.25" x14ac:dyDescent="0.2">
      <c r="A259" t="str">
        <f t="shared" si="48"/>
        <v>A8</v>
      </c>
      <c r="B259" s="2" t="s">
        <v>658</v>
      </c>
      <c r="C259">
        <f t="shared" si="40"/>
        <v>67.45</v>
      </c>
      <c r="D259" t="str">
        <f t="shared" si="41"/>
        <v>UFD</v>
      </c>
      <c r="E259" s="169" t="str">
        <f>IF(OR(A259="",B259="",C259=""),"eine der Spalten BAB, FR, km leer?",CONCATENATE(VLOOKUP(VALUE(I259),[1]Grundlage!$A$1:$B$14,2,0),IF(LEFT(A259,1)="A",IF(VALUE(MID(A259,2,10))&lt;10,"A00"&amp;VALUE(MID(A259,2,10)),IF(VALUE(MID(A259,2,10))&lt;100,"A0"&amp;VALUE(MID(A259,2,10)),IF(VALUE(MID(A259,2,10))&lt;1000,"A"&amp;VALUE(MID(A259,2,10))))),IF(LEFT(A259,1)="B",IF(VALUE(MID(A259,2,10))&lt;10,"B00"&amp;VALUE(MID(A259,2,10)),IF(VALUE(MID(A259,2,10))&lt;100,"B0"&amp;VALUE(MID(A259,2,10)),IF(VALUE(MID(A259,2,10))&lt;1000,"B"&amp;VALUE(MID(A259,2,10))))),A259)),"_",IF(NOT(OR(C259=1000,C259&gt;1000)),MID(TEXT((C259+1000)*1000,0),2,6),"keine Meter in Spalte km!!!"),IF(VALUE(I259)=1,CONCATENATE("_",VLOOKUP(IF(V259&gt;0,V259,J259),[1]Grundlage!$A$20:$B$181,2,0)),CONCATENATE("_",B259))))</f>
        <v>UQ_A008_067450_O</v>
      </c>
      <c r="F259" s="2" t="s">
        <v>41</v>
      </c>
      <c r="G259" s="167">
        <f t="shared" si="49"/>
        <v>3197</v>
      </c>
      <c r="H259">
        <f t="shared" si="50"/>
        <v>136</v>
      </c>
      <c r="I259" s="2">
        <f t="shared" si="42"/>
        <v>3</v>
      </c>
      <c r="J259" s="2">
        <f t="shared" si="43"/>
        <v>24</v>
      </c>
      <c r="K259" s="2">
        <v>206</v>
      </c>
      <c r="L259" s="2">
        <f t="shared" si="44"/>
        <v>2</v>
      </c>
      <c r="M259" s="2">
        <f t="shared" si="45"/>
        <v>1</v>
      </c>
      <c r="N259" s="2">
        <f t="shared" si="46"/>
        <v>9</v>
      </c>
      <c r="P259" s="168">
        <f t="shared" si="47"/>
        <v>69</v>
      </c>
      <c r="AI259" s="21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9">
        <v>3</v>
      </c>
      <c r="AU259" s="14">
        <v>24</v>
      </c>
      <c r="AV259" s="14">
        <v>18</v>
      </c>
      <c r="AW259" s="13"/>
      <c r="AX259" s="13"/>
      <c r="AY259" s="19">
        <v>1</v>
      </c>
      <c r="AZ259" s="14">
        <v>9</v>
      </c>
      <c r="BA259" s="14">
        <v>9</v>
      </c>
      <c r="BB259" s="13" t="s">
        <v>41</v>
      </c>
      <c r="BC259" s="25"/>
      <c r="BD259" s="25"/>
    </row>
    <row r="260" spans="1:57" ht="14.25" x14ac:dyDescent="0.2">
      <c r="A260" t="str">
        <f t="shared" si="48"/>
        <v>A8</v>
      </c>
      <c r="B260" s="2" t="s">
        <v>658</v>
      </c>
      <c r="C260">
        <f t="shared" si="40"/>
        <v>67.45</v>
      </c>
      <c r="D260" t="str">
        <f t="shared" si="41"/>
        <v>UFD</v>
      </c>
      <c r="E260" s="169" t="str">
        <f>IF(OR(A260="",B260="",C260=""),"eine der Spalten BAB, FR, km leer?",CONCATENATE(VLOOKUP(VALUE(I260),[1]Grundlage!$A$1:$B$14,2,0),IF(LEFT(A260,1)="A",IF(VALUE(MID(A260,2,10))&lt;10,"A00"&amp;VALUE(MID(A260,2,10)),IF(VALUE(MID(A260,2,10))&lt;100,"A0"&amp;VALUE(MID(A260,2,10)),IF(VALUE(MID(A260,2,10))&lt;1000,"A"&amp;VALUE(MID(A260,2,10))))),IF(LEFT(A260,1)="B",IF(VALUE(MID(A260,2,10))&lt;10,"B00"&amp;VALUE(MID(A260,2,10)),IF(VALUE(MID(A260,2,10))&lt;100,"B0"&amp;VALUE(MID(A260,2,10)),IF(VALUE(MID(A260,2,10))&lt;1000,"B"&amp;VALUE(MID(A260,2,10))))),A260)),"_",IF(NOT(OR(C260=1000,C260&gt;1000)),MID(TEXT((C260+1000)*1000,0),2,6),"keine Meter in Spalte km!!!"),IF(VALUE(I260)=1,CONCATENATE("_",VLOOKUP(IF(V260&gt;0,V260,J260),[1]Grundlage!$A$20:$B$181,2,0)),CONCATENATE("_",B260))))</f>
        <v>UQ_A008_067450_O</v>
      </c>
      <c r="F260" s="2" t="s">
        <v>271</v>
      </c>
      <c r="G260" s="167">
        <f t="shared" si="49"/>
        <v>3197</v>
      </c>
      <c r="H260">
        <f t="shared" si="50"/>
        <v>136</v>
      </c>
      <c r="I260" s="2">
        <f t="shared" si="42"/>
        <v>3</v>
      </c>
      <c r="J260" s="2">
        <f t="shared" si="43"/>
        <v>67</v>
      </c>
      <c r="K260" s="2">
        <v>206</v>
      </c>
      <c r="L260" s="2">
        <f t="shared" si="44"/>
        <v>2</v>
      </c>
      <c r="M260" s="2">
        <f t="shared" si="45"/>
        <v>1</v>
      </c>
      <c r="N260" s="2">
        <f t="shared" si="46"/>
        <v>10</v>
      </c>
      <c r="P260" s="168">
        <f t="shared" si="47"/>
        <v>53</v>
      </c>
      <c r="AI260" s="21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9">
        <v>3</v>
      </c>
      <c r="AU260" s="14">
        <v>67</v>
      </c>
      <c r="AV260" s="14">
        <v>43</v>
      </c>
      <c r="AW260" s="13"/>
      <c r="AX260" s="13"/>
      <c r="AY260" s="19">
        <v>1</v>
      </c>
      <c r="AZ260" s="14">
        <v>10</v>
      </c>
      <c r="BA260" s="14" t="s">
        <v>95</v>
      </c>
      <c r="BB260" s="13" t="s">
        <v>271</v>
      </c>
      <c r="BC260" s="25"/>
      <c r="BD260" s="25"/>
    </row>
    <row r="261" spans="1:57" ht="14.25" x14ac:dyDescent="0.2">
      <c r="A261" t="str">
        <f t="shared" si="48"/>
        <v>A8</v>
      </c>
      <c r="B261" s="2" t="s">
        <v>658</v>
      </c>
      <c r="C261">
        <f t="shared" si="40"/>
        <v>67.45</v>
      </c>
      <c r="D261" t="str">
        <f t="shared" si="41"/>
        <v>UFD</v>
      </c>
      <c r="E261" s="169" t="str">
        <f>IF(OR(A261="",B261="",C261=""),"eine der Spalten BAB, FR, km leer?",CONCATENATE(VLOOKUP(VALUE(I261),[1]Grundlage!$A$1:$B$14,2,0),IF(LEFT(A261,1)="A",IF(VALUE(MID(A261,2,10))&lt;10,"A00"&amp;VALUE(MID(A261,2,10)),IF(VALUE(MID(A261,2,10))&lt;100,"A0"&amp;VALUE(MID(A261,2,10)),IF(VALUE(MID(A261,2,10))&lt;1000,"A"&amp;VALUE(MID(A261,2,10))))),IF(LEFT(A261,1)="B",IF(VALUE(MID(A261,2,10))&lt;10,"B00"&amp;VALUE(MID(A261,2,10)),IF(VALUE(MID(A261,2,10))&lt;100,"B0"&amp;VALUE(MID(A261,2,10)),IF(VALUE(MID(A261,2,10))&lt;1000,"B"&amp;VALUE(MID(A261,2,10))))),A261)),"_",IF(NOT(OR(C261=1000,C261&gt;1000)),MID(TEXT((C261+1000)*1000,0),2,6),"keine Meter in Spalte km!!!"),IF(VALUE(I261)=1,CONCATENATE("_",VLOOKUP(IF(V261&gt;0,V261,J261),[1]Grundlage!$A$20:$B$181,2,0)),CONCATENATE("_",B261))))</f>
        <v>UQ_A008_067450_O</v>
      </c>
      <c r="F261" s="2" t="s">
        <v>397</v>
      </c>
      <c r="G261" s="167">
        <f t="shared" si="49"/>
        <v>3197</v>
      </c>
      <c r="H261">
        <f t="shared" si="50"/>
        <v>136</v>
      </c>
      <c r="I261" s="2">
        <f t="shared" si="42"/>
        <v>3</v>
      </c>
      <c r="J261" s="2">
        <f t="shared" si="43"/>
        <v>82</v>
      </c>
      <c r="K261" s="2">
        <v>206</v>
      </c>
      <c r="L261" s="2">
        <f t="shared" si="44"/>
        <v>2</v>
      </c>
      <c r="M261" s="2">
        <f t="shared" si="45"/>
        <v>1</v>
      </c>
      <c r="N261" s="2">
        <f t="shared" si="46"/>
        <v>11</v>
      </c>
      <c r="P261" s="168">
        <f t="shared" si="47"/>
        <v>72</v>
      </c>
      <c r="AI261" s="21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9">
        <v>3</v>
      </c>
      <c r="AU261" s="14">
        <v>82</v>
      </c>
      <c r="AV261" s="14">
        <v>52</v>
      </c>
      <c r="AW261" s="13"/>
      <c r="AX261" s="13"/>
      <c r="AY261" s="19">
        <v>1</v>
      </c>
      <c r="AZ261" s="14">
        <v>11</v>
      </c>
      <c r="BA261" s="13" t="s">
        <v>78</v>
      </c>
      <c r="BB261" s="13" t="s">
        <v>397</v>
      </c>
      <c r="BC261" s="25"/>
      <c r="BD261" s="25"/>
    </row>
    <row r="262" spans="1:57" ht="14.25" x14ac:dyDescent="0.2">
      <c r="A262" t="str">
        <f t="shared" si="48"/>
        <v>A8</v>
      </c>
      <c r="C262">
        <f t="shared" si="40"/>
        <v>67.45</v>
      </c>
      <c r="D262" t="str">
        <f t="shared" si="41"/>
        <v/>
      </c>
      <c r="E262" s="169" t="str">
        <f>IF(OR(A262="",B262="",C262=""),"",CONCATENATE(VLOOKUP(VALUE(I262),[1]Grundlage!$A$1:$B$14,2,0),IF(LEFT(A262,1)="A",IF(VALUE(MID(A262,2,10))&lt;10,"A00"&amp;VALUE(MID(A262,2,10)),IF(VALUE(MID(A262,2,10))&lt;100,"A0"&amp;VALUE(MID(A262,2,10)),IF(VALUE(MID(A262,2,10))&lt;1000,"A"&amp;VALUE(MID(A262,2,10))))),IF(LEFT(A262,1)="B",IF(VALUE(MID(A262,2,10))&lt;10,"B00"&amp;VALUE(MID(A262,2,10)),IF(VALUE(MID(A262,2,10))&lt;100,"B0"&amp;VALUE(MID(A262,2,10)),IF(VALUE(MID(A262,2,10))&lt;1000,"B"&amp;VALUE(MID(A262,2,10))))),A262)),"_",IF(NOT(OR(C262=1000,C262&gt;1000)),MID(TEXT((C262+1000)*1000,0),2,6),"keine Meter in Spalte km!!!"),IF(VALUE(I262)=1,CONCATENATE("_",VLOOKUP(IF(V262&gt;0,V262,J262),[1]Grundlage!$A$20:$B$181,2,0)),CONCATENATE("_",B262))))</f>
        <v/>
      </c>
      <c r="F262" s="2" t="s">
        <v>669</v>
      </c>
      <c r="G262" s="167">
        <f t="shared" si="49"/>
        <v>3197</v>
      </c>
      <c r="H262">
        <f t="shared" si="50"/>
        <v>136</v>
      </c>
      <c r="I262" s="2">
        <f t="shared" si="42"/>
        <v>0</v>
      </c>
      <c r="J262" s="2">
        <f t="shared" si="43"/>
        <v>0</v>
      </c>
      <c r="K262" s="2">
        <v>206</v>
      </c>
      <c r="L262" s="2">
        <f t="shared" si="44"/>
        <v>2</v>
      </c>
      <c r="M262" s="2" t="str">
        <f t="shared" si="45"/>
        <v/>
      </c>
      <c r="N262" s="2" t="str">
        <f t="shared" si="46"/>
        <v/>
      </c>
      <c r="P262" s="168" t="str">
        <f t="shared" si="47"/>
        <v/>
      </c>
      <c r="BB262" s="13"/>
    </row>
    <row r="263" spans="1:57" ht="14.25" x14ac:dyDescent="0.2">
      <c r="A263" t="s">
        <v>168</v>
      </c>
      <c r="B263" s="13" t="s">
        <v>658</v>
      </c>
      <c r="C263">
        <f t="shared" si="40"/>
        <v>105.10599999999999</v>
      </c>
      <c r="D263" t="str">
        <f t="shared" si="41"/>
        <v>SS</v>
      </c>
      <c r="E263" s="169" t="str">
        <f>IF(OR(A263="",B263="",C263=""),"eine der Spalten BAB, FR, km leer?",CONCATENATE(VLOOKUP(VALUE(I263),[1]Grundlage!$A$1:$B$14,2,0),IF(LEFT(A263,1)="A",IF(VALUE(MID(A263,2,10))&lt;10,"A00"&amp;VALUE(MID(A263,2,10)),IF(VALUE(MID(A263,2,10))&lt;100,"A0"&amp;VALUE(MID(A263,2,10)),IF(VALUE(MID(A263,2,10))&lt;1000,"A"&amp;VALUE(MID(A263,2,10))))),IF(LEFT(A263,1)="B",IF(VALUE(MID(A263,2,10))&lt;10,"B00"&amp;VALUE(MID(A263,2,10)),IF(VALUE(MID(A263,2,10))&lt;100,"B0"&amp;VALUE(MID(A263,2,10)),IF(VALUE(MID(A263,2,10))&lt;1000,"B"&amp;VALUE(MID(A263,2,10))))),A263)),"_",IF(NOT(OR(C263=1000,C263&gt;1000)),MID(TEXT((C263+1000)*1000,0),2,6),"keine Meter in Spalte km!!!"),IF(VALUE(I263)=1,CONCATENATE("_",VLOOKUP(IF(V263&gt;0,V263,J263),[1]Grundlage!$A$20:$B$181,2,0)),CONCATENATE("_",B263))))</f>
        <v>SSt_A008_105106_O</v>
      </c>
      <c r="F263" s="2" t="s">
        <v>49</v>
      </c>
      <c r="G263" s="167">
        <f t="shared" si="49"/>
        <v>3198</v>
      </c>
      <c r="H263">
        <f t="shared" si="50"/>
        <v>197</v>
      </c>
      <c r="I263" s="2">
        <f t="shared" si="42"/>
        <v>254</v>
      </c>
      <c r="J263" s="2">
        <f t="shared" si="43"/>
        <v>0</v>
      </c>
      <c r="K263" s="2">
        <v>206</v>
      </c>
      <c r="L263" s="2">
        <f t="shared" si="44"/>
        <v>3</v>
      </c>
      <c r="M263" s="2" t="str">
        <f t="shared" si="45"/>
        <v/>
      </c>
      <c r="N263" s="2" t="str">
        <f t="shared" si="46"/>
        <v/>
      </c>
      <c r="P263" s="168" t="str">
        <f t="shared" si="47"/>
        <v/>
      </c>
      <c r="AI263" s="35">
        <v>105.10599999999999</v>
      </c>
      <c r="AJ263" s="36" t="s">
        <v>19</v>
      </c>
      <c r="AK263" s="36" t="s">
        <v>46</v>
      </c>
      <c r="AL263" s="36"/>
      <c r="AM263" s="36"/>
      <c r="AN263" s="36"/>
      <c r="AO263" s="36"/>
      <c r="AP263" s="42">
        <v>818885</v>
      </c>
      <c r="AQ263" s="42" t="s">
        <v>79</v>
      </c>
      <c r="AR263" s="42" t="s">
        <v>229</v>
      </c>
      <c r="AS263" s="42" t="s">
        <v>228</v>
      </c>
      <c r="AT263" s="36"/>
      <c r="AU263" s="36"/>
      <c r="AV263" s="36"/>
      <c r="AW263" s="36"/>
      <c r="AX263" s="36">
        <v>3</v>
      </c>
      <c r="AY263" s="36"/>
      <c r="AZ263" s="36"/>
      <c r="BA263" s="36"/>
      <c r="BB263" s="37" t="s">
        <v>49</v>
      </c>
      <c r="BC263" s="38" t="s">
        <v>144</v>
      </c>
      <c r="BD263" s="38" t="s">
        <v>144</v>
      </c>
      <c r="BE263" s="39" t="s">
        <v>45</v>
      </c>
    </row>
    <row r="264" spans="1:57" ht="14.25" x14ac:dyDescent="0.2">
      <c r="A264" t="str">
        <f t="shared" si="48"/>
        <v>A8</v>
      </c>
      <c r="B264" s="13" t="s">
        <v>658</v>
      </c>
      <c r="C264">
        <f t="shared" si="40"/>
        <v>105.10599999999999</v>
      </c>
      <c r="D264" t="str">
        <f t="shared" si="41"/>
        <v>UFD</v>
      </c>
      <c r="E264" s="169" t="str">
        <f>IF(OR(A264="",B264="",C264=""),"eine der Spalten BAB, FR, km leer?",CONCATENATE(VLOOKUP(VALUE(I264),[1]Grundlage!$A$1:$B$14,2,0),IF(LEFT(A264,1)="A",IF(VALUE(MID(A264,2,10))&lt;10,"A00"&amp;VALUE(MID(A264,2,10)),IF(VALUE(MID(A264,2,10))&lt;100,"A0"&amp;VALUE(MID(A264,2,10)),IF(VALUE(MID(A264,2,10))&lt;1000,"A"&amp;VALUE(MID(A264,2,10))))),IF(LEFT(A264,1)="B",IF(VALUE(MID(A264,2,10))&lt;10,"B00"&amp;VALUE(MID(A264,2,10)),IF(VALUE(MID(A264,2,10))&lt;100,"B0"&amp;VALUE(MID(A264,2,10)),IF(VALUE(MID(A264,2,10))&lt;1000,"B"&amp;VALUE(MID(A264,2,10))))),A264)),"_",IF(NOT(OR(C264=1000,C264&gt;1000)),MID(TEXT((C264+1000)*1000,0),2,6),"keine Meter in Spalte km!!!"),IF(VALUE(I264)=1,CONCATENATE("_",VLOOKUP(IF(V264&gt;0,V264,J264),[1]Grundlage!$A$20:$B$181,2,0)),CONCATENATE("_",B264))))</f>
        <v>UQ_A008_105106_O</v>
      </c>
      <c r="F264" s="2" t="s">
        <v>23</v>
      </c>
      <c r="G264" s="167">
        <f t="shared" si="49"/>
        <v>3198</v>
      </c>
      <c r="H264">
        <f t="shared" si="50"/>
        <v>197</v>
      </c>
      <c r="I264" s="2">
        <f t="shared" si="42"/>
        <v>3</v>
      </c>
      <c r="J264" s="2">
        <f t="shared" si="43"/>
        <v>6</v>
      </c>
      <c r="K264" s="2">
        <v>206</v>
      </c>
      <c r="L264" s="2">
        <f t="shared" si="44"/>
        <v>3</v>
      </c>
      <c r="M264" s="2">
        <f t="shared" si="45"/>
        <v>1</v>
      </c>
      <c r="N264" s="2">
        <f t="shared" si="46"/>
        <v>6</v>
      </c>
      <c r="P264" s="168">
        <f t="shared" si="47"/>
        <v>63</v>
      </c>
      <c r="AP264" s="40"/>
      <c r="AQ264" s="40"/>
      <c r="AR264" s="40"/>
      <c r="AS264" s="40"/>
      <c r="AT264" s="1">
        <v>3</v>
      </c>
      <c r="AU264" s="11">
        <v>6</v>
      </c>
      <c r="AV264" s="15">
        <v>6</v>
      </c>
      <c r="AW264" s="1"/>
      <c r="AX264" s="1"/>
      <c r="AY264" s="1">
        <v>1</v>
      </c>
      <c r="AZ264" s="11">
        <v>6</v>
      </c>
      <c r="BA264" s="15">
        <v>6</v>
      </c>
      <c r="BB264" s="2" t="s">
        <v>23</v>
      </c>
    </row>
    <row r="265" spans="1:57" ht="14.25" x14ac:dyDescent="0.2">
      <c r="A265" t="str">
        <f t="shared" si="48"/>
        <v>A8</v>
      </c>
      <c r="B265" s="13" t="s">
        <v>658</v>
      </c>
      <c r="C265">
        <f t="shared" si="40"/>
        <v>105.10599999999999</v>
      </c>
      <c r="D265" t="str">
        <f t="shared" si="41"/>
        <v>UFD</v>
      </c>
      <c r="E265" s="169" t="str">
        <f>IF(OR(A265="",B265="",C265=""),"eine der Spalten BAB, FR, km leer?",CONCATENATE(VLOOKUP(VALUE(I265),[1]Grundlage!$A$1:$B$14,2,0),IF(LEFT(A265,1)="A",IF(VALUE(MID(A265,2,10))&lt;10,"A00"&amp;VALUE(MID(A265,2,10)),IF(VALUE(MID(A265,2,10))&lt;100,"A0"&amp;VALUE(MID(A265,2,10)),IF(VALUE(MID(A265,2,10))&lt;1000,"A"&amp;VALUE(MID(A265,2,10))))),IF(LEFT(A265,1)="B",IF(VALUE(MID(A265,2,10))&lt;10,"B00"&amp;VALUE(MID(A265,2,10)),IF(VALUE(MID(A265,2,10))&lt;100,"B0"&amp;VALUE(MID(A265,2,10)),IF(VALUE(MID(A265,2,10))&lt;1000,"B"&amp;VALUE(MID(A265,2,10))))),A265)),"_",IF(NOT(OR(C265=1000,C265&gt;1000)),MID(TEXT((C265+1000)*1000,0),2,6),"keine Meter in Spalte km!!!"),IF(VALUE(I265)=1,CONCATENATE("_",VLOOKUP(IF(V265&gt;0,V265,J265),[1]Grundlage!$A$20:$B$181,2,0)),CONCATENATE("_",B265))))</f>
        <v>UQ_A008_105106_O</v>
      </c>
      <c r="F265" s="2" t="s">
        <v>696</v>
      </c>
      <c r="G265" s="167">
        <f t="shared" si="49"/>
        <v>3198</v>
      </c>
      <c r="H265">
        <f t="shared" si="50"/>
        <v>197</v>
      </c>
      <c r="I265" s="2">
        <f t="shared" si="42"/>
        <v>3</v>
      </c>
      <c r="J265" s="2">
        <f t="shared" si="43"/>
        <v>11</v>
      </c>
      <c r="K265" s="2">
        <v>206</v>
      </c>
      <c r="L265" s="2">
        <f t="shared" si="44"/>
        <v>3</v>
      </c>
      <c r="M265" s="2">
        <f t="shared" si="45"/>
        <v>1</v>
      </c>
      <c r="N265" s="2">
        <f t="shared" si="46"/>
        <v>14</v>
      </c>
      <c r="P265" s="168">
        <v>51</v>
      </c>
      <c r="AT265" s="1">
        <v>3</v>
      </c>
      <c r="AU265" s="11">
        <v>11</v>
      </c>
      <c r="AV265" s="11" t="s">
        <v>78</v>
      </c>
      <c r="AY265" s="1">
        <v>1</v>
      </c>
      <c r="AZ265" s="11">
        <v>14</v>
      </c>
      <c r="BA265" s="11" t="s">
        <v>81</v>
      </c>
      <c r="BB265" s="2" t="s">
        <v>139</v>
      </c>
    </row>
    <row r="266" spans="1:57" ht="14.25" x14ac:dyDescent="0.2">
      <c r="A266" t="str">
        <f t="shared" ref="A266:A329" si="51">IF(ISBLANK(AK266),A265,AK266)</f>
        <v>A8</v>
      </c>
      <c r="B266" s="13" t="s">
        <v>658</v>
      </c>
      <c r="C266">
        <f t="shared" ref="C266:C329" si="52">IF(ISBLANK(AI266),C265,AI266)</f>
        <v>105.10599999999999</v>
      </c>
      <c r="D266" t="str">
        <f t="shared" ref="D266:D329" si="53">IF(AJ266="SST","SS",IF(AND(AJ266="",ISTEXT(BB266)),"UFD",""))</f>
        <v>UFD</v>
      </c>
      <c r="E266" s="169" t="str">
        <f>IF(OR(A266="",B266="",C266=""),"eine der Spalten BAB, FR, km leer?",CONCATENATE(VLOOKUP(VALUE(I266),[1]Grundlage!$A$1:$B$14,2,0),IF(LEFT(A266,1)="A",IF(VALUE(MID(A266,2,10))&lt;10,"A00"&amp;VALUE(MID(A266,2,10)),IF(VALUE(MID(A266,2,10))&lt;100,"A0"&amp;VALUE(MID(A266,2,10)),IF(VALUE(MID(A266,2,10))&lt;1000,"A"&amp;VALUE(MID(A266,2,10))))),IF(LEFT(A266,1)="B",IF(VALUE(MID(A266,2,10))&lt;10,"B00"&amp;VALUE(MID(A266,2,10)),IF(VALUE(MID(A266,2,10))&lt;100,"B0"&amp;VALUE(MID(A266,2,10)),IF(VALUE(MID(A266,2,10))&lt;1000,"B"&amp;VALUE(MID(A266,2,10))))),A266)),"_",IF(NOT(OR(C266=1000,C266&gt;1000)),MID(TEXT((C266+1000)*1000,0),2,6),"keine Meter in Spalte km!!!"),IF(VALUE(I266)=1,CONCATENATE("_",VLOOKUP(IF(V266&gt;0,V266,J266),[1]Grundlage!$A$20:$B$181,2,0)),CONCATENATE("_",B266))))</f>
        <v>UQ_A008_105106_O</v>
      </c>
      <c r="F266" s="2" t="s">
        <v>25</v>
      </c>
      <c r="G266" s="167">
        <f t="shared" si="49"/>
        <v>3198</v>
      </c>
      <c r="H266">
        <f t="shared" si="50"/>
        <v>197</v>
      </c>
      <c r="I266" s="2">
        <f t="shared" ref="I266:I329" si="54">IF(D266="SS",254,AT266)</f>
        <v>3</v>
      </c>
      <c r="J266" s="2">
        <f t="shared" ref="J266:J329" si="55">IF(D266="SS",0,AU266)</f>
        <v>12</v>
      </c>
      <c r="K266" s="2">
        <v>206</v>
      </c>
      <c r="L266" s="2">
        <f t="shared" ref="L266:L329" si="56">IF(ISBLANK(AX266),L265,AX266)</f>
        <v>3</v>
      </c>
      <c r="M266" s="2">
        <f t="shared" ref="M266:M329" si="57">IF(ISBLANK(AY266),"",AY266)</f>
        <v>1</v>
      </c>
      <c r="N266" s="2">
        <f t="shared" ref="N266:N329" si="58">IF(ISBLANK(AZ266),"",AZ266)</f>
        <v>16</v>
      </c>
      <c r="P266" s="168">
        <f t="shared" si="47"/>
        <v>48</v>
      </c>
      <c r="AT266" s="1">
        <v>3</v>
      </c>
      <c r="AU266" s="11">
        <v>12</v>
      </c>
      <c r="AV266" s="11" t="s">
        <v>79</v>
      </c>
      <c r="AY266" s="1">
        <v>1</v>
      </c>
      <c r="AZ266" s="11">
        <v>16</v>
      </c>
      <c r="BA266" s="11">
        <v>10</v>
      </c>
      <c r="BB266" s="2" t="s">
        <v>25</v>
      </c>
    </row>
    <row r="267" spans="1:57" ht="14.25" x14ac:dyDescent="0.2">
      <c r="A267" t="str">
        <f t="shared" si="51"/>
        <v>A8</v>
      </c>
      <c r="B267" s="13" t="s">
        <v>658</v>
      </c>
      <c r="C267">
        <f t="shared" si="52"/>
        <v>105.10599999999999</v>
      </c>
      <c r="D267" t="str">
        <f t="shared" si="53"/>
        <v>UFD</v>
      </c>
      <c r="E267" s="169" t="str">
        <f>IF(OR(A267="",B267="",C267=""),"eine der Spalten BAB, FR, km leer?",CONCATENATE(VLOOKUP(VALUE(I267),[1]Grundlage!$A$1:$B$14,2,0),IF(LEFT(A267,1)="A",IF(VALUE(MID(A267,2,10))&lt;10,"A00"&amp;VALUE(MID(A267,2,10)),IF(VALUE(MID(A267,2,10))&lt;100,"A0"&amp;VALUE(MID(A267,2,10)),IF(VALUE(MID(A267,2,10))&lt;1000,"A"&amp;VALUE(MID(A267,2,10))))),IF(LEFT(A267,1)="B",IF(VALUE(MID(A267,2,10))&lt;10,"B00"&amp;VALUE(MID(A267,2,10)),IF(VALUE(MID(A267,2,10))&lt;100,"B0"&amp;VALUE(MID(A267,2,10)),IF(VALUE(MID(A267,2,10))&lt;1000,"B"&amp;VALUE(MID(A267,2,10))))),A267)),"_",IF(NOT(OR(C267=1000,C267&gt;1000)),MID(TEXT((C267+1000)*1000,0),2,6),"keine Meter in Spalte km!!!"),IF(VALUE(I267)=1,CONCATENATE("_",VLOOKUP(IF(V267&gt;0,V267,J267),[1]Grundlage!$A$20:$B$181,2,0)),CONCATENATE("_",B267))))</f>
        <v>UQ_A008_105106_O</v>
      </c>
      <c r="F267" s="2" t="s">
        <v>26</v>
      </c>
      <c r="G267" s="167">
        <f t="shared" si="49"/>
        <v>3198</v>
      </c>
      <c r="H267">
        <f t="shared" si="50"/>
        <v>197</v>
      </c>
      <c r="I267" s="2">
        <f t="shared" si="54"/>
        <v>3</v>
      </c>
      <c r="J267" s="2">
        <f t="shared" si="55"/>
        <v>13</v>
      </c>
      <c r="K267" s="2">
        <v>206</v>
      </c>
      <c r="L267" s="2">
        <f t="shared" si="56"/>
        <v>3</v>
      </c>
      <c r="M267" s="2">
        <f t="shared" si="57"/>
        <v>1</v>
      </c>
      <c r="N267" s="2">
        <f t="shared" si="58"/>
        <v>17</v>
      </c>
      <c r="P267" s="168">
        <f t="shared" ref="P267:P330" si="59">IF(AT267&lt;&gt;3,"",IF(BB267="Helligkeitssensor",61,IF(BB267="Helligkeit",61,IF(BB268="Lichtsensor",61,IF(BB267="Lufttemperatur",48,IF(BB267="Niederschlagsart",71,IF(BB267="Niederschlagsintensität",53,IF(BB267="relative Luftfeuchte RLF",55,IF(BB267="Sichtweite",60,IF(BB267="Sichtweite 1",60,IF(BB267="Zustand der Fahrbahnoberfläche FBZ",79,IF(BB267="Wasserfilmdicke WFD",72,IF(BB267="Clusterkanal FG3","",IF(BB267="Gefriertemperatur GT",65,IF(BB267="Fahrbahnoberflächentemperatur FBT",49,VALUE(RIGHT(BB267,2)))))))))))))))))</f>
        <v>55</v>
      </c>
      <c r="AT267" s="1">
        <v>3</v>
      </c>
      <c r="AU267" s="11">
        <v>13</v>
      </c>
      <c r="AV267" s="11" t="s">
        <v>80</v>
      </c>
      <c r="AY267" s="1">
        <v>1</v>
      </c>
      <c r="AZ267" s="14">
        <v>17</v>
      </c>
      <c r="BA267" s="11">
        <v>11</v>
      </c>
      <c r="BB267" s="2" t="s">
        <v>26</v>
      </c>
    </row>
    <row r="268" spans="1:57" ht="14.25" x14ac:dyDescent="0.2">
      <c r="A268" t="str">
        <f t="shared" si="51"/>
        <v>A8</v>
      </c>
      <c r="B268" s="13" t="s">
        <v>658</v>
      </c>
      <c r="C268">
        <f t="shared" si="52"/>
        <v>105.10599999999999</v>
      </c>
      <c r="D268" t="str">
        <f t="shared" si="53"/>
        <v>UFD</v>
      </c>
      <c r="E268" s="169" t="str">
        <f>IF(OR(A268="",B268="",C268=""),"eine der Spalten BAB, FR, km leer?",CONCATENATE(VLOOKUP(VALUE(I268),[1]Grundlage!$A$1:$B$14,2,0),IF(LEFT(A268,1)="A",IF(VALUE(MID(A268,2,10))&lt;10,"A00"&amp;VALUE(MID(A268,2,10)),IF(VALUE(MID(A268,2,10))&lt;100,"A0"&amp;VALUE(MID(A268,2,10)),IF(VALUE(MID(A268,2,10))&lt;1000,"A"&amp;VALUE(MID(A268,2,10))))),IF(LEFT(A268,1)="B",IF(VALUE(MID(A268,2,10))&lt;10,"B00"&amp;VALUE(MID(A268,2,10)),IF(VALUE(MID(A268,2,10))&lt;100,"B0"&amp;VALUE(MID(A268,2,10)),IF(VALUE(MID(A268,2,10))&lt;1000,"B"&amp;VALUE(MID(A268,2,10))))),A268)),"_",IF(NOT(OR(C268=1000,C268&gt;1000)),MID(TEXT((C268+1000)*1000,0),2,6),"keine Meter in Spalte km!!!"),IF(VALUE(I268)=1,CONCATENATE("_",VLOOKUP(IF(V268&gt;0,V268,J268),[1]Grundlage!$A$20:$B$181,2,0)),CONCATENATE("_",B268))))</f>
        <v>UQ_A008_105106_O</v>
      </c>
      <c r="F268" s="2" t="s">
        <v>27</v>
      </c>
      <c r="G268" s="167">
        <f t="shared" si="49"/>
        <v>3198</v>
      </c>
      <c r="H268">
        <f t="shared" si="50"/>
        <v>197</v>
      </c>
      <c r="I268" s="2">
        <f t="shared" si="54"/>
        <v>3</v>
      </c>
      <c r="J268" s="2">
        <f t="shared" si="55"/>
        <v>14</v>
      </c>
      <c r="K268" s="2">
        <v>206</v>
      </c>
      <c r="L268" s="2">
        <f t="shared" si="56"/>
        <v>3</v>
      </c>
      <c r="M268" s="2">
        <f t="shared" si="57"/>
        <v>1</v>
      </c>
      <c r="N268" s="2">
        <f t="shared" si="58"/>
        <v>18</v>
      </c>
      <c r="P268" s="168">
        <f t="shared" si="59"/>
        <v>66</v>
      </c>
      <c r="AT268" s="1">
        <v>3</v>
      </c>
      <c r="AU268" s="11">
        <v>14</v>
      </c>
      <c r="AV268" s="14" t="s">
        <v>81</v>
      </c>
      <c r="AY268" s="1">
        <v>1</v>
      </c>
      <c r="AZ268" s="14">
        <v>18</v>
      </c>
      <c r="BA268" s="11">
        <v>12</v>
      </c>
      <c r="BB268" s="2" t="s">
        <v>27</v>
      </c>
    </row>
    <row r="269" spans="1:57" ht="14.25" x14ac:dyDescent="0.2">
      <c r="A269" t="str">
        <f t="shared" si="51"/>
        <v>A8</v>
      </c>
      <c r="B269" s="13" t="s">
        <v>658</v>
      </c>
      <c r="C269">
        <f t="shared" si="52"/>
        <v>105.10599999999999</v>
      </c>
      <c r="D269" t="str">
        <f t="shared" si="53"/>
        <v>UFD</v>
      </c>
      <c r="E269" s="169" t="str">
        <f>IF(OR(A269="",B269="",C269=""),"eine der Spalten BAB, FR, km leer?",CONCATENATE(VLOOKUP(VALUE(I269),[1]Grundlage!$A$1:$B$14,2,0),IF(LEFT(A269,1)="A",IF(VALUE(MID(A269,2,10))&lt;10,"A00"&amp;VALUE(MID(A269,2,10)),IF(VALUE(MID(A269,2,10))&lt;100,"A0"&amp;VALUE(MID(A269,2,10)),IF(VALUE(MID(A269,2,10))&lt;1000,"A"&amp;VALUE(MID(A269,2,10))))),IF(LEFT(A269,1)="B",IF(VALUE(MID(A269,2,10))&lt;10,"B00"&amp;VALUE(MID(A269,2,10)),IF(VALUE(MID(A269,2,10))&lt;100,"B0"&amp;VALUE(MID(A269,2,10)),IF(VALUE(MID(A269,2,10))&lt;1000,"B"&amp;VALUE(MID(A269,2,10))))),A269)),"_",IF(NOT(OR(C269=1000,C269&gt;1000)),MID(TEXT((C269+1000)*1000,0),2,6),"keine Meter in Spalte km!!!"),IF(VALUE(I269)=1,CONCATENATE("_",VLOOKUP(IF(V269&gt;0,V269,J269),[1]Grundlage!$A$20:$B$181,2,0)),CONCATENATE("_",B269))))</f>
        <v>UQ_A008_105106_O</v>
      </c>
      <c r="F269" s="2" t="s">
        <v>684</v>
      </c>
      <c r="G269" s="167">
        <f t="shared" si="49"/>
        <v>3198</v>
      </c>
      <c r="H269">
        <f t="shared" si="50"/>
        <v>197</v>
      </c>
      <c r="I269" s="2">
        <f t="shared" si="54"/>
        <v>3</v>
      </c>
      <c r="J269" s="2">
        <f t="shared" si="55"/>
        <v>15</v>
      </c>
      <c r="K269" s="2">
        <v>206</v>
      </c>
      <c r="L269" s="2">
        <f t="shared" si="56"/>
        <v>3</v>
      </c>
      <c r="M269" s="2">
        <f t="shared" si="57"/>
        <v>1</v>
      </c>
      <c r="N269" s="2">
        <f t="shared" si="58"/>
        <v>19</v>
      </c>
      <c r="P269" s="168">
        <v>65</v>
      </c>
      <c r="AT269" s="1">
        <v>3</v>
      </c>
      <c r="AU269" s="11">
        <v>15</v>
      </c>
      <c r="AV269" s="14" t="s">
        <v>82</v>
      </c>
      <c r="AY269" s="1">
        <v>1</v>
      </c>
      <c r="AZ269" s="14">
        <v>19</v>
      </c>
      <c r="BA269" s="11">
        <v>13</v>
      </c>
      <c r="BB269" s="2" t="s">
        <v>141</v>
      </c>
    </row>
    <row r="270" spans="1:57" ht="14.25" x14ac:dyDescent="0.2">
      <c r="A270" t="str">
        <f t="shared" si="51"/>
        <v>A8</v>
      </c>
      <c r="B270" s="13" t="s">
        <v>658</v>
      </c>
      <c r="C270">
        <f t="shared" si="52"/>
        <v>105.10599999999999</v>
      </c>
      <c r="D270" t="str">
        <f t="shared" si="53"/>
        <v>UFD</v>
      </c>
      <c r="E270" s="169" t="str">
        <f>IF(OR(A270="",B270="",C270=""),"eine der Spalten BAB, FR, km leer?",CONCATENATE(VLOOKUP(VALUE(I270),[1]Grundlage!$A$1:$B$14,2,0),IF(LEFT(A270,1)="A",IF(VALUE(MID(A270,2,10))&lt;10,"A00"&amp;VALUE(MID(A270,2,10)),IF(VALUE(MID(A270,2,10))&lt;100,"A0"&amp;VALUE(MID(A270,2,10)),IF(VALUE(MID(A270,2,10))&lt;1000,"A"&amp;VALUE(MID(A270,2,10))))),IF(LEFT(A270,1)="B",IF(VALUE(MID(A270,2,10))&lt;10,"B00"&amp;VALUE(MID(A270,2,10)),IF(VALUE(MID(A270,2,10))&lt;100,"B0"&amp;VALUE(MID(A270,2,10)),IF(VALUE(MID(A270,2,10))&lt;1000,"B"&amp;VALUE(MID(A270,2,10))))),A270)),"_",IF(NOT(OR(C270=1000,C270&gt;1000)),MID(TEXT((C270+1000)*1000,0),2,6),"keine Meter in Spalte km!!!"),IF(VALUE(I270)=1,CONCATENATE("_",VLOOKUP(IF(V270&gt;0,V270,J270),[1]Grundlage!$A$20:$B$181,2,0)),CONCATENATE("_",B270))))</f>
        <v>UQ_A008_105106_O</v>
      </c>
      <c r="F270" s="2" t="s">
        <v>670</v>
      </c>
      <c r="G270" s="167">
        <f t="shared" si="49"/>
        <v>3198</v>
      </c>
      <c r="H270">
        <f t="shared" si="50"/>
        <v>197</v>
      </c>
      <c r="I270" s="2">
        <f t="shared" si="54"/>
        <v>3</v>
      </c>
      <c r="J270" s="2">
        <f t="shared" si="55"/>
        <v>19</v>
      </c>
      <c r="K270" s="2">
        <v>206</v>
      </c>
      <c r="L270" s="2">
        <f t="shared" si="56"/>
        <v>3</v>
      </c>
      <c r="M270" s="2">
        <f t="shared" si="57"/>
        <v>1</v>
      </c>
      <c r="N270" s="2">
        <f t="shared" si="58"/>
        <v>23</v>
      </c>
      <c r="P270" s="168">
        <v>49</v>
      </c>
      <c r="AT270" s="1">
        <v>3</v>
      </c>
      <c r="AU270" s="11">
        <v>19</v>
      </c>
      <c r="AV270" s="11">
        <v>13</v>
      </c>
      <c r="AY270" s="1">
        <v>1</v>
      </c>
      <c r="AZ270" s="14">
        <v>23</v>
      </c>
      <c r="BA270" s="11">
        <v>17</v>
      </c>
      <c r="BB270" s="2" t="s">
        <v>142</v>
      </c>
    </row>
    <row r="271" spans="1:57" ht="14.25" x14ac:dyDescent="0.2">
      <c r="A271" t="str">
        <f t="shared" si="51"/>
        <v>A8</v>
      </c>
      <c r="B271" s="13" t="s">
        <v>658</v>
      </c>
      <c r="C271">
        <f t="shared" si="52"/>
        <v>105.10599999999999</v>
      </c>
      <c r="D271" t="str">
        <f t="shared" si="53"/>
        <v>UFD</v>
      </c>
      <c r="E271" s="169" t="str">
        <f>IF(OR(A271="",B271="",C271=""),"eine der Spalten BAB, FR, km leer?",CONCATENATE(VLOOKUP(VALUE(I271),[1]Grundlage!$A$1:$B$14,2,0),IF(LEFT(A271,1)="A",IF(VALUE(MID(A271,2,10))&lt;10,"A00"&amp;VALUE(MID(A271,2,10)),IF(VALUE(MID(A271,2,10))&lt;100,"A0"&amp;VALUE(MID(A271,2,10)),IF(VALUE(MID(A271,2,10))&lt;1000,"A"&amp;VALUE(MID(A271,2,10))))),IF(LEFT(A271,1)="B",IF(VALUE(MID(A271,2,10))&lt;10,"B00"&amp;VALUE(MID(A271,2,10)),IF(VALUE(MID(A271,2,10))&lt;100,"B0"&amp;VALUE(MID(A271,2,10)),IF(VALUE(MID(A271,2,10))&lt;1000,"B"&amp;VALUE(MID(A271,2,10))))),A271)),"_",IF(NOT(OR(C271=1000,C271&gt;1000)),MID(TEXT((C271+1000)*1000,0),2,6),"keine Meter in Spalte km!!!"),IF(VALUE(I271)=1,CONCATENATE("_",VLOOKUP(IF(V271&gt;0,V271,J271),[1]Grundlage!$A$20:$B$181,2,0)),CONCATENATE("_",B271))))</f>
        <v>UQ_A008_105106_O</v>
      </c>
      <c r="F271" s="2" t="s">
        <v>30</v>
      </c>
      <c r="G271" s="167">
        <f t="shared" si="49"/>
        <v>3198</v>
      </c>
      <c r="H271">
        <f t="shared" si="50"/>
        <v>197</v>
      </c>
      <c r="I271" s="2">
        <f t="shared" si="54"/>
        <v>3</v>
      </c>
      <c r="J271" s="2">
        <f t="shared" si="55"/>
        <v>21</v>
      </c>
      <c r="K271" s="2">
        <v>206</v>
      </c>
      <c r="L271" s="2">
        <f t="shared" si="56"/>
        <v>3</v>
      </c>
      <c r="M271" s="2">
        <f t="shared" si="57"/>
        <v>1</v>
      </c>
      <c r="N271" s="2">
        <f t="shared" si="58"/>
        <v>25</v>
      </c>
      <c r="P271" s="168">
        <f t="shared" si="59"/>
        <v>67</v>
      </c>
      <c r="AT271" s="1">
        <v>3</v>
      </c>
      <c r="AU271" s="11">
        <v>21</v>
      </c>
      <c r="AV271" s="11">
        <v>15</v>
      </c>
      <c r="AY271" s="1">
        <v>1</v>
      </c>
      <c r="AZ271" s="14">
        <v>25</v>
      </c>
      <c r="BA271" s="11">
        <v>19</v>
      </c>
      <c r="BB271" s="2" t="s">
        <v>30</v>
      </c>
    </row>
    <row r="272" spans="1:57" s="13" customFormat="1" ht="14.25" x14ac:dyDescent="0.2">
      <c r="A272" t="str">
        <f t="shared" si="51"/>
        <v>A8</v>
      </c>
      <c r="B272" s="13" t="s">
        <v>658</v>
      </c>
      <c r="C272">
        <f t="shared" si="52"/>
        <v>105.10599999999999</v>
      </c>
      <c r="D272" t="str">
        <f t="shared" si="53"/>
        <v>UFD</v>
      </c>
      <c r="E272" s="169" t="str">
        <f>IF(OR(A272="",B272="",C272=""),"eine der Spalten BAB, FR, km leer?",CONCATENATE(VLOOKUP(VALUE(I272),[1]Grundlage!$A$1:$B$14,2,0),IF(LEFT(A272,1)="A",IF(VALUE(MID(A272,2,10))&lt;10,"A00"&amp;VALUE(MID(A272,2,10)),IF(VALUE(MID(A272,2,10))&lt;100,"A0"&amp;VALUE(MID(A272,2,10)),IF(VALUE(MID(A272,2,10))&lt;1000,"A"&amp;VALUE(MID(A272,2,10))))),IF(LEFT(A272,1)="B",IF(VALUE(MID(A272,2,10))&lt;10,"B00"&amp;VALUE(MID(A272,2,10)),IF(VALUE(MID(A272,2,10))&lt;100,"B0"&amp;VALUE(MID(A272,2,10)),IF(VALUE(MID(A272,2,10))&lt;1000,"B"&amp;VALUE(MID(A272,2,10))))),A272)),"_",IF(NOT(OR(C272=1000,C272&gt;1000)),MID(TEXT((C272+1000)*1000,0),2,6),"keine Meter in Spalte km!!!"),IF(VALUE(I272)=1,CONCATENATE("_",VLOOKUP(IF(V272&gt;0,V272,J272),[1]Grundlage!$A$20:$B$181,2,0)),CONCATENATE("_",B272))))</f>
        <v>UQ_A008_105106_O</v>
      </c>
      <c r="F272" s="2" t="s">
        <v>693</v>
      </c>
      <c r="G272" s="167">
        <f t="shared" si="49"/>
        <v>3198</v>
      </c>
      <c r="H272">
        <f t="shared" si="50"/>
        <v>197</v>
      </c>
      <c r="I272" s="2">
        <f t="shared" si="54"/>
        <v>3</v>
      </c>
      <c r="J272" s="2">
        <f t="shared" si="55"/>
        <v>10</v>
      </c>
      <c r="K272" s="2">
        <v>206</v>
      </c>
      <c r="L272" s="2">
        <f t="shared" si="56"/>
        <v>3</v>
      </c>
      <c r="M272" s="2">
        <f t="shared" si="57"/>
        <v>1</v>
      </c>
      <c r="N272" s="2">
        <f t="shared" si="58"/>
        <v>35</v>
      </c>
      <c r="O272" s="2"/>
      <c r="P272" s="168">
        <v>51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1"/>
      <c r="AT272" s="22">
        <v>3</v>
      </c>
      <c r="AU272" s="23">
        <v>10</v>
      </c>
      <c r="AV272" s="23" t="s">
        <v>95</v>
      </c>
      <c r="AW272" s="24"/>
      <c r="AY272" s="19">
        <v>1</v>
      </c>
      <c r="AZ272" s="24">
        <v>35</v>
      </c>
      <c r="BA272" s="14">
        <v>23</v>
      </c>
      <c r="BB272" s="24" t="s">
        <v>140</v>
      </c>
      <c r="BC272" s="25"/>
      <c r="BD272" s="25"/>
    </row>
    <row r="273" spans="1:57" s="13" customFormat="1" ht="14.25" x14ac:dyDescent="0.2">
      <c r="A273" t="str">
        <f t="shared" si="51"/>
        <v>A8</v>
      </c>
      <c r="B273" s="13" t="s">
        <v>658</v>
      </c>
      <c r="C273">
        <f t="shared" si="52"/>
        <v>105.10599999999999</v>
      </c>
      <c r="D273" t="str">
        <f t="shared" si="53"/>
        <v>UFD</v>
      </c>
      <c r="E273" s="169" t="str">
        <f>IF(OR(A273="",B273="",C273=""),"eine der Spalten BAB, FR, km leer?",CONCATENATE(VLOOKUP(VALUE(I273),[1]Grundlage!$A$1:$B$14,2,0),IF(LEFT(A273,1)="A",IF(VALUE(MID(A273,2,10))&lt;10,"A00"&amp;VALUE(MID(A273,2,10)),IF(VALUE(MID(A273,2,10))&lt;100,"A0"&amp;VALUE(MID(A273,2,10)),IF(VALUE(MID(A273,2,10))&lt;1000,"A"&amp;VALUE(MID(A273,2,10))))),IF(LEFT(A273,1)="B",IF(VALUE(MID(A273,2,10))&lt;10,"B00"&amp;VALUE(MID(A273,2,10)),IF(VALUE(MID(A273,2,10))&lt;100,"B0"&amp;VALUE(MID(A273,2,10)),IF(VALUE(MID(A273,2,10))&lt;1000,"B"&amp;VALUE(MID(A273,2,10))))),A273)),"_",IF(NOT(OR(C273=1000,C273&gt;1000)),MID(TEXT((C273+1000)*1000,0),2,6),"keine Meter in Spalte km!!!"),IF(VALUE(I273)=1,CONCATENATE("_",VLOOKUP(IF(V273&gt;0,V273,J273),[1]Grundlage!$A$20:$B$181,2,0)),CONCATENATE("_",B273))))</f>
        <v>UQ_A008_105106_O</v>
      </c>
      <c r="F273" s="2" t="s">
        <v>694</v>
      </c>
      <c r="G273" s="167">
        <f t="shared" si="49"/>
        <v>3198</v>
      </c>
      <c r="H273">
        <f t="shared" si="50"/>
        <v>197</v>
      </c>
      <c r="I273" s="2">
        <f t="shared" si="54"/>
        <v>3</v>
      </c>
      <c r="J273" s="2">
        <f t="shared" si="55"/>
        <v>16</v>
      </c>
      <c r="K273" s="2">
        <v>206</v>
      </c>
      <c r="L273" s="2">
        <f t="shared" si="56"/>
        <v>3</v>
      </c>
      <c r="M273" s="2">
        <f t="shared" si="57"/>
        <v>1</v>
      </c>
      <c r="N273" s="2">
        <f t="shared" si="58"/>
        <v>20</v>
      </c>
      <c r="O273" s="2"/>
      <c r="P273" s="168">
        <v>65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1"/>
      <c r="AT273" s="22">
        <v>3</v>
      </c>
      <c r="AU273" s="23">
        <v>16</v>
      </c>
      <c r="AV273" s="23">
        <v>10</v>
      </c>
      <c r="AW273" s="24"/>
      <c r="AY273" s="19">
        <v>1</v>
      </c>
      <c r="AZ273" s="24">
        <v>20</v>
      </c>
      <c r="BA273" s="14">
        <v>14</v>
      </c>
      <c r="BB273" s="24" t="s">
        <v>138</v>
      </c>
      <c r="BC273" s="25"/>
      <c r="BD273" s="25"/>
    </row>
    <row r="274" spans="1:57" s="13" customFormat="1" ht="14.25" x14ac:dyDescent="0.2">
      <c r="A274" t="str">
        <f t="shared" si="51"/>
        <v>A8</v>
      </c>
      <c r="B274" s="13" t="s">
        <v>658</v>
      </c>
      <c r="C274">
        <f t="shared" si="52"/>
        <v>105.10599999999999</v>
      </c>
      <c r="D274" t="str">
        <f t="shared" si="53"/>
        <v>UFD</v>
      </c>
      <c r="E274" s="169" t="str">
        <f>IF(OR(A274="",B274="",C274=""),"eine der Spalten BAB, FR, km leer?",CONCATENATE(VLOOKUP(VALUE(I274),[1]Grundlage!$A$1:$B$14,2,0),IF(LEFT(A274,1)="A",IF(VALUE(MID(A274,2,10))&lt;10,"A00"&amp;VALUE(MID(A274,2,10)),IF(VALUE(MID(A274,2,10))&lt;100,"A0"&amp;VALUE(MID(A274,2,10)),IF(VALUE(MID(A274,2,10))&lt;1000,"A"&amp;VALUE(MID(A274,2,10))))),IF(LEFT(A274,1)="B",IF(VALUE(MID(A274,2,10))&lt;10,"B00"&amp;VALUE(MID(A274,2,10)),IF(VALUE(MID(A274,2,10))&lt;100,"B0"&amp;VALUE(MID(A274,2,10)),IF(VALUE(MID(A274,2,10))&lt;1000,"B"&amp;VALUE(MID(A274,2,10))))),A274)),"_",IF(NOT(OR(C274=1000,C274&gt;1000)),MID(TEXT((C274+1000)*1000,0),2,6),"keine Meter in Spalte km!!!"),IF(VALUE(I274)=1,CONCATENATE("_",VLOOKUP(IF(V274&gt;0,V274,J274),[1]Grundlage!$A$20:$B$181,2,0)),CONCATENATE("_",B274))))</f>
        <v>UQ_A008_105106_O</v>
      </c>
      <c r="F274" s="2" t="s">
        <v>695</v>
      </c>
      <c r="G274" s="167">
        <f t="shared" si="49"/>
        <v>3198</v>
      </c>
      <c r="H274">
        <f t="shared" si="50"/>
        <v>197</v>
      </c>
      <c r="I274" s="2">
        <f t="shared" si="54"/>
        <v>3</v>
      </c>
      <c r="J274" s="2">
        <f t="shared" si="55"/>
        <v>20</v>
      </c>
      <c r="K274" s="2">
        <v>206</v>
      </c>
      <c r="L274" s="2">
        <f t="shared" si="56"/>
        <v>3</v>
      </c>
      <c r="M274" s="2">
        <f t="shared" si="57"/>
        <v>1</v>
      </c>
      <c r="N274" s="2">
        <f t="shared" si="58"/>
        <v>24</v>
      </c>
      <c r="O274" s="2"/>
      <c r="P274" s="168">
        <v>49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1"/>
      <c r="AT274" s="22">
        <v>3</v>
      </c>
      <c r="AU274" s="23">
        <v>20</v>
      </c>
      <c r="AV274" s="23">
        <v>14</v>
      </c>
      <c r="AW274" s="24"/>
      <c r="AY274" s="19">
        <v>1</v>
      </c>
      <c r="AZ274" s="24">
        <v>24</v>
      </c>
      <c r="BA274" s="14">
        <v>18</v>
      </c>
      <c r="BB274" s="24" t="s">
        <v>143</v>
      </c>
      <c r="BC274" s="24"/>
      <c r="BD274" s="24"/>
    </row>
    <row r="275" spans="1:57" ht="14.25" x14ac:dyDescent="0.2">
      <c r="A275" t="str">
        <f t="shared" si="51"/>
        <v>A8</v>
      </c>
      <c r="B275" s="13" t="s">
        <v>658</v>
      </c>
      <c r="C275">
        <f t="shared" si="52"/>
        <v>105.10599999999999</v>
      </c>
      <c r="D275" t="str">
        <f t="shared" si="53"/>
        <v/>
      </c>
      <c r="E275" s="169" t="str">
        <f>IF(OR(A275="",B275="",C275=""),"eine der Spalten BAB, FR, km leer?",CONCATENATE(VLOOKUP(VALUE(I275),[1]Grundlage!$A$1:$B$14,2,0),IF(LEFT(A275,1)="A",IF(VALUE(MID(A275,2,10))&lt;10,"A00"&amp;VALUE(MID(A275,2,10)),IF(VALUE(MID(A275,2,10))&lt;100,"A0"&amp;VALUE(MID(A275,2,10)),IF(VALUE(MID(A275,2,10))&lt;1000,"A"&amp;VALUE(MID(A275,2,10))))),IF(LEFT(A275,1)="B",IF(VALUE(MID(A275,2,10))&lt;10,"B00"&amp;VALUE(MID(A275,2,10)),IF(VALUE(MID(A275,2,10))&lt;100,"B0"&amp;VALUE(MID(A275,2,10)),IF(VALUE(MID(A275,2,10))&lt;1000,"B"&amp;VALUE(MID(A275,2,10))))),A275)),"_",IF(NOT(OR(C275=1000,C275&gt;1000)),MID(TEXT((C275+1000)*1000,0),2,6),"keine Meter in Spalte km!!!"),IF(VALUE(I275)=1,CONCATENATE("_",VLOOKUP(IF(V275&gt;0,V275,J275),[1]Grundlage!$A$20:$B$181,2,0)),CONCATENATE("_",B275))))</f>
        <v>SSt_A008_105106_O</v>
      </c>
      <c r="F275" s="2" t="s">
        <v>669</v>
      </c>
      <c r="G275" s="167">
        <f t="shared" si="49"/>
        <v>3198</v>
      </c>
      <c r="H275">
        <f t="shared" si="50"/>
        <v>197</v>
      </c>
      <c r="I275" s="2">
        <f t="shared" si="54"/>
        <v>0</v>
      </c>
      <c r="J275" s="2">
        <f t="shared" si="55"/>
        <v>0</v>
      </c>
      <c r="K275" s="2">
        <v>206</v>
      </c>
      <c r="L275" s="2">
        <f t="shared" si="56"/>
        <v>3</v>
      </c>
      <c r="M275" s="2" t="str">
        <f t="shared" si="57"/>
        <v/>
      </c>
      <c r="N275" s="2" t="str">
        <f t="shared" si="58"/>
        <v/>
      </c>
      <c r="P275" s="168" t="str">
        <f t="shared" si="59"/>
        <v/>
      </c>
    </row>
    <row r="276" spans="1:57" s="205" customFormat="1" ht="14.25" x14ac:dyDescent="0.2">
      <c r="A276" s="204" t="s">
        <v>168</v>
      </c>
      <c r="B276" s="205" t="s">
        <v>658</v>
      </c>
      <c r="C276" s="204">
        <f t="shared" si="52"/>
        <v>33.840000000000003</v>
      </c>
      <c r="D276" s="204" t="s">
        <v>712</v>
      </c>
      <c r="E276" s="206" t="str">
        <f>IF(OR(A276="",B276="",C276=""),"eine der Spalten BAB, FR, km leer?",CONCATENATE(VLOOKUP(VALUE(I276),[1]Grundlage!$A$1:$B$14,2,0),IF(LEFT(A276,1)="A",IF(VALUE(MID(A276,2,10))&lt;10,"A00"&amp;VALUE(MID(A276,2,10)),IF(VALUE(MID(A276,2,10))&lt;100,"A0"&amp;VALUE(MID(A276,2,10)),IF(VALUE(MID(A276,2,10))&lt;1000,"A"&amp;VALUE(MID(A276,2,10))))),IF(LEFT(A276,1)="B",IF(VALUE(MID(A276,2,10))&lt;10,"B00"&amp;VALUE(MID(A276,2,10)),IF(VALUE(MID(A276,2,10))&lt;100,"B0"&amp;VALUE(MID(A276,2,10)),IF(VALUE(MID(A276,2,10))&lt;1000,"B"&amp;VALUE(MID(A276,2,10))))),A276)),"_",IF(NOT(OR(C276=1000,C276&gt;1000)),MID(TEXT((C276+1000)*1000,0),2,6),"keine Meter in Spalte km!!!"),IF(VALUE(I276)=1,CONCATENATE("_",VLOOKUP(IF(V276&gt;0,V276,J276),[1]Grundlage!$A$20:$B$181,2,0)),CONCATENATE("_",B276))))</f>
        <v>SSt_A008_033840_O</v>
      </c>
      <c r="F276" s="205" t="s">
        <v>101</v>
      </c>
      <c r="G276" s="207">
        <f t="shared" si="49"/>
        <v>3149</v>
      </c>
      <c r="H276" s="204">
        <f t="shared" si="50"/>
        <v>140</v>
      </c>
      <c r="I276" s="205">
        <f t="shared" si="54"/>
        <v>254</v>
      </c>
      <c r="J276" s="205">
        <f t="shared" si="55"/>
        <v>0</v>
      </c>
      <c r="K276" s="205">
        <v>206</v>
      </c>
      <c r="L276" s="205">
        <f t="shared" si="56"/>
        <v>4</v>
      </c>
      <c r="M276" s="205" t="str">
        <f t="shared" si="57"/>
        <v/>
      </c>
      <c r="N276" s="205" t="str">
        <f t="shared" si="58"/>
        <v/>
      </c>
      <c r="P276" s="208" t="str">
        <f t="shared" si="59"/>
        <v/>
      </c>
      <c r="AI276" s="209">
        <v>33.840000000000003</v>
      </c>
      <c r="AJ276" s="210" t="s">
        <v>19</v>
      </c>
      <c r="AK276" s="210" t="s">
        <v>46</v>
      </c>
      <c r="AL276" s="210"/>
      <c r="AM276" s="210"/>
      <c r="AN276" s="210"/>
      <c r="AO276" s="210"/>
      <c r="AP276" s="210">
        <v>806284</v>
      </c>
      <c r="AQ276" s="210" t="s">
        <v>79</v>
      </c>
      <c r="AR276" s="210" t="s">
        <v>231</v>
      </c>
      <c r="AS276" s="210" t="s">
        <v>230</v>
      </c>
      <c r="AT276" s="210"/>
      <c r="AU276" s="210"/>
      <c r="AV276" s="210"/>
      <c r="AW276" s="210"/>
      <c r="AX276" s="210">
        <v>4</v>
      </c>
      <c r="AY276" s="210"/>
      <c r="AZ276" s="210"/>
      <c r="BA276" s="210"/>
      <c r="BB276" s="211" t="s">
        <v>101</v>
      </c>
      <c r="BC276" s="212"/>
      <c r="BD276" s="212"/>
      <c r="BE276" s="205" t="s">
        <v>45</v>
      </c>
    </row>
    <row r="277" spans="1:57" s="205" customFormat="1" ht="14.25" x14ac:dyDescent="0.2">
      <c r="A277" s="204" t="str">
        <f t="shared" si="51"/>
        <v>A8</v>
      </c>
      <c r="B277" s="205" t="s">
        <v>658</v>
      </c>
      <c r="C277" s="204">
        <f t="shared" si="52"/>
        <v>33.840000000000003</v>
      </c>
      <c r="D277" s="204" t="s">
        <v>713</v>
      </c>
      <c r="E277" s="206" t="str">
        <f>IF(OR(A277="",B277="",C277=""),"eine der Spalten BAB, FR, km leer?",CONCATENATE(VLOOKUP(VALUE(I277),[1]Grundlage!$A$1:$B$14,2,0),IF(LEFT(A277,1)="A",IF(VALUE(MID(A277,2,10))&lt;10,"A00"&amp;VALUE(MID(A277,2,10)),IF(VALUE(MID(A277,2,10))&lt;100,"A0"&amp;VALUE(MID(A277,2,10)),IF(VALUE(MID(A277,2,10))&lt;1000,"A"&amp;VALUE(MID(A277,2,10))))),IF(LEFT(A277,1)="B",IF(VALUE(MID(A277,2,10))&lt;10,"B00"&amp;VALUE(MID(A277,2,10)),IF(VALUE(MID(A277,2,10))&lt;100,"B0"&amp;VALUE(MID(A277,2,10)),IF(VALUE(MID(A277,2,10))&lt;1000,"B"&amp;VALUE(MID(A277,2,10))))),A277)),"_",IF(NOT(OR(C277=1000,C277&gt;1000)),MID(TEXT((C277+1000)*1000,0),2,6),"keine Meter in Spalte km!!!"),IF(VALUE(I277)=1,CONCATENATE("_",VLOOKUP(IF(V277&gt;0,V277,J277),[1]Grundlage!$A$20:$B$181,2,0)),CONCATENATE("_",B277))))</f>
        <v>UQ_A008_033840_O</v>
      </c>
      <c r="F277" s="205" t="s">
        <v>23</v>
      </c>
      <c r="G277" s="207">
        <f t="shared" si="49"/>
        <v>3149</v>
      </c>
      <c r="H277" s="204">
        <f t="shared" si="50"/>
        <v>140</v>
      </c>
      <c r="I277" s="205">
        <f t="shared" si="54"/>
        <v>3</v>
      </c>
      <c r="J277" s="205">
        <f t="shared" si="55"/>
        <v>6</v>
      </c>
      <c r="K277" s="205">
        <v>206</v>
      </c>
      <c r="L277" s="205">
        <f t="shared" si="56"/>
        <v>4</v>
      </c>
      <c r="M277" s="205">
        <f t="shared" si="57"/>
        <v>63</v>
      </c>
      <c r="N277" s="205">
        <f t="shared" si="58"/>
        <v>6</v>
      </c>
      <c r="P277" s="208">
        <f t="shared" si="59"/>
        <v>63</v>
      </c>
      <c r="AI277" s="213"/>
      <c r="AT277" s="210">
        <v>3</v>
      </c>
      <c r="AU277" s="214">
        <v>6</v>
      </c>
      <c r="AV277" s="215">
        <v>6</v>
      </c>
      <c r="AW277" s="210"/>
      <c r="AX277" s="210"/>
      <c r="AY277" s="210">
        <v>63</v>
      </c>
      <c r="AZ277" s="214">
        <v>6</v>
      </c>
      <c r="BA277" s="215">
        <v>6</v>
      </c>
      <c r="BB277" s="205" t="s">
        <v>23</v>
      </c>
      <c r="BC277" s="216"/>
      <c r="BD277" s="216"/>
    </row>
    <row r="278" spans="1:57" s="205" customFormat="1" ht="14.25" x14ac:dyDescent="0.2">
      <c r="A278" s="204" t="str">
        <f t="shared" si="51"/>
        <v>A8</v>
      </c>
      <c r="B278" s="205" t="s">
        <v>658</v>
      </c>
      <c r="C278" s="204">
        <f t="shared" si="52"/>
        <v>33.840000000000003</v>
      </c>
      <c r="D278" s="204" t="s">
        <v>713</v>
      </c>
      <c r="E278" s="206" t="str">
        <f>IF(OR(A278="",B278="",C278=""),"eine der Spalten BAB, FR, km leer?",CONCATENATE(VLOOKUP(VALUE(I278),[1]Grundlage!$A$1:$B$14,2,0),IF(LEFT(A278,1)="A",IF(VALUE(MID(A278,2,10))&lt;10,"A00"&amp;VALUE(MID(A278,2,10)),IF(VALUE(MID(A278,2,10))&lt;100,"A0"&amp;VALUE(MID(A278,2,10)),IF(VALUE(MID(A278,2,10))&lt;1000,"A"&amp;VALUE(MID(A278,2,10))))),IF(LEFT(A278,1)="B",IF(VALUE(MID(A278,2,10))&lt;10,"B00"&amp;VALUE(MID(A278,2,10)),IF(VALUE(MID(A278,2,10))&lt;100,"B0"&amp;VALUE(MID(A278,2,10)),IF(VALUE(MID(A278,2,10))&lt;1000,"B"&amp;VALUE(MID(A278,2,10))))),A278)),"_",IF(NOT(OR(C278=1000,C278&gt;1000)),MID(TEXT((C278+1000)*1000,0),2,6),"keine Meter in Spalte km!!!"),IF(VALUE(I278)=1,CONCATENATE("_",VLOOKUP(IF(V278&gt;0,V278,J278),[1]Grundlage!$A$20:$B$181,2,0)),CONCATENATE("_",B278))))</f>
        <v>UQ_A008_033840_O</v>
      </c>
      <c r="F278" s="205" t="s">
        <v>24</v>
      </c>
      <c r="G278" s="207">
        <f t="shared" si="49"/>
        <v>3149</v>
      </c>
      <c r="H278" s="204">
        <f t="shared" si="50"/>
        <v>140</v>
      </c>
      <c r="I278" s="205">
        <f t="shared" si="54"/>
        <v>3</v>
      </c>
      <c r="J278" s="205">
        <f t="shared" si="55"/>
        <v>11</v>
      </c>
      <c r="K278" s="205">
        <v>206</v>
      </c>
      <c r="L278" s="205">
        <f t="shared" si="56"/>
        <v>4</v>
      </c>
      <c r="M278" s="205">
        <f t="shared" si="57"/>
        <v>63</v>
      </c>
      <c r="N278" s="205">
        <f t="shared" si="58"/>
        <v>14</v>
      </c>
      <c r="P278" s="208">
        <v>51</v>
      </c>
      <c r="AI278" s="213"/>
      <c r="AT278" s="210">
        <v>3</v>
      </c>
      <c r="AU278" s="214">
        <v>11</v>
      </c>
      <c r="AV278" s="214" t="s">
        <v>78</v>
      </c>
      <c r="AY278" s="210">
        <v>63</v>
      </c>
      <c r="AZ278" s="214">
        <v>14</v>
      </c>
      <c r="BA278" s="214" t="s">
        <v>81</v>
      </c>
      <c r="BB278" s="205" t="s">
        <v>24</v>
      </c>
      <c r="BC278" s="216"/>
      <c r="BD278" s="216"/>
    </row>
    <row r="279" spans="1:57" s="205" customFormat="1" ht="14.25" x14ac:dyDescent="0.2">
      <c r="A279" s="204" t="str">
        <f t="shared" si="51"/>
        <v>A8</v>
      </c>
      <c r="B279" s="205" t="s">
        <v>658</v>
      </c>
      <c r="C279" s="204">
        <f t="shared" si="52"/>
        <v>33.840000000000003</v>
      </c>
      <c r="D279" s="204" t="s">
        <v>713</v>
      </c>
      <c r="E279" s="206" t="str">
        <f>IF(OR(A279="",B279="",C279=""),"eine der Spalten BAB, FR, km leer?",CONCATENATE(VLOOKUP(VALUE(I279),[1]Grundlage!$A$1:$B$14,2,0),IF(LEFT(A279,1)="A",IF(VALUE(MID(A279,2,10))&lt;10,"A00"&amp;VALUE(MID(A279,2,10)),IF(VALUE(MID(A279,2,10))&lt;100,"A0"&amp;VALUE(MID(A279,2,10)),IF(VALUE(MID(A279,2,10))&lt;1000,"A"&amp;VALUE(MID(A279,2,10))))),IF(LEFT(A279,1)="B",IF(VALUE(MID(A279,2,10))&lt;10,"B00"&amp;VALUE(MID(A279,2,10)),IF(VALUE(MID(A279,2,10))&lt;100,"B0"&amp;VALUE(MID(A279,2,10)),IF(VALUE(MID(A279,2,10))&lt;1000,"B"&amp;VALUE(MID(A279,2,10))))),A279)),"_",IF(NOT(OR(C279=1000,C279&gt;1000)),MID(TEXT((C279+1000)*1000,0),2,6),"keine Meter in Spalte km!!!"),IF(VALUE(I279)=1,CONCATENATE("_",VLOOKUP(IF(V279&gt;0,V279,J279),[1]Grundlage!$A$20:$B$181,2,0)),CONCATENATE("_",B279))))</f>
        <v>UQ_A008_033840_O</v>
      </c>
      <c r="F279" s="205" t="s">
        <v>25</v>
      </c>
      <c r="G279" s="207">
        <f t="shared" si="49"/>
        <v>3149</v>
      </c>
      <c r="H279" s="204">
        <f t="shared" si="50"/>
        <v>140</v>
      </c>
      <c r="I279" s="205">
        <f t="shared" si="54"/>
        <v>3</v>
      </c>
      <c r="J279" s="205">
        <f t="shared" si="55"/>
        <v>12</v>
      </c>
      <c r="K279" s="205">
        <v>206</v>
      </c>
      <c r="L279" s="205">
        <f t="shared" si="56"/>
        <v>4</v>
      </c>
      <c r="M279" s="205">
        <f t="shared" si="57"/>
        <v>63</v>
      </c>
      <c r="N279" s="205">
        <f t="shared" si="58"/>
        <v>16</v>
      </c>
      <c r="P279" s="208">
        <f t="shared" si="59"/>
        <v>48</v>
      </c>
      <c r="AI279" s="213"/>
      <c r="AT279" s="210">
        <v>3</v>
      </c>
      <c r="AU279" s="214">
        <v>12</v>
      </c>
      <c r="AV279" s="214" t="s">
        <v>79</v>
      </c>
      <c r="AY279" s="210">
        <v>63</v>
      </c>
      <c r="AZ279" s="214">
        <v>16</v>
      </c>
      <c r="BA279" s="214">
        <v>10</v>
      </c>
      <c r="BB279" s="205" t="s">
        <v>25</v>
      </c>
      <c r="BC279" s="216"/>
      <c r="BD279" s="216"/>
    </row>
    <row r="280" spans="1:57" s="205" customFormat="1" ht="14.25" x14ac:dyDescent="0.2">
      <c r="A280" s="204" t="str">
        <f t="shared" si="51"/>
        <v>A8</v>
      </c>
      <c r="B280" s="205" t="s">
        <v>658</v>
      </c>
      <c r="C280" s="204">
        <f t="shared" si="52"/>
        <v>33.840000000000003</v>
      </c>
      <c r="D280" s="204" t="s">
        <v>713</v>
      </c>
      <c r="E280" s="206" t="str">
        <f>IF(OR(A280="",B280="",C280=""),"eine der Spalten BAB, FR, km leer?",CONCATENATE(VLOOKUP(VALUE(I280),[1]Grundlage!$A$1:$B$14,2,0),IF(LEFT(A280,1)="A",IF(VALUE(MID(A280,2,10))&lt;10,"A00"&amp;VALUE(MID(A280,2,10)),IF(VALUE(MID(A280,2,10))&lt;100,"A0"&amp;VALUE(MID(A280,2,10)),IF(VALUE(MID(A280,2,10))&lt;1000,"A"&amp;VALUE(MID(A280,2,10))))),IF(LEFT(A280,1)="B",IF(VALUE(MID(A280,2,10))&lt;10,"B00"&amp;VALUE(MID(A280,2,10)),IF(VALUE(MID(A280,2,10))&lt;100,"B0"&amp;VALUE(MID(A280,2,10)),IF(VALUE(MID(A280,2,10))&lt;1000,"B"&amp;VALUE(MID(A280,2,10))))),A280)),"_",IF(NOT(OR(C280=1000,C280&gt;1000)),MID(TEXT((C280+1000)*1000,0),2,6),"keine Meter in Spalte km!!!"),IF(VALUE(I280)=1,CONCATENATE("_",VLOOKUP(IF(V280&gt;0,V280,J280),[1]Grundlage!$A$20:$B$181,2,0)),CONCATENATE("_",B280))))</f>
        <v>UQ_A008_033840_O</v>
      </c>
      <c r="F280" s="205" t="s">
        <v>26</v>
      </c>
      <c r="G280" s="207">
        <f t="shared" si="49"/>
        <v>3149</v>
      </c>
      <c r="H280" s="204">
        <f t="shared" si="50"/>
        <v>140</v>
      </c>
      <c r="I280" s="205">
        <f t="shared" si="54"/>
        <v>3</v>
      </c>
      <c r="J280" s="205">
        <f t="shared" si="55"/>
        <v>13</v>
      </c>
      <c r="K280" s="205">
        <v>206</v>
      </c>
      <c r="L280" s="205">
        <f t="shared" si="56"/>
        <v>4</v>
      </c>
      <c r="M280" s="205">
        <f t="shared" si="57"/>
        <v>63</v>
      </c>
      <c r="N280" s="205">
        <f t="shared" si="58"/>
        <v>17</v>
      </c>
      <c r="P280" s="208">
        <f t="shared" si="59"/>
        <v>55</v>
      </c>
      <c r="AI280" s="213"/>
      <c r="AT280" s="210">
        <v>3</v>
      </c>
      <c r="AU280" s="214">
        <v>13</v>
      </c>
      <c r="AV280" s="214" t="s">
        <v>80</v>
      </c>
      <c r="AY280" s="210">
        <v>63</v>
      </c>
      <c r="AZ280" s="214">
        <v>17</v>
      </c>
      <c r="BA280" s="214">
        <v>11</v>
      </c>
      <c r="BB280" s="205" t="s">
        <v>26</v>
      </c>
      <c r="BC280" s="216"/>
      <c r="BD280" s="216"/>
    </row>
    <row r="281" spans="1:57" s="205" customFormat="1" ht="14.25" x14ac:dyDescent="0.2">
      <c r="A281" s="204" t="str">
        <f t="shared" si="51"/>
        <v>A8</v>
      </c>
      <c r="B281" s="205" t="s">
        <v>658</v>
      </c>
      <c r="C281" s="204">
        <f t="shared" si="52"/>
        <v>33.840000000000003</v>
      </c>
      <c r="D281" s="204" t="s">
        <v>713</v>
      </c>
      <c r="E281" s="206" t="str">
        <f>IF(OR(A281="",B281="",C281=""),"eine der Spalten BAB, FR, km leer?",CONCATENATE(VLOOKUP(VALUE(I281),[1]Grundlage!$A$1:$B$14,2,0),IF(LEFT(A281,1)="A",IF(VALUE(MID(A281,2,10))&lt;10,"A00"&amp;VALUE(MID(A281,2,10)),IF(VALUE(MID(A281,2,10))&lt;100,"A0"&amp;VALUE(MID(A281,2,10)),IF(VALUE(MID(A281,2,10))&lt;1000,"A"&amp;VALUE(MID(A281,2,10))))),IF(LEFT(A281,1)="B",IF(VALUE(MID(A281,2,10))&lt;10,"B00"&amp;VALUE(MID(A281,2,10)),IF(VALUE(MID(A281,2,10))&lt;100,"B0"&amp;VALUE(MID(A281,2,10)),IF(VALUE(MID(A281,2,10))&lt;1000,"B"&amp;VALUE(MID(A281,2,10))))),A281)),"_",IF(NOT(OR(C281=1000,C281&gt;1000)),MID(TEXT((C281+1000)*1000,0),2,6),"keine Meter in Spalte km!!!"),IF(VALUE(I281)=1,CONCATENATE("_",VLOOKUP(IF(V281&gt;0,V281,J281),[1]Grundlage!$A$20:$B$181,2,0)),CONCATENATE("_",B281))))</f>
        <v>UQ_A008_033840_O</v>
      </c>
      <c r="F281" s="205" t="s">
        <v>27</v>
      </c>
      <c r="G281" s="207">
        <f t="shared" si="49"/>
        <v>3149</v>
      </c>
      <c r="H281" s="204">
        <f t="shared" si="50"/>
        <v>140</v>
      </c>
      <c r="I281" s="205">
        <f t="shared" si="54"/>
        <v>3</v>
      </c>
      <c r="J281" s="205">
        <f t="shared" si="55"/>
        <v>14</v>
      </c>
      <c r="K281" s="205">
        <v>206</v>
      </c>
      <c r="L281" s="205">
        <f t="shared" si="56"/>
        <v>4</v>
      </c>
      <c r="M281" s="205">
        <f t="shared" si="57"/>
        <v>63</v>
      </c>
      <c r="N281" s="205">
        <f t="shared" si="58"/>
        <v>18</v>
      </c>
      <c r="P281" s="208">
        <f t="shared" si="59"/>
        <v>66</v>
      </c>
      <c r="AI281" s="213"/>
      <c r="AT281" s="210">
        <v>3</v>
      </c>
      <c r="AU281" s="214">
        <v>14</v>
      </c>
      <c r="AV281" s="214" t="s">
        <v>81</v>
      </c>
      <c r="AY281" s="210">
        <v>63</v>
      </c>
      <c r="AZ281" s="214">
        <v>18</v>
      </c>
      <c r="BA281" s="214">
        <v>12</v>
      </c>
      <c r="BB281" s="205" t="s">
        <v>27</v>
      </c>
      <c r="BC281" s="216"/>
      <c r="BD281" s="216"/>
    </row>
    <row r="282" spans="1:57" s="205" customFormat="1" ht="14.25" x14ac:dyDescent="0.2">
      <c r="A282" s="204" t="str">
        <f t="shared" si="51"/>
        <v>A8</v>
      </c>
      <c r="B282" s="205" t="s">
        <v>658</v>
      </c>
      <c r="C282" s="204">
        <f t="shared" si="52"/>
        <v>33.840000000000003</v>
      </c>
      <c r="D282" s="204" t="s">
        <v>713</v>
      </c>
      <c r="E282" s="206" t="str">
        <f>IF(OR(A282="",B282="",C282=""),"eine der Spalten BAB, FR, km leer?",CONCATENATE(VLOOKUP(VALUE(I282),[1]Grundlage!$A$1:$B$14,2,0),IF(LEFT(A282,1)="A",IF(VALUE(MID(A282,2,10))&lt;10,"A00"&amp;VALUE(MID(A282,2,10)),IF(VALUE(MID(A282,2,10))&lt;100,"A0"&amp;VALUE(MID(A282,2,10)),IF(VALUE(MID(A282,2,10))&lt;1000,"A"&amp;VALUE(MID(A282,2,10))))),IF(LEFT(A282,1)="B",IF(VALUE(MID(A282,2,10))&lt;10,"B00"&amp;VALUE(MID(A282,2,10)),IF(VALUE(MID(A282,2,10))&lt;100,"B0"&amp;VALUE(MID(A282,2,10)),IF(VALUE(MID(A282,2,10))&lt;1000,"B"&amp;VALUE(MID(A282,2,10))))),A282)),"_",IF(NOT(OR(C282=1000,C282&gt;1000)),MID(TEXT((C282+1000)*1000,0),2,6),"keine Meter in Spalte km!!!"),IF(VALUE(I282)=1,CONCATENATE("_",VLOOKUP(IF(V282&gt;0,V282,J282),[1]Grundlage!$A$20:$B$181,2,0)),CONCATENATE("_",B282))))</f>
        <v>UQ_A008_033840_O</v>
      </c>
      <c r="F282" s="205" t="s">
        <v>28</v>
      </c>
      <c r="G282" s="207">
        <f t="shared" si="49"/>
        <v>3149</v>
      </c>
      <c r="H282" s="204">
        <f t="shared" si="50"/>
        <v>140</v>
      </c>
      <c r="I282" s="205">
        <f t="shared" si="54"/>
        <v>3</v>
      </c>
      <c r="J282" s="205">
        <f t="shared" si="55"/>
        <v>15</v>
      </c>
      <c r="K282" s="205">
        <v>206</v>
      </c>
      <c r="L282" s="205">
        <f t="shared" si="56"/>
        <v>4</v>
      </c>
      <c r="M282" s="205">
        <f t="shared" si="57"/>
        <v>63</v>
      </c>
      <c r="N282" s="205">
        <f t="shared" si="58"/>
        <v>19</v>
      </c>
      <c r="P282" s="208">
        <f t="shared" si="59"/>
        <v>65</v>
      </c>
      <c r="AI282" s="213"/>
      <c r="AT282" s="210">
        <v>3</v>
      </c>
      <c r="AU282" s="214">
        <v>15</v>
      </c>
      <c r="AV282" s="214" t="s">
        <v>82</v>
      </c>
      <c r="AY282" s="210">
        <v>63</v>
      </c>
      <c r="AZ282" s="214">
        <v>19</v>
      </c>
      <c r="BA282" s="214">
        <v>13</v>
      </c>
      <c r="BB282" s="205" t="s">
        <v>28</v>
      </c>
      <c r="BC282" s="216"/>
      <c r="BD282" s="216"/>
    </row>
    <row r="283" spans="1:57" s="205" customFormat="1" ht="14.25" x14ac:dyDescent="0.2">
      <c r="A283" s="204" t="str">
        <f t="shared" si="51"/>
        <v>A8</v>
      </c>
      <c r="B283" s="205" t="s">
        <v>658</v>
      </c>
      <c r="C283" s="204">
        <f t="shared" si="52"/>
        <v>33.840000000000003</v>
      </c>
      <c r="D283" s="204" t="s">
        <v>713</v>
      </c>
      <c r="E283" s="206" t="str">
        <f>IF(OR(A283="",B283="",C283=""),"eine der Spalten BAB, FR, km leer?",CONCATENATE(VLOOKUP(VALUE(I283),[1]Grundlage!$A$1:$B$14,2,0),IF(LEFT(A283,1)="A",IF(VALUE(MID(A283,2,10))&lt;10,"A00"&amp;VALUE(MID(A283,2,10)),IF(VALUE(MID(A283,2,10))&lt;100,"A0"&amp;VALUE(MID(A283,2,10)),IF(VALUE(MID(A283,2,10))&lt;1000,"A"&amp;VALUE(MID(A283,2,10))))),IF(LEFT(A283,1)="B",IF(VALUE(MID(A283,2,10))&lt;10,"B00"&amp;VALUE(MID(A283,2,10)),IF(VALUE(MID(A283,2,10))&lt;100,"B0"&amp;VALUE(MID(A283,2,10)),IF(VALUE(MID(A283,2,10))&lt;1000,"B"&amp;VALUE(MID(A283,2,10))))),A283)),"_",IF(NOT(OR(C283=1000,C283&gt;1000)),MID(TEXT((C283+1000)*1000,0),2,6),"keine Meter in Spalte km!!!"),IF(VALUE(I283)=1,CONCATENATE("_",VLOOKUP(IF(V283&gt;0,V283,J283),[1]Grundlage!$A$20:$B$181,2,0)),CONCATENATE("_",B283))))</f>
        <v>UQ_A008_033840_O</v>
      </c>
      <c r="F283" s="205" t="s">
        <v>29</v>
      </c>
      <c r="G283" s="207">
        <f t="shared" si="49"/>
        <v>3149</v>
      </c>
      <c r="H283" s="204">
        <f t="shared" si="50"/>
        <v>140</v>
      </c>
      <c r="I283" s="205">
        <f t="shared" si="54"/>
        <v>3</v>
      </c>
      <c r="J283" s="205">
        <f t="shared" si="55"/>
        <v>19</v>
      </c>
      <c r="K283" s="205">
        <v>206</v>
      </c>
      <c r="L283" s="205">
        <f t="shared" si="56"/>
        <v>4</v>
      </c>
      <c r="M283" s="205">
        <f t="shared" si="57"/>
        <v>63</v>
      </c>
      <c r="N283" s="205">
        <f t="shared" si="58"/>
        <v>23</v>
      </c>
      <c r="P283" s="208">
        <f t="shared" si="59"/>
        <v>49</v>
      </c>
      <c r="AI283" s="213"/>
      <c r="AT283" s="210">
        <v>3</v>
      </c>
      <c r="AU283" s="214">
        <v>19</v>
      </c>
      <c r="AV283" s="214">
        <v>13</v>
      </c>
      <c r="AY283" s="210">
        <v>63</v>
      </c>
      <c r="AZ283" s="214">
        <v>23</v>
      </c>
      <c r="BA283" s="214">
        <v>17</v>
      </c>
      <c r="BB283" s="205" t="s">
        <v>29</v>
      </c>
      <c r="BC283" s="216"/>
      <c r="BD283" s="216"/>
    </row>
    <row r="284" spans="1:57" s="205" customFormat="1" ht="14.25" x14ac:dyDescent="0.2">
      <c r="A284" s="204" t="str">
        <f t="shared" si="51"/>
        <v>A8</v>
      </c>
      <c r="B284" s="205" t="s">
        <v>658</v>
      </c>
      <c r="C284" s="204">
        <f t="shared" si="52"/>
        <v>33.840000000000003</v>
      </c>
      <c r="D284" s="204" t="s">
        <v>713</v>
      </c>
      <c r="E284" s="206" t="str">
        <f>IF(OR(A284="",B284="",C284=""),"eine der Spalten BAB, FR, km leer?",CONCATENATE(VLOOKUP(VALUE(I284),[1]Grundlage!$A$1:$B$14,2,0),IF(LEFT(A284,1)="A",IF(VALUE(MID(A284,2,10))&lt;10,"A00"&amp;VALUE(MID(A284,2,10)),IF(VALUE(MID(A284,2,10))&lt;100,"A0"&amp;VALUE(MID(A284,2,10)),IF(VALUE(MID(A284,2,10))&lt;1000,"A"&amp;VALUE(MID(A284,2,10))))),IF(LEFT(A284,1)="B",IF(VALUE(MID(A284,2,10))&lt;10,"B00"&amp;VALUE(MID(A284,2,10)),IF(VALUE(MID(A284,2,10))&lt;100,"B0"&amp;VALUE(MID(A284,2,10)),IF(VALUE(MID(A284,2,10))&lt;1000,"B"&amp;VALUE(MID(A284,2,10))))),A284)),"_",IF(NOT(OR(C284=1000,C284&gt;1000)),MID(TEXT((C284+1000)*1000,0),2,6),"keine Meter in Spalte km!!!"),IF(VALUE(I284)=1,CONCATENATE("_",VLOOKUP(IF(V284&gt;0,V284,J284),[1]Grundlage!$A$20:$B$181,2,0)),CONCATENATE("_",B284))))</f>
        <v>UQ_A008_033840_O</v>
      </c>
      <c r="F284" s="205" t="s">
        <v>30</v>
      </c>
      <c r="G284" s="207">
        <f t="shared" si="49"/>
        <v>3149</v>
      </c>
      <c r="H284" s="204">
        <f t="shared" si="50"/>
        <v>140</v>
      </c>
      <c r="I284" s="205">
        <f t="shared" si="54"/>
        <v>3</v>
      </c>
      <c r="J284" s="205">
        <f t="shared" si="55"/>
        <v>21</v>
      </c>
      <c r="K284" s="205">
        <v>206</v>
      </c>
      <c r="L284" s="205">
        <f t="shared" si="56"/>
        <v>4</v>
      </c>
      <c r="M284" s="205">
        <f t="shared" si="57"/>
        <v>63</v>
      </c>
      <c r="N284" s="205">
        <f t="shared" si="58"/>
        <v>25</v>
      </c>
      <c r="P284" s="208">
        <f t="shared" si="59"/>
        <v>67</v>
      </c>
      <c r="AI284" s="213"/>
      <c r="AT284" s="210">
        <v>3</v>
      </c>
      <c r="AU284" s="214">
        <v>21</v>
      </c>
      <c r="AV284" s="214">
        <v>15</v>
      </c>
      <c r="AY284" s="210">
        <v>63</v>
      </c>
      <c r="AZ284" s="214">
        <v>25</v>
      </c>
      <c r="BA284" s="214">
        <v>19</v>
      </c>
      <c r="BB284" s="205" t="s">
        <v>30</v>
      </c>
      <c r="BC284" s="216"/>
      <c r="BD284" s="216"/>
    </row>
    <row r="285" spans="1:57" s="205" customFormat="1" ht="14.25" x14ac:dyDescent="0.2">
      <c r="A285" s="204" t="str">
        <f t="shared" si="51"/>
        <v>A8</v>
      </c>
      <c r="B285" s="205" t="s">
        <v>658</v>
      </c>
      <c r="C285" s="204">
        <f t="shared" si="52"/>
        <v>33.840000000000003</v>
      </c>
      <c r="D285" s="204" t="s">
        <v>713</v>
      </c>
      <c r="E285" s="206" t="str">
        <f>IF(OR(A285="",B285="",C285=""),"eine der Spalten BAB, FR, km leer?",CONCATENATE(VLOOKUP(VALUE(I285),[1]Grundlage!$A$1:$B$14,2,0),IF(LEFT(A285,1)="A",IF(VALUE(MID(A285,2,10))&lt;10,"A00"&amp;VALUE(MID(A285,2,10)),IF(VALUE(MID(A285,2,10))&lt;100,"A0"&amp;VALUE(MID(A285,2,10)),IF(VALUE(MID(A285,2,10))&lt;1000,"A"&amp;VALUE(MID(A285,2,10))))),IF(LEFT(A285,1)="B",IF(VALUE(MID(A285,2,10))&lt;10,"B00"&amp;VALUE(MID(A285,2,10)),IF(VALUE(MID(A285,2,10))&lt;100,"B0"&amp;VALUE(MID(A285,2,10)),IF(VALUE(MID(A285,2,10))&lt;1000,"B"&amp;VALUE(MID(A285,2,10))))),A285)),"_",IF(NOT(OR(C285=1000,C285&gt;1000)),MID(TEXT((C285+1000)*1000,0),2,6),"keine Meter in Spalte km!!!"),IF(VALUE(I285)=1,CONCATENATE("_",VLOOKUP(IF(V285&gt;0,V285,J285),[1]Grundlage!$A$20:$B$181,2,0)),CONCATENATE("_",B285))))</f>
        <v>UQ_A008_033840_O</v>
      </c>
      <c r="F285" s="205" t="s">
        <v>41</v>
      </c>
      <c r="G285" s="207">
        <f t="shared" si="49"/>
        <v>3149</v>
      </c>
      <c r="H285" s="204">
        <f t="shared" si="50"/>
        <v>140</v>
      </c>
      <c r="I285" s="205">
        <f t="shared" si="54"/>
        <v>3</v>
      </c>
      <c r="J285" s="205">
        <f t="shared" si="55"/>
        <v>24</v>
      </c>
      <c r="K285" s="205">
        <v>206</v>
      </c>
      <c r="L285" s="205">
        <f t="shared" si="56"/>
        <v>4</v>
      </c>
      <c r="M285" s="205">
        <f t="shared" si="57"/>
        <v>63</v>
      </c>
      <c r="N285" s="205">
        <f t="shared" si="58"/>
        <v>27</v>
      </c>
      <c r="P285" s="208">
        <f t="shared" si="59"/>
        <v>69</v>
      </c>
      <c r="AI285" s="213"/>
      <c r="AT285" s="210">
        <v>3</v>
      </c>
      <c r="AU285" s="214">
        <v>24</v>
      </c>
      <c r="AV285" s="214">
        <v>18</v>
      </c>
      <c r="AY285" s="210">
        <v>63</v>
      </c>
      <c r="AZ285" s="214">
        <v>27</v>
      </c>
      <c r="BA285" s="214" t="s">
        <v>85</v>
      </c>
      <c r="BB285" s="205" t="s">
        <v>41</v>
      </c>
      <c r="BC285" s="216"/>
      <c r="BD285" s="216"/>
    </row>
    <row r="286" spans="1:57" ht="14.25" x14ac:dyDescent="0.2">
      <c r="A286" t="str">
        <f t="shared" si="51"/>
        <v>A8</v>
      </c>
      <c r="B286" s="13" t="s">
        <v>658</v>
      </c>
      <c r="C286">
        <f t="shared" si="52"/>
        <v>33.840000000000003</v>
      </c>
      <c r="D286"/>
      <c r="E286" s="169" t="str">
        <f>IF(OR(A286="",B286="",C286=""),"eine der Spalten BAB, FR, km leer?",CONCATENATE(VLOOKUP(VALUE(I286),[1]Grundlage!$A$1:$B$14,2,0),IF(LEFT(A286,1)="A",IF(VALUE(MID(A286,2,10))&lt;10,"A00"&amp;VALUE(MID(A286,2,10)),IF(VALUE(MID(A286,2,10))&lt;100,"A0"&amp;VALUE(MID(A286,2,10)),IF(VALUE(MID(A286,2,10))&lt;1000,"A"&amp;VALUE(MID(A286,2,10))))),IF(LEFT(A286,1)="B",IF(VALUE(MID(A286,2,10))&lt;10,"B00"&amp;VALUE(MID(A286,2,10)),IF(VALUE(MID(A286,2,10))&lt;100,"B0"&amp;VALUE(MID(A286,2,10)),IF(VALUE(MID(A286,2,10))&lt;1000,"B"&amp;VALUE(MID(A286,2,10))))),A286)),"_",IF(NOT(OR(C286=1000,C286&gt;1000)),MID(TEXT((C286+1000)*1000,0),2,6),"keine Meter in Spalte km!!!"),IF(VALUE(I286)=1,CONCATENATE("_",VLOOKUP(IF(V286&gt;0,V286,J286),[1]Grundlage!$A$20:$B$181,2,0)),CONCATENATE("_",B286))))</f>
        <v>UQ_A008_033840_O</v>
      </c>
      <c r="F286" s="2" t="s">
        <v>91</v>
      </c>
      <c r="G286" s="167">
        <f t="shared" si="49"/>
        <v>3149</v>
      </c>
      <c r="H286">
        <f t="shared" si="50"/>
        <v>140</v>
      </c>
      <c r="I286" s="2">
        <f t="shared" si="54"/>
        <v>3</v>
      </c>
      <c r="J286" s="2">
        <f t="shared" si="55"/>
        <v>17</v>
      </c>
      <c r="K286" s="2">
        <v>206</v>
      </c>
      <c r="L286" s="2">
        <f t="shared" si="56"/>
        <v>4</v>
      </c>
      <c r="M286" s="2">
        <f t="shared" si="57"/>
        <v>63</v>
      </c>
      <c r="N286" s="2">
        <f t="shared" si="58"/>
        <v>21</v>
      </c>
      <c r="P286" s="168">
        <f t="shared" si="59"/>
        <v>87</v>
      </c>
      <c r="AT286" s="1">
        <v>3</v>
      </c>
      <c r="AU286" s="11">
        <v>17</v>
      </c>
      <c r="AV286" s="11">
        <v>11</v>
      </c>
      <c r="AY286" s="1">
        <v>63</v>
      </c>
      <c r="AZ286" s="14">
        <v>21</v>
      </c>
      <c r="BA286" s="11">
        <v>15</v>
      </c>
      <c r="BB286" s="13" t="s">
        <v>91</v>
      </c>
    </row>
    <row r="287" spans="1:57" ht="14.25" x14ac:dyDescent="0.2">
      <c r="A287" t="str">
        <f t="shared" si="51"/>
        <v>A8</v>
      </c>
      <c r="B287" s="13" t="s">
        <v>658</v>
      </c>
      <c r="C287">
        <f t="shared" si="52"/>
        <v>33.840000000000003</v>
      </c>
      <c r="D287" t="str">
        <f t="shared" si="53"/>
        <v/>
      </c>
      <c r="E287" s="169" t="str">
        <f>IF(OR(A287="",B287="",C287=""),"eine der Spalten BAB, FR, km leer?",CONCATENATE(VLOOKUP(VALUE(I287),[1]Grundlage!$A$1:$B$14,2,0),IF(LEFT(A287,1)="A",IF(VALUE(MID(A287,2,10))&lt;10,"A00"&amp;VALUE(MID(A287,2,10)),IF(VALUE(MID(A287,2,10))&lt;100,"A0"&amp;VALUE(MID(A287,2,10)),IF(VALUE(MID(A287,2,10))&lt;1000,"A"&amp;VALUE(MID(A287,2,10))))),IF(LEFT(A287,1)="B",IF(VALUE(MID(A287,2,10))&lt;10,"B00"&amp;VALUE(MID(A287,2,10)),IF(VALUE(MID(A287,2,10))&lt;100,"B0"&amp;VALUE(MID(A287,2,10)),IF(VALUE(MID(A287,2,10))&lt;1000,"B"&amp;VALUE(MID(A287,2,10))))),A287)),"_",IF(NOT(OR(C287=1000,C287&gt;1000)),MID(TEXT((C287+1000)*1000,0),2,6),"keine Meter in Spalte km!!!"),IF(VALUE(I287)=1,CONCATENATE("_",VLOOKUP(IF(V287&gt;0,V287,J287),[1]Grundlage!$A$20:$B$181,2,0)),CONCATENATE("_",B287))))</f>
        <v>SSt_A008_033840_O</v>
      </c>
      <c r="F287" s="2" t="s">
        <v>669</v>
      </c>
      <c r="G287" s="167">
        <f t="shared" si="49"/>
        <v>3149</v>
      </c>
      <c r="H287">
        <f t="shared" si="50"/>
        <v>140</v>
      </c>
      <c r="I287" s="2">
        <f t="shared" si="54"/>
        <v>0</v>
      </c>
      <c r="J287" s="2">
        <f t="shared" si="55"/>
        <v>0</v>
      </c>
      <c r="L287" s="2">
        <f t="shared" si="56"/>
        <v>4</v>
      </c>
      <c r="M287" s="2" t="str">
        <f t="shared" si="57"/>
        <v/>
      </c>
      <c r="N287" s="2" t="str">
        <f t="shared" si="58"/>
        <v/>
      </c>
      <c r="P287" s="168" t="str">
        <f t="shared" si="59"/>
        <v/>
      </c>
    </row>
    <row r="288" spans="1:57" ht="15" thickBot="1" x14ac:dyDescent="0.25">
      <c r="A288" t="str">
        <f t="shared" si="51"/>
        <v>A8</v>
      </c>
      <c r="B288" s="13" t="s">
        <v>658</v>
      </c>
      <c r="C288">
        <f t="shared" si="52"/>
        <v>33.840000000000003</v>
      </c>
      <c r="D288" t="str">
        <f t="shared" si="53"/>
        <v/>
      </c>
      <c r="E288" s="169" t="str">
        <f>IF(OR(A288="",B288="",C288=""),"eine der Spalten BAB, FR, km leer?",CONCATENATE(VLOOKUP(VALUE(I288),[1]Grundlage!$A$1:$B$14,2,0),IF(LEFT(A288,1)="A",IF(VALUE(MID(A288,2,10))&lt;10,"A00"&amp;VALUE(MID(A288,2,10)),IF(VALUE(MID(A288,2,10))&lt;100,"A0"&amp;VALUE(MID(A288,2,10)),IF(VALUE(MID(A288,2,10))&lt;1000,"A"&amp;VALUE(MID(A288,2,10))))),IF(LEFT(A288,1)="B",IF(VALUE(MID(A288,2,10))&lt;10,"B00"&amp;VALUE(MID(A288,2,10)),IF(VALUE(MID(A288,2,10))&lt;100,"B0"&amp;VALUE(MID(A288,2,10)),IF(VALUE(MID(A288,2,10))&lt;1000,"B"&amp;VALUE(MID(A288,2,10))))),A288)),"_",IF(NOT(OR(C288=1000,C288&gt;1000)),MID(TEXT((C288+1000)*1000,0),2,6),"keine Meter in Spalte km!!!"),IF(VALUE(I288)=1,CONCATENATE("_",VLOOKUP(IF(V288&gt;0,V288,J288),[1]Grundlage!$A$20:$B$181,2,0)),CONCATENATE("_",B288))))</f>
        <v>SSt_A008_033840_O</v>
      </c>
      <c r="F288" s="2" t="s">
        <v>669</v>
      </c>
      <c r="G288" s="167">
        <f t="shared" si="49"/>
        <v>3149</v>
      </c>
      <c r="H288">
        <f t="shared" si="50"/>
        <v>140</v>
      </c>
      <c r="I288" s="2">
        <f t="shared" si="54"/>
        <v>0</v>
      </c>
      <c r="J288" s="2">
        <f t="shared" si="55"/>
        <v>0</v>
      </c>
      <c r="L288" s="2">
        <f t="shared" si="56"/>
        <v>4</v>
      </c>
      <c r="M288" s="2" t="str">
        <f t="shared" si="57"/>
        <v/>
      </c>
      <c r="N288" s="2" t="str">
        <f t="shared" si="58"/>
        <v/>
      </c>
      <c r="P288" s="168" t="str">
        <f t="shared" si="59"/>
        <v/>
      </c>
    </row>
    <row r="289" spans="1:58" ht="15.75" thickTop="1" thickBot="1" x14ac:dyDescent="0.25">
      <c r="A289" t="str">
        <f t="shared" si="51"/>
        <v>Starnberg</v>
      </c>
      <c r="C289">
        <f t="shared" si="52"/>
        <v>33.840000000000003</v>
      </c>
      <c r="D289" t="str">
        <f t="shared" si="53"/>
        <v/>
      </c>
      <c r="E289" s="169" t="str">
        <f>IF(OR(A289="",B289="",C289=""),"",CONCATENATE(VLOOKUP(VALUE(I289),[1]Grundlage!$A$1:$B$14,2,0),IF(LEFT(A289,1)="A",IF(VALUE(MID(A289,2,10))&lt;10,"A00"&amp;VALUE(MID(A289,2,10)),IF(VALUE(MID(A289,2,10))&lt;100,"A0"&amp;VALUE(MID(A289,2,10)),IF(VALUE(MID(A289,2,10))&lt;1000,"A"&amp;VALUE(MID(A289,2,10))))),IF(LEFT(A289,1)="B",IF(VALUE(MID(A289,2,10))&lt;10,"B00"&amp;VALUE(MID(A289,2,10)),IF(VALUE(MID(A289,2,10))&lt;100,"B0"&amp;VALUE(MID(A289,2,10)),IF(VALUE(MID(A289,2,10))&lt;1000,"B"&amp;VALUE(MID(A289,2,10))))),A289)),"_",IF(NOT(OR(C289=1000,C289&gt;1000)),MID(TEXT((C289+1000)*1000,0),2,6),"keine Meter in Spalte km!!!"),IF(VALUE(I289)=1,CONCATENATE("_",VLOOKUP(IF(V289&gt;0,V289,J289),[1]Grundlage!$A$20:$B$181,2,0)),CONCATENATE("_",B289))))</f>
        <v/>
      </c>
      <c r="F289" s="2" t="s">
        <v>669</v>
      </c>
      <c r="G289" s="167">
        <f t="shared" si="49"/>
        <v>3149</v>
      </c>
      <c r="H289">
        <f t="shared" si="50"/>
        <v>140</v>
      </c>
      <c r="I289" s="2">
        <f t="shared" si="54"/>
        <v>0</v>
      </c>
      <c r="J289" s="2">
        <f t="shared" si="55"/>
        <v>0</v>
      </c>
      <c r="L289" s="2">
        <f t="shared" si="56"/>
        <v>4</v>
      </c>
      <c r="M289" s="2" t="str">
        <f t="shared" si="57"/>
        <v/>
      </c>
      <c r="N289" s="2" t="str">
        <f t="shared" si="58"/>
        <v/>
      </c>
      <c r="P289" s="168" t="str">
        <f t="shared" si="59"/>
        <v/>
      </c>
      <c r="AI289" s="48"/>
      <c r="AJ289" s="49" t="s">
        <v>17</v>
      </c>
      <c r="AK289" s="49" t="s">
        <v>50</v>
      </c>
      <c r="AL289" s="49"/>
      <c r="AM289" s="49"/>
      <c r="AN289" s="49"/>
      <c r="AO289" s="49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1"/>
      <c r="BD289" s="51"/>
      <c r="BE289" s="50"/>
    </row>
    <row r="290" spans="1:58" ht="15" thickTop="1" x14ac:dyDescent="0.2">
      <c r="A290" t="str">
        <f t="shared" si="51"/>
        <v>Starnberg</v>
      </c>
      <c r="C290">
        <f t="shared" si="52"/>
        <v>33.840000000000003</v>
      </c>
      <c r="D290" t="str">
        <f t="shared" si="53"/>
        <v/>
      </c>
      <c r="E290" s="169" t="str">
        <f>IF(OR(A290="",B290="",C290=""),"",CONCATENATE(VLOOKUP(VALUE(I290),[1]Grundlage!$A$1:$B$14,2,0),IF(LEFT(A290,1)="A",IF(VALUE(MID(A290,2,10))&lt;10,"A00"&amp;VALUE(MID(A290,2,10)),IF(VALUE(MID(A290,2,10))&lt;100,"A0"&amp;VALUE(MID(A290,2,10)),IF(VALUE(MID(A290,2,10))&lt;1000,"A"&amp;VALUE(MID(A290,2,10))))),IF(LEFT(A290,1)="B",IF(VALUE(MID(A290,2,10))&lt;10,"B00"&amp;VALUE(MID(A290,2,10)),IF(VALUE(MID(A290,2,10))&lt;100,"B0"&amp;VALUE(MID(A290,2,10)),IF(VALUE(MID(A290,2,10))&lt;1000,"B"&amp;VALUE(MID(A290,2,10))))),A290)),"_",IF(NOT(OR(C290=1000,C290&gt;1000)),MID(TEXT((C290+1000)*1000,0),2,6),"keine Meter in Spalte km!!!"),IF(VALUE(I290)=1,CONCATENATE("_",VLOOKUP(IF(V290&gt;0,V290,J290),[1]Grundlage!$A$20:$B$181,2,0)),CONCATENATE("_",B290))))</f>
        <v/>
      </c>
      <c r="F290" s="2" t="s">
        <v>669</v>
      </c>
      <c r="G290" s="167">
        <f t="shared" si="49"/>
        <v>3149</v>
      </c>
      <c r="H290">
        <f t="shared" si="50"/>
        <v>140</v>
      </c>
      <c r="I290" s="2">
        <f t="shared" si="54"/>
        <v>0</v>
      </c>
      <c r="J290" s="2">
        <f t="shared" si="55"/>
        <v>0</v>
      </c>
      <c r="L290" s="2">
        <f t="shared" si="56"/>
        <v>4</v>
      </c>
      <c r="M290" s="2" t="str">
        <f t="shared" si="57"/>
        <v/>
      </c>
      <c r="N290" s="2" t="str">
        <f t="shared" si="58"/>
        <v/>
      </c>
      <c r="P290" s="168" t="str">
        <f t="shared" si="59"/>
        <v/>
      </c>
    </row>
    <row r="291" spans="1:58" ht="14.25" x14ac:dyDescent="0.2">
      <c r="A291" t="str">
        <f t="shared" si="51"/>
        <v>A96</v>
      </c>
      <c r="B291" s="13" t="s">
        <v>658</v>
      </c>
      <c r="C291">
        <f t="shared" si="52"/>
        <v>153.25</v>
      </c>
      <c r="D291" t="str">
        <f t="shared" si="53"/>
        <v>SS</v>
      </c>
      <c r="E291" s="169" t="str">
        <f>IF(OR(A291="",B291="",C291=""),"eine der Spalten BAB, FR, km leer?",CONCATENATE(VLOOKUP(VALUE(I291),[1]Grundlage!$A$1:$B$14,2,0),IF(LEFT(A291,1)="A",IF(VALUE(MID(A291,2,10))&lt;10,"A00"&amp;VALUE(MID(A291,2,10)),IF(VALUE(MID(A291,2,10))&lt;100,"A0"&amp;VALUE(MID(A291,2,10)),IF(VALUE(MID(A291,2,10))&lt;1000,"A"&amp;VALUE(MID(A291,2,10))))),IF(LEFT(A291,1)="B",IF(VALUE(MID(A291,2,10))&lt;10,"B00"&amp;VALUE(MID(A291,2,10)),IF(VALUE(MID(A291,2,10))&lt;100,"B0"&amp;VALUE(MID(A291,2,10)),IF(VALUE(MID(A291,2,10))&lt;1000,"B"&amp;VALUE(MID(A291,2,10))))),A291)),"_",IF(NOT(OR(C291=1000,C291&gt;1000)),MID(TEXT((C291+1000)*1000,0),2,6),"keine Meter in Spalte km!!!"),IF(VALUE(I291)=1,CONCATENATE("_",VLOOKUP(IF(V291&gt;0,V291,J291),[1]Grundlage!$A$20:$B$181,2,0)),CONCATENATE("_",B291))))</f>
        <v>SSt_A096_153250_O</v>
      </c>
      <c r="F291" s="2" t="s">
        <v>52</v>
      </c>
      <c r="G291" s="167">
        <f t="shared" si="49"/>
        <v>37576</v>
      </c>
      <c r="H291">
        <f t="shared" si="50"/>
        <v>98</v>
      </c>
      <c r="I291" s="2">
        <f t="shared" si="54"/>
        <v>254</v>
      </c>
      <c r="J291" s="2">
        <f t="shared" si="55"/>
        <v>0</v>
      </c>
      <c r="K291" s="2">
        <v>207</v>
      </c>
      <c r="L291" s="2">
        <f t="shared" si="56"/>
        <v>1</v>
      </c>
      <c r="M291" s="2" t="str">
        <f t="shared" si="57"/>
        <v/>
      </c>
      <c r="N291" s="2" t="str">
        <f t="shared" si="58"/>
        <v/>
      </c>
      <c r="P291" s="168" t="str">
        <f t="shared" si="59"/>
        <v/>
      </c>
      <c r="AI291" s="41">
        <v>153.25</v>
      </c>
      <c r="AJ291" s="36" t="s">
        <v>19</v>
      </c>
      <c r="AK291" s="36" t="s">
        <v>51</v>
      </c>
      <c r="AL291" s="36"/>
      <c r="AM291" s="36"/>
      <c r="AN291" s="36"/>
      <c r="AO291" s="36"/>
      <c r="AP291" s="42">
        <v>9619554</v>
      </c>
      <c r="AQ291" s="42">
        <v>92</v>
      </c>
      <c r="AR291" s="42" t="s">
        <v>232</v>
      </c>
      <c r="AS291" s="42">
        <v>62</v>
      </c>
      <c r="AT291" s="36"/>
      <c r="AU291" s="36"/>
      <c r="AV291" s="36"/>
      <c r="AW291" s="36"/>
      <c r="AX291" s="36">
        <v>1</v>
      </c>
      <c r="AY291" s="36"/>
      <c r="AZ291" s="36"/>
      <c r="BA291" s="36"/>
      <c r="BB291" s="37" t="s">
        <v>52</v>
      </c>
      <c r="BC291" s="38"/>
      <c r="BD291" s="99" t="s">
        <v>163</v>
      </c>
      <c r="BE291" s="39" t="s">
        <v>103</v>
      </c>
    </row>
    <row r="292" spans="1:58" ht="14.25" x14ac:dyDescent="0.2">
      <c r="A292" t="str">
        <f t="shared" si="51"/>
        <v>A96</v>
      </c>
      <c r="B292" s="13" t="s">
        <v>658</v>
      </c>
      <c r="C292">
        <f t="shared" si="52"/>
        <v>153.25</v>
      </c>
      <c r="D292" t="str">
        <f t="shared" si="53"/>
        <v>UFD</v>
      </c>
      <c r="E292" s="169" t="str">
        <f>IF(OR(A292="",B292="",C292=""),"eine der Spalten BAB, FR, km leer?",CONCATENATE(VLOOKUP(VALUE(I292),[1]Grundlage!$A$1:$B$14,2,0),IF(LEFT(A292,1)="A",IF(VALUE(MID(A292,2,10))&lt;10,"A00"&amp;VALUE(MID(A292,2,10)),IF(VALUE(MID(A292,2,10))&lt;100,"A0"&amp;VALUE(MID(A292,2,10)),IF(VALUE(MID(A292,2,10))&lt;1000,"A"&amp;VALUE(MID(A292,2,10))))),IF(LEFT(A292,1)="B",IF(VALUE(MID(A292,2,10))&lt;10,"B00"&amp;VALUE(MID(A292,2,10)),IF(VALUE(MID(A292,2,10))&lt;100,"B0"&amp;VALUE(MID(A292,2,10)),IF(VALUE(MID(A292,2,10))&lt;1000,"B"&amp;VALUE(MID(A292,2,10))))),A292)),"_",IF(NOT(OR(C292=1000,C292&gt;1000)),MID(TEXT((C292+1000)*1000,0),2,6),"keine Meter in Spalte km!!!"),IF(VALUE(I292)=1,CONCATENATE("_",VLOOKUP(IF(V292&gt;0,V292,J292),[1]Grundlage!$A$20:$B$181,2,0)),CONCATENATE("_",B292))))</f>
        <v>UQ_A096_153250_O</v>
      </c>
      <c r="F292" s="2" t="s">
        <v>269</v>
      </c>
      <c r="G292" s="167">
        <f t="shared" si="49"/>
        <v>37576</v>
      </c>
      <c r="H292">
        <f t="shared" si="50"/>
        <v>98</v>
      </c>
      <c r="I292" s="2">
        <f t="shared" si="54"/>
        <v>3</v>
      </c>
      <c r="J292" s="2">
        <f t="shared" si="55"/>
        <v>6</v>
      </c>
      <c r="K292" s="2">
        <v>207</v>
      </c>
      <c r="L292" s="2">
        <f t="shared" si="56"/>
        <v>1</v>
      </c>
      <c r="M292" s="2">
        <f t="shared" si="57"/>
        <v>1</v>
      </c>
      <c r="N292" s="2">
        <f t="shared" si="58"/>
        <v>1</v>
      </c>
      <c r="P292" s="168">
        <f t="shared" si="59"/>
        <v>71</v>
      </c>
      <c r="AP292" s="40"/>
      <c r="AQ292" s="40"/>
      <c r="AR292" s="40"/>
      <c r="AS292" s="40"/>
      <c r="AT292" s="19">
        <v>3</v>
      </c>
      <c r="AU292" s="14">
        <v>6</v>
      </c>
      <c r="AV292" s="27">
        <v>6</v>
      </c>
      <c r="AW292" s="19"/>
      <c r="AX292" s="19"/>
      <c r="AY292" s="19">
        <v>1</v>
      </c>
      <c r="AZ292" s="14">
        <v>1</v>
      </c>
      <c r="BA292" s="27">
        <v>1</v>
      </c>
      <c r="BB292" s="13" t="s">
        <v>269</v>
      </c>
      <c r="BC292" s="25"/>
      <c r="BD292" s="25"/>
      <c r="BE292" s="13"/>
    </row>
    <row r="293" spans="1:58" ht="14.25" x14ac:dyDescent="0.2">
      <c r="A293" t="str">
        <f t="shared" si="51"/>
        <v>A96</v>
      </c>
      <c r="B293" s="13" t="s">
        <v>658</v>
      </c>
      <c r="C293">
        <f t="shared" si="52"/>
        <v>153.25</v>
      </c>
      <c r="D293" t="str">
        <f t="shared" si="53"/>
        <v>UFD</v>
      </c>
      <c r="E293" s="169" t="str">
        <f>IF(OR(A293="",B293="",C293=""),"eine der Spalten BAB, FR, km leer?",CONCATENATE(VLOOKUP(VALUE(I293),[1]Grundlage!$A$1:$B$14,2,0),IF(LEFT(A293,1)="A",IF(VALUE(MID(A293,2,10))&lt;10,"A00"&amp;VALUE(MID(A293,2,10)),IF(VALUE(MID(A293,2,10))&lt;100,"A0"&amp;VALUE(MID(A293,2,10)),IF(VALUE(MID(A293,2,10))&lt;1000,"A"&amp;VALUE(MID(A293,2,10))))),IF(LEFT(A293,1)="B",IF(VALUE(MID(A293,2,10))&lt;10,"B00"&amp;VALUE(MID(A293,2,10)),IF(VALUE(MID(A293,2,10))&lt;100,"B0"&amp;VALUE(MID(A293,2,10)),IF(VALUE(MID(A293,2,10))&lt;1000,"B"&amp;VALUE(MID(A293,2,10))))),A293)),"_",IF(NOT(OR(C293=1000,C293&gt;1000)),MID(TEXT((C293+1000)*1000,0),2,6),"keine Meter in Spalte km!!!"),IF(VALUE(I293)=1,CONCATENATE("_",VLOOKUP(IF(V293&gt;0,V293,J293),[1]Grundlage!$A$20:$B$181,2,0)),CONCATENATE("_",B293))))</f>
        <v>UQ_A096_153250_O</v>
      </c>
      <c r="F293" s="2" t="s">
        <v>270</v>
      </c>
      <c r="G293" s="167">
        <f t="shared" si="49"/>
        <v>37576</v>
      </c>
      <c r="H293">
        <f t="shared" si="50"/>
        <v>98</v>
      </c>
      <c r="I293" s="2">
        <f t="shared" si="54"/>
        <v>3</v>
      </c>
      <c r="J293" s="2">
        <f t="shared" si="55"/>
        <v>11</v>
      </c>
      <c r="K293" s="2">
        <v>207</v>
      </c>
      <c r="L293" s="2">
        <f t="shared" si="56"/>
        <v>1</v>
      </c>
      <c r="M293" s="2">
        <f t="shared" si="57"/>
        <v>1</v>
      </c>
      <c r="N293" s="2">
        <f t="shared" si="58"/>
        <v>2</v>
      </c>
      <c r="P293" s="168">
        <f t="shared" si="59"/>
        <v>70</v>
      </c>
      <c r="AT293" s="19">
        <v>3</v>
      </c>
      <c r="AU293" s="14">
        <v>11</v>
      </c>
      <c r="AV293" s="14" t="s">
        <v>78</v>
      </c>
      <c r="AW293" s="13"/>
      <c r="AX293" s="13"/>
      <c r="AY293" s="19">
        <v>1</v>
      </c>
      <c r="AZ293" s="14">
        <v>2</v>
      </c>
      <c r="BA293" s="14">
        <v>2</v>
      </c>
      <c r="BB293" s="13" t="s">
        <v>270</v>
      </c>
      <c r="BC293" s="25"/>
      <c r="BD293" s="25"/>
      <c r="BE293" s="13"/>
    </row>
    <row r="294" spans="1:58" ht="14.25" x14ac:dyDescent="0.2">
      <c r="A294" t="str">
        <f t="shared" si="51"/>
        <v>A96</v>
      </c>
      <c r="B294" s="13" t="s">
        <v>658</v>
      </c>
      <c r="C294">
        <f t="shared" si="52"/>
        <v>153.25</v>
      </c>
      <c r="D294" t="str">
        <f t="shared" si="53"/>
        <v>UFD</v>
      </c>
      <c r="E294" s="169" t="str">
        <f>IF(OR(A294="",B294="",C294=""),"eine der Spalten BAB, FR, km leer?",CONCATENATE(VLOOKUP(VALUE(I294),[1]Grundlage!$A$1:$B$14,2,0),IF(LEFT(A294,1)="A",IF(VALUE(MID(A294,2,10))&lt;10,"A00"&amp;VALUE(MID(A294,2,10)),IF(VALUE(MID(A294,2,10))&lt;100,"A0"&amp;VALUE(MID(A294,2,10)),IF(VALUE(MID(A294,2,10))&lt;1000,"A"&amp;VALUE(MID(A294,2,10))))),IF(LEFT(A294,1)="B",IF(VALUE(MID(A294,2,10))&lt;10,"B00"&amp;VALUE(MID(A294,2,10)),IF(VALUE(MID(A294,2,10))&lt;100,"B0"&amp;VALUE(MID(A294,2,10)),IF(VALUE(MID(A294,2,10))&lt;1000,"B"&amp;VALUE(MID(A294,2,10))))),A294)),"_",IF(NOT(OR(C294=1000,C294&gt;1000)),MID(TEXT((C294+1000)*1000,0),2,6),"keine Meter in Spalte km!!!"),IF(VALUE(I294)=1,CONCATENATE("_",VLOOKUP(IF(V294&gt;0,V294,J294),[1]Grundlage!$A$20:$B$181,2,0)),CONCATENATE("_",B294))))</f>
        <v>UQ_A096_153250_O</v>
      </c>
      <c r="F294" s="2" t="s">
        <v>25</v>
      </c>
      <c r="G294" s="167">
        <f t="shared" si="49"/>
        <v>37576</v>
      </c>
      <c r="H294">
        <f t="shared" si="50"/>
        <v>98</v>
      </c>
      <c r="I294" s="2">
        <f t="shared" si="54"/>
        <v>3</v>
      </c>
      <c r="J294" s="2">
        <f t="shared" si="55"/>
        <v>12</v>
      </c>
      <c r="K294" s="2">
        <v>207</v>
      </c>
      <c r="L294" s="2">
        <f t="shared" si="56"/>
        <v>1</v>
      </c>
      <c r="M294" s="2">
        <f t="shared" si="57"/>
        <v>1</v>
      </c>
      <c r="N294" s="2">
        <f t="shared" si="58"/>
        <v>3</v>
      </c>
      <c r="P294" s="168">
        <f t="shared" si="59"/>
        <v>48</v>
      </c>
      <c r="AT294" s="19">
        <v>3</v>
      </c>
      <c r="AU294" s="14">
        <v>12</v>
      </c>
      <c r="AV294" s="14" t="s">
        <v>79</v>
      </c>
      <c r="AW294" s="13"/>
      <c r="AX294" s="13"/>
      <c r="AY294" s="19">
        <v>1</v>
      </c>
      <c r="AZ294" s="14">
        <v>3</v>
      </c>
      <c r="BA294" s="14">
        <v>3</v>
      </c>
      <c r="BB294" s="13" t="s">
        <v>25</v>
      </c>
      <c r="BC294" s="25"/>
      <c r="BD294" s="25"/>
      <c r="BE294" s="13"/>
    </row>
    <row r="295" spans="1:58" ht="14.25" x14ac:dyDescent="0.2">
      <c r="A295" t="str">
        <f t="shared" si="51"/>
        <v>A96</v>
      </c>
      <c r="B295" s="13" t="s">
        <v>658</v>
      </c>
      <c r="C295">
        <f t="shared" si="52"/>
        <v>153.25</v>
      </c>
      <c r="D295" t="str">
        <f t="shared" si="53"/>
        <v>UFD</v>
      </c>
      <c r="E295" s="169" t="str">
        <f>IF(OR(A295="",B295="",C295=""),"eine der Spalten BAB, FR, km leer?",CONCATENATE(VLOOKUP(VALUE(I295),[1]Grundlage!$A$1:$B$14,2,0),IF(LEFT(A295,1)="A",IF(VALUE(MID(A295,2,10))&lt;10,"A00"&amp;VALUE(MID(A295,2,10)),IF(VALUE(MID(A295,2,10))&lt;100,"A0"&amp;VALUE(MID(A295,2,10)),IF(VALUE(MID(A295,2,10))&lt;1000,"A"&amp;VALUE(MID(A295,2,10))))),IF(LEFT(A295,1)="B",IF(VALUE(MID(A295,2,10))&lt;10,"B00"&amp;VALUE(MID(A295,2,10)),IF(VALUE(MID(A295,2,10))&lt;100,"B0"&amp;VALUE(MID(A295,2,10)),IF(VALUE(MID(A295,2,10))&lt;1000,"B"&amp;VALUE(MID(A295,2,10))))),A295)),"_",IF(NOT(OR(C295=1000,C295&gt;1000)),MID(TEXT((C295+1000)*1000,0),2,6),"keine Meter in Spalte km!!!"),IF(VALUE(I295)=1,CONCATENATE("_",VLOOKUP(IF(V295&gt;0,V295,J295),[1]Grundlage!$A$20:$B$181,2,0)),CONCATENATE("_",B295))))</f>
        <v>UQ_A096_153250_O</v>
      </c>
      <c r="F295" s="2" t="s">
        <v>26</v>
      </c>
      <c r="G295" s="167">
        <f t="shared" ref="G295:G358" si="60">IF(ISBLANK(AP295),G294,INT(AP295/256))</f>
        <v>37576</v>
      </c>
      <c r="H295">
        <f t="shared" ref="H295:H358" si="61">IF(ISBLANK(AP295),H294,MOD(AP295,256))</f>
        <v>98</v>
      </c>
      <c r="I295" s="2">
        <f t="shared" si="54"/>
        <v>3</v>
      </c>
      <c r="J295" s="2">
        <f t="shared" si="55"/>
        <v>13</v>
      </c>
      <c r="K295" s="2">
        <v>207</v>
      </c>
      <c r="L295" s="2">
        <f t="shared" si="56"/>
        <v>1</v>
      </c>
      <c r="M295" s="2">
        <f t="shared" si="57"/>
        <v>1</v>
      </c>
      <c r="N295" s="2">
        <f t="shared" si="58"/>
        <v>4</v>
      </c>
      <c r="P295" s="168">
        <f t="shared" si="59"/>
        <v>55</v>
      </c>
      <c r="AT295" s="19">
        <v>3</v>
      </c>
      <c r="AU295" s="14">
        <v>13</v>
      </c>
      <c r="AV295" s="14" t="s">
        <v>80</v>
      </c>
      <c r="AW295" s="13"/>
      <c r="AX295" s="13"/>
      <c r="AY295" s="19">
        <v>1</v>
      </c>
      <c r="AZ295" s="14">
        <v>4</v>
      </c>
      <c r="BA295" s="14">
        <v>4</v>
      </c>
      <c r="BB295" s="13" t="s">
        <v>26</v>
      </c>
      <c r="BC295" s="25"/>
      <c r="BD295" s="25"/>
      <c r="BE295" s="13"/>
    </row>
    <row r="296" spans="1:58" ht="14.25" x14ac:dyDescent="0.2">
      <c r="A296" t="str">
        <f t="shared" si="51"/>
        <v>A96</v>
      </c>
      <c r="B296" s="13" t="s">
        <v>658</v>
      </c>
      <c r="C296">
        <f t="shared" si="52"/>
        <v>153.25</v>
      </c>
      <c r="D296" t="str">
        <f t="shared" si="53"/>
        <v>UFD</v>
      </c>
      <c r="E296" s="169" t="str">
        <f>IF(OR(A296="",B296="",C296=""),"eine der Spalten BAB, FR, km leer?",CONCATENATE(VLOOKUP(VALUE(I296),[1]Grundlage!$A$1:$B$14,2,0),IF(LEFT(A296,1)="A",IF(VALUE(MID(A296,2,10))&lt;10,"A00"&amp;VALUE(MID(A296,2,10)),IF(VALUE(MID(A296,2,10))&lt;100,"A0"&amp;VALUE(MID(A296,2,10)),IF(VALUE(MID(A296,2,10))&lt;1000,"A"&amp;VALUE(MID(A296,2,10))))),IF(LEFT(A296,1)="B",IF(VALUE(MID(A296,2,10))&lt;10,"B00"&amp;VALUE(MID(A296,2,10)),IF(VALUE(MID(A296,2,10))&lt;100,"B0"&amp;VALUE(MID(A296,2,10)),IF(VALUE(MID(A296,2,10))&lt;1000,"B"&amp;VALUE(MID(A296,2,10))))),A296)),"_",IF(NOT(OR(C296=1000,C296&gt;1000)),MID(TEXT((C296+1000)*1000,0),2,6),"keine Meter in Spalte km!!!"),IF(VALUE(I296)=1,CONCATENATE("_",VLOOKUP(IF(V296&gt;0,V296,J296),[1]Grundlage!$A$20:$B$181,2,0)),CONCATENATE("_",B296))))</f>
        <v>UQ_A096_153250_O</v>
      </c>
      <c r="F296" s="2" t="s">
        <v>27</v>
      </c>
      <c r="G296" s="167">
        <f t="shared" si="60"/>
        <v>37576</v>
      </c>
      <c r="H296">
        <f t="shared" si="61"/>
        <v>98</v>
      </c>
      <c r="I296" s="2">
        <f t="shared" si="54"/>
        <v>3</v>
      </c>
      <c r="J296" s="2">
        <f t="shared" si="55"/>
        <v>14</v>
      </c>
      <c r="K296" s="2">
        <v>207</v>
      </c>
      <c r="L296" s="2">
        <f t="shared" si="56"/>
        <v>1</v>
      </c>
      <c r="M296" s="2">
        <f t="shared" si="57"/>
        <v>1</v>
      </c>
      <c r="N296" s="2">
        <f t="shared" si="58"/>
        <v>5</v>
      </c>
      <c r="P296" s="168">
        <f t="shared" si="59"/>
        <v>66</v>
      </c>
      <c r="AT296" s="19">
        <v>3</v>
      </c>
      <c r="AU296" s="14">
        <v>14</v>
      </c>
      <c r="AV296" s="14" t="s">
        <v>81</v>
      </c>
      <c r="AW296" s="13"/>
      <c r="AX296" s="13"/>
      <c r="AY296" s="19">
        <v>1</v>
      </c>
      <c r="AZ296" s="14">
        <v>5</v>
      </c>
      <c r="BA296" s="14">
        <v>5</v>
      </c>
      <c r="BB296" s="13" t="s">
        <v>27</v>
      </c>
      <c r="BC296" s="25"/>
      <c r="BD296" s="25"/>
      <c r="BE296" s="13"/>
    </row>
    <row r="297" spans="1:58" ht="14.25" x14ac:dyDescent="0.2">
      <c r="A297" t="str">
        <f t="shared" si="51"/>
        <v>A96</v>
      </c>
      <c r="B297" s="13" t="s">
        <v>658</v>
      </c>
      <c r="C297">
        <f t="shared" si="52"/>
        <v>153.25</v>
      </c>
      <c r="D297" t="str">
        <f t="shared" si="53"/>
        <v>UFD</v>
      </c>
      <c r="E297" s="169" t="str">
        <f>IF(OR(A297="",B297="",C297=""),"eine der Spalten BAB, FR, km leer?",CONCATENATE(VLOOKUP(VALUE(I297),[1]Grundlage!$A$1:$B$14,2,0),IF(LEFT(A297,1)="A",IF(VALUE(MID(A297,2,10))&lt;10,"A00"&amp;VALUE(MID(A297,2,10)),IF(VALUE(MID(A297,2,10))&lt;100,"A0"&amp;VALUE(MID(A297,2,10)),IF(VALUE(MID(A297,2,10))&lt;1000,"A"&amp;VALUE(MID(A297,2,10))))),IF(LEFT(A297,1)="B",IF(VALUE(MID(A297,2,10))&lt;10,"B00"&amp;VALUE(MID(A297,2,10)),IF(VALUE(MID(A297,2,10))&lt;100,"B0"&amp;VALUE(MID(A297,2,10)),IF(VALUE(MID(A297,2,10))&lt;1000,"B"&amp;VALUE(MID(A297,2,10))))),A297)),"_",IF(NOT(OR(C297=1000,C297&gt;1000)),MID(TEXT((C297+1000)*1000,0),2,6),"keine Meter in Spalte km!!!"),IF(VALUE(I297)=1,CONCATENATE("_",VLOOKUP(IF(V297&gt;0,V297,J297),[1]Grundlage!$A$20:$B$181,2,0)),CONCATENATE("_",B297))))</f>
        <v>UQ_A096_153250_O</v>
      </c>
      <c r="F297" s="2" t="s">
        <v>28</v>
      </c>
      <c r="G297" s="167">
        <f t="shared" si="60"/>
        <v>37576</v>
      </c>
      <c r="H297">
        <f t="shared" si="61"/>
        <v>98</v>
      </c>
      <c r="I297" s="2">
        <f t="shared" si="54"/>
        <v>3</v>
      </c>
      <c r="J297" s="2">
        <f t="shared" si="55"/>
        <v>15</v>
      </c>
      <c r="K297" s="2">
        <v>207</v>
      </c>
      <c r="L297" s="2">
        <f t="shared" si="56"/>
        <v>1</v>
      </c>
      <c r="M297" s="2">
        <f t="shared" si="57"/>
        <v>1</v>
      </c>
      <c r="N297" s="2">
        <f t="shared" si="58"/>
        <v>6</v>
      </c>
      <c r="P297" s="168">
        <f t="shared" si="59"/>
        <v>65</v>
      </c>
      <c r="AT297" s="19">
        <v>3</v>
      </c>
      <c r="AU297" s="14">
        <v>15</v>
      </c>
      <c r="AV297" s="14" t="s">
        <v>82</v>
      </c>
      <c r="AW297" s="13"/>
      <c r="AX297" s="13"/>
      <c r="AY297" s="19">
        <v>1</v>
      </c>
      <c r="AZ297" s="14">
        <v>6</v>
      </c>
      <c r="BA297" s="14">
        <v>6</v>
      </c>
      <c r="BB297" s="13" t="s">
        <v>28</v>
      </c>
      <c r="BC297" s="25"/>
      <c r="BD297" s="25"/>
      <c r="BE297" s="13"/>
    </row>
    <row r="298" spans="1:58" ht="14.25" x14ac:dyDescent="0.2">
      <c r="A298" t="str">
        <f t="shared" si="51"/>
        <v>A96</v>
      </c>
      <c r="B298" s="13" t="s">
        <v>658</v>
      </c>
      <c r="C298">
        <f t="shared" si="52"/>
        <v>153.25</v>
      </c>
      <c r="D298" t="str">
        <f t="shared" si="53"/>
        <v>UFD</v>
      </c>
      <c r="E298" s="169" t="str">
        <f>IF(OR(A298="",B298="",C298=""),"eine der Spalten BAB, FR, km leer?",CONCATENATE(VLOOKUP(VALUE(I298),[1]Grundlage!$A$1:$B$14,2,0),IF(LEFT(A298,1)="A",IF(VALUE(MID(A298,2,10))&lt;10,"A00"&amp;VALUE(MID(A298,2,10)),IF(VALUE(MID(A298,2,10))&lt;100,"A0"&amp;VALUE(MID(A298,2,10)),IF(VALUE(MID(A298,2,10))&lt;1000,"A"&amp;VALUE(MID(A298,2,10))))),IF(LEFT(A298,1)="B",IF(VALUE(MID(A298,2,10))&lt;10,"B00"&amp;VALUE(MID(A298,2,10)),IF(VALUE(MID(A298,2,10))&lt;100,"B0"&amp;VALUE(MID(A298,2,10)),IF(VALUE(MID(A298,2,10))&lt;1000,"B"&amp;VALUE(MID(A298,2,10))))),A298)),"_",IF(NOT(OR(C298=1000,C298&gt;1000)),MID(TEXT((C298+1000)*1000,0),2,6),"keine Meter in Spalte km!!!"),IF(VALUE(I298)=1,CONCATENATE("_",VLOOKUP(IF(V298&gt;0,V298,J298),[1]Grundlage!$A$20:$B$181,2,0)),CONCATENATE("_",B298))))</f>
        <v>UQ_A096_153250_O</v>
      </c>
      <c r="F298" s="2" t="s">
        <v>29</v>
      </c>
      <c r="G298" s="167">
        <f t="shared" si="60"/>
        <v>37576</v>
      </c>
      <c r="H298">
        <f t="shared" si="61"/>
        <v>98</v>
      </c>
      <c r="I298" s="2">
        <f t="shared" si="54"/>
        <v>3</v>
      </c>
      <c r="J298" s="2">
        <f t="shared" si="55"/>
        <v>19</v>
      </c>
      <c r="K298" s="2">
        <v>207</v>
      </c>
      <c r="L298" s="2">
        <f t="shared" si="56"/>
        <v>1</v>
      </c>
      <c r="M298" s="2">
        <f t="shared" si="57"/>
        <v>1</v>
      </c>
      <c r="N298" s="2">
        <f t="shared" si="58"/>
        <v>7</v>
      </c>
      <c r="P298" s="168">
        <f t="shared" si="59"/>
        <v>49</v>
      </c>
      <c r="AT298" s="19">
        <v>3</v>
      </c>
      <c r="AU298" s="14">
        <v>19</v>
      </c>
      <c r="AV298" s="14">
        <v>13</v>
      </c>
      <c r="AW298" s="13"/>
      <c r="AX298" s="13"/>
      <c r="AY298" s="19">
        <v>1</v>
      </c>
      <c r="AZ298" s="14">
        <v>7</v>
      </c>
      <c r="BA298" s="14">
        <v>7</v>
      </c>
      <c r="BB298" s="13" t="s">
        <v>29</v>
      </c>
      <c r="BC298" s="25"/>
      <c r="BD298" s="25"/>
      <c r="BE298" s="13"/>
    </row>
    <row r="299" spans="1:58" ht="14.25" x14ac:dyDescent="0.2">
      <c r="A299" t="str">
        <f t="shared" si="51"/>
        <v>A96</v>
      </c>
      <c r="B299" s="13" t="s">
        <v>658</v>
      </c>
      <c r="C299">
        <f t="shared" si="52"/>
        <v>153.25</v>
      </c>
      <c r="D299" t="str">
        <f t="shared" si="53"/>
        <v>UFD</v>
      </c>
      <c r="E299" s="169" t="str">
        <f>IF(OR(A299="",B299="",C299=""),"eine der Spalten BAB, FR, km leer?",CONCATENATE(VLOOKUP(VALUE(I299),[1]Grundlage!$A$1:$B$14,2,0),IF(LEFT(A299,1)="A",IF(VALUE(MID(A299,2,10))&lt;10,"A00"&amp;VALUE(MID(A299,2,10)),IF(VALUE(MID(A299,2,10))&lt;100,"A0"&amp;VALUE(MID(A299,2,10)),IF(VALUE(MID(A299,2,10))&lt;1000,"A"&amp;VALUE(MID(A299,2,10))))),IF(LEFT(A299,1)="B",IF(VALUE(MID(A299,2,10))&lt;10,"B00"&amp;VALUE(MID(A299,2,10)),IF(VALUE(MID(A299,2,10))&lt;100,"B0"&amp;VALUE(MID(A299,2,10)),IF(VALUE(MID(A299,2,10))&lt;1000,"B"&amp;VALUE(MID(A299,2,10))))),A299)),"_",IF(NOT(OR(C299=1000,C299&gt;1000)),MID(TEXT((C299+1000)*1000,0),2,6),"keine Meter in Spalte km!!!"),IF(VALUE(I299)=1,CONCATENATE("_",VLOOKUP(IF(V299&gt;0,V299,J299),[1]Grundlage!$A$20:$B$181,2,0)),CONCATENATE("_",B299))))</f>
        <v>UQ_A096_153250_O</v>
      </c>
      <c r="F299" s="2" t="s">
        <v>30</v>
      </c>
      <c r="G299" s="167">
        <f t="shared" si="60"/>
        <v>37576</v>
      </c>
      <c r="H299">
        <f t="shared" si="61"/>
        <v>98</v>
      </c>
      <c r="I299" s="2">
        <f t="shared" si="54"/>
        <v>3</v>
      </c>
      <c r="J299" s="2">
        <f t="shared" si="55"/>
        <v>21</v>
      </c>
      <c r="K299" s="2">
        <v>207</v>
      </c>
      <c r="L299" s="2">
        <f t="shared" si="56"/>
        <v>1</v>
      </c>
      <c r="M299" s="2">
        <f t="shared" si="57"/>
        <v>1</v>
      </c>
      <c r="N299" s="2">
        <f t="shared" si="58"/>
        <v>8</v>
      </c>
      <c r="P299" s="168">
        <f t="shared" si="59"/>
        <v>67</v>
      </c>
      <c r="AT299" s="19">
        <v>3</v>
      </c>
      <c r="AU299" s="14">
        <v>21</v>
      </c>
      <c r="AV299" s="14">
        <v>15</v>
      </c>
      <c r="AW299" s="13"/>
      <c r="AX299" s="13"/>
      <c r="AY299" s="19">
        <v>1</v>
      </c>
      <c r="AZ299" s="14">
        <v>8</v>
      </c>
      <c r="BA299" s="14">
        <v>8</v>
      </c>
      <c r="BB299" s="13" t="s">
        <v>30</v>
      </c>
      <c r="BC299" s="25"/>
      <c r="BD299" s="25"/>
      <c r="BE299" s="13"/>
    </row>
    <row r="300" spans="1:58" ht="14.25" x14ac:dyDescent="0.2">
      <c r="A300" t="str">
        <f t="shared" si="51"/>
        <v>A96</v>
      </c>
      <c r="B300" s="13" t="s">
        <v>658</v>
      </c>
      <c r="C300">
        <f t="shared" si="52"/>
        <v>153.25</v>
      </c>
      <c r="D300" t="str">
        <f t="shared" si="53"/>
        <v>UFD</v>
      </c>
      <c r="E300" s="169" t="str">
        <f>IF(OR(A300="",B300="",C300=""),"eine der Spalten BAB, FR, km leer?",CONCATENATE(VLOOKUP(VALUE(I300),[1]Grundlage!$A$1:$B$14,2,0),IF(LEFT(A300,1)="A",IF(VALUE(MID(A300,2,10))&lt;10,"A00"&amp;VALUE(MID(A300,2,10)),IF(VALUE(MID(A300,2,10))&lt;100,"A0"&amp;VALUE(MID(A300,2,10)),IF(VALUE(MID(A300,2,10))&lt;1000,"A"&amp;VALUE(MID(A300,2,10))))),IF(LEFT(A300,1)="B",IF(VALUE(MID(A300,2,10))&lt;10,"B00"&amp;VALUE(MID(A300,2,10)),IF(VALUE(MID(A300,2,10))&lt;100,"B0"&amp;VALUE(MID(A300,2,10)),IF(VALUE(MID(A300,2,10))&lt;1000,"B"&amp;VALUE(MID(A300,2,10))))),A300)),"_",IF(NOT(OR(C300=1000,C300&gt;1000)),MID(TEXT((C300+1000)*1000,0),2,6),"keine Meter in Spalte km!!!"),IF(VALUE(I300)=1,CONCATENATE("_",VLOOKUP(IF(V300&gt;0,V300,J300),[1]Grundlage!$A$20:$B$181,2,0)),CONCATENATE("_",B300))))</f>
        <v>UQ_A096_153250_O</v>
      </c>
      <c r="F300" s="2" t="s">
        <v>41</v>
      </c>
      <c r="G300" s="167">
        <f t="shared" si="60"/>
        <v>37576</v>
      </c>
      <c r="H300">
        <f t="shared" si="61"/>
        <v>98</v>
      </c>
      <c r="I300" s="2">
        <f t="shared" si="54"/>
        <v>3</v>
      </c>
      <c r="J300" s="2">
        <f t="shared" si="55"/>
        <v>24</v>
      </c>
      <c r="K300" s="2">
        <v>207</v>
      </c>
      <c r="L300" s="2">
        <f t="shared" si="56"/>
        <v>1</v>
      </c>
      <c r="M300" s="2">
        <f t="shared" si="57"/>
        <v>1</v>
      </c>
      <c r="N300" s="2">
        <f t="shared" si="58"/>
        <v>9</v>
      </c>
      <c r="P300" s="168">
        <f t="shared" si="59"/>
        <v>69</v>
      </c>
      <c r="AT300" s="19">
        <v>3</v>
      </c>
      <c r="AU300" s="14">
        <v>24</v>
      </c>
      <c r="AV300" s="14">
        <v>18</v>
      </c>
      <c r="AW300" s="13"/>
      <c r="AX300" s="13"/>
      <c r="AY300" s="19">
        <v>1</v>
      </c>
      <c r="AZ300" s="14">
        <v>9</v>
      </c>
      <c r="BA300" s="14">
        <v>9</v>
      </c>
      <c r="BB300" s="13" t="s">
        <v>41</v>
      </c>
      <c r="BC300" s="25"/>
      <c r="BD300" s="25"/>
      <c r="BE300" s="13"/>
    </row>
    <row r="301" spans="1:58" ht="14.25" x14ac:dyDescent="0.2">
      <c r="A301" t="str">
        <f t="shared" si="51"/>
        <v>A96</v>
      </c>
      <c r="B301" s="13" t="s">
        <v>658</v>
      </c>
      <c r="C301">
        <f t="shared" si="52"/>
        <v>153.25</v>
      </c>
      <c r="D301" t="str">
        <f t="shared" si="53"/>
        <v>UFD</v>
      </c>
      <c r="E301" s="169" t="str">
        <f>IF(OR(A301="",B301="",C301=""),"eine der Spalten BAB, FR, km leer?",CONCATENATE(VLOOKUP(VALUE(I301),[1]Grundlage!$A$1:$B$14,2,0),IF(LEFT(A301,1)="A",IF(VALUE(MID(A301,2,10))&lt;10,"A00"&amp;VALUE(MID(A301,2,10)),IF(VALUE(MID(A301,2,10))&lt;100,"A0"&amp;VALUE(MID(A301,2,10)),IF(VALUE(MID(A301,2,10))&lt;1000,"A"&amp;VALUE(MID(A301,2,10))))),IF(LEFT(A301,1)="B",IF(VALUE(MID(A301,2,10))&lt;10,"B00"&amp;VALUE(MID(A301,2,10)),IF(VALUE(MID(A301,2,10))&lt;100,"B0"&amp;VALUE(MID(A301,2,10)),IF(VALUE(MID(A301,2,10))&lt;1000,"B"&amp;VALUE(MID(A301,2,10))))),A301)),"_",IF(NOT(OR(C301=1000,C301&gt;1000)),MID(TEXT((C301+1000)*1000,0),2,6),"keine Meter in Spalte km!!!"),IF(VALUE(I301)=1,CONCATENATE("_",VLOOKUP(IF(V301&gt;0,V301,J301),[1]Grundlage!$A$20:$B$181,2,0)),CONCATENATE("_",B301))))</f>
        <v>UQ_A096_153250_O</v>
      </c>
      <c r="F301" s="2" t="s">
        <v>271</v>
      </c>
      <c r="G301" s="167">
        <f t="shared" si="60"/>
        <v>37576</v>
      </c>
      <c r="H301">
        <f t="shared" si="61"/>
        <v>98</v>
      </c>
      <c r="I301" s="2">
        <f t="shared" si="54"/>
        <v>3</v>
      </c>
      <c r="J301" s="2">
        <f t="shared" si="55"/>
        <v>67</v>
      </c>
      <c r="K301" s="2">
        <v>207</v>
      </c>
      <c r="L301" s="2">
        <f t="shared" si="56"/>
        <v>1</v>
      </c>
      <c r="M301" s="2">
        <f t="shared" si="57"/>
        <v>1</v>
      </c>
      <c r="N301" s="2">
        <f t="shared" si="58"/>
        <v>10</v>
      </c>
      <c r="P301" s="168">
        <f t="shared" si="59"/>
        <v>53</v>
      </c>
      <c r="AT301" s="19">
        <v>3</v>
      </c>
      <c r="AU301" s="14">
        <v>67</v>
      </c>
      <c r="AV301" s="14">
        <v>43</v>
      </c>
      <c r="AW301" s="13"/>
      <c r="AX301" s="13"/>
      <c r="AY301" s="19">
        <v>1</v>
      </c>
      <c r="AZ301" s="14">
        <v>10</v>
      </c>
      <c r="BA301" s="34" t="s">
        <v>95</v>
      </c>
      <c r="BB301" s="13" t="s">
        <v>271</v>
      </c>
      <c r="BC301" s="25"/>
      <c r="BD301" s="25"/>
      <c r="BE301" s="13"/>
    </row>
    <row r="302" spans="1:58" ht="14.25" x14ac:dyDescent="0.2">
      <c r="A302" t="str">
        <f t="shared" si="51"/>
        <v>A96</v>
      </c>
      <c r="B302" s="13" t="s">
        <v>658</v>
      </c>
      <c r="C302">
        <f t="shared" si="52"/>
        <v>153.25</v>
      </c>
      <c r="D302" t="str">
        <f t="shared" si="53"/>
        <v>UFD</v>
      </c>
      <c r="E302" s="169" t="str">
        <f>IF(OR(A302="",B302="",C302=""),"eine der Spalten BAB, FR, km leer?",CONCATENATE(VLOOKUP(VALUE(I302),[1]Grundlage!$A$1:$B$14,2,0),IF(LEFT(A302,1)="A",IF(VALUE(MID(A302,2,10))&lt;10,"A00"&amp;VALUE(MID(A302,2,10)),IF(VALUE(MID(A302,2,10))&lt;100,"A0"&amp;VALUE(MID(A302,2,10)),IF(VALUE(MID(A302,2,10))&lt;1000,"A"&amp;VALUE(MID(A302,2,10))))),IF(LEFT(A302,1)="B",IF(VALUE(MID(A302,2,10))&lt;10,"B00"&amp;VALUE(MID(A302,2,10)),IF(VALUE(MID(A302,2,10))&lt;100,"B0"&amp;VALUE(MID(A302,2,10)),IF(VALUE(MID(A302,2,10))&lt;1000,"B"&amp;VALUE(MID(A302,2,10))))),A302)),"_",IF(NOT(OR(C302=1000,C302&gt;1000)),MID(TEXT((C302+1000)*1000,0),2,6),"keine Meter in Spalte km!!!"),IF(VALUE(I302)=1,CONCATENATE("_",VLOOKUP(IF(V302&gt;0,V302,J302),[1]Grundlage!$A$20:$B$181,2,0)),CONCATENATE("_",B302))))</f>
        <v>UQ_A096_153250_O</v>
      </c>
      <c r="F302" s="2" t="s">
        <v>272</v>
      </c>
      <c r="G302" s="167">
        <f t="shared" si="60"/>
        <v>37576</v>
      </c>
      <c r="H302">
        <f t="shared" si="61"/>
        <v>98</v>
      </c>
      <c r="I302" s="2">
        <f t="shared" si="54"/>
        <v>3</v>
      </c>
      <c r="J302" s="2">
        <f t="shared" si="55"/>
        <v>82</v>
      </c>
      <c r="K302" s="2">
        <v>207</v>
      </c>
      <c r="L302" s="2">
        <f t="shared" si="56"/>
        <v>1</v>
      </c>
      <c r="M302" s="2">
        <f t="shared" si="57"/>
        <v>1</v>
      </c>
      <c r="N302" s="2">
        <f t="shared" si="58"/>
        <v>11</v>
      </c>
      <c r="P302" s="168">
        <f t="shared" si="59"/>
        <v>72</v>
      </c>
      <c r="AT302" s="19">
        <v>3</v>
      </c>
      <c r="AU302" s="14">
        <v>82</v>
      </c>
      <c r="AV302" s="14">
        <v>52</v>
      </c>
      <c r="AW302" s="13"/>
      <c r="AX302" s="13"/>
      <c r="AY302" s="19">
        <v>1</v>
      </c>
      <c r="AZ302" s="14">
        <v>11</v>
      </c>
      <c r="BA302" s="34" t="s">
        <v>78</v>
      </c>
      <c r="BB302" s="13" t="s">
        <v>272</v>
      </c>
      <c r="BC302" s="25"/>
      <c r="BD302" s="25"/>
      <c r="BE302" s="13"/>
    </row>
    <row r="303" spans="1:58" s="13" customFormat="1" ht="14.25" x14ac:dyDescent="0.2">
      <c r="A303" t="str">
        <f t="shared" si="51"/>
        <v>A96</v>
      </c>
      <c r="B303" s="13" t="s">
        <v>658</v>
      </c>
      <c r="C303">
        <f t="shared" si="52"/>
        <v>153.25</v>
      </c>
      <c r="D303" t="str">
        <f t="shared" si="53"/>
        <v/>
      </c>
      <c r="E303" s="169" t="str">
        <f>IF(OR(A303="",B303="",C303=""),"eine der Spalten BAB, FR, km leer?",CONCATENATE(VLOOKUP(VALUE(I303),[1]Grundlage!$A$1:$B$14,2,0),IF(LEFT(A303,1)="A",IF(VALUE(MID(A303,2,10))&lt;10,"A00"&amp;VALUE(MID(A303,2,10)),IF(VALUE(MID(A303,2,10))&lt;100,"A0"&amp;VALUE(MID(A303,2,10)),IF(VALUE(MID(A303,2,10))&lt;1000,"A"&amp;VALUE(MID(A303,2,10))))),IF(LEFT(A303,1)="B",IF(VALUE(MID(A303,2,10))&lt;10,"B00"&amp;VALUE(MID(A303,2,10)),IF(VALUE(MID(A303,2,10))&lt;100,"B0"&amp;VALUE(MID(A303,2,10)),IF(VALUE(MID(A303,2,10))&lt;1000,"B"&amp;VALUE(MID(A303,2,10))))),A303)),"_",IF(NOT(OR(C303=1000,C303&gt;1000)),MID(TEXT((C303+1000)*1000,0),2,6),"keine Meter in Spalte km!!!"),IF(VALUE(I303)=1,CONCATENATE("_",VLOOKUP(IF(V303&gt;0,V303,J303),[1]Grundlage!$A$20:$B$181,2,0)),CONCATENATE("_",B303))))</f>
        <v>SSt_A096_153250_O</v>
      </c>
      <c r="F303" s="2" t="s">
        <v>669</v>
      </c>
      <c r="G303" s="167">
        <f t="shared" si="60"/>
        <v>37576</v>
      </c>
      <c r="H303">
        <f t="shared" si="61"/>
        <v>98</v>
      </c>
      <c r="I303" s="2">
        <f t="shared" si="54"/>
        <v>0</v>
      </c>
      <c r="J303" s="2">
        <f t="shared" si="55"/>
        <v>0</v>
      </c>
      <c r="K303" s="2">
        <v>207</v>
      </c>
      <c r="L303" s="2">
        <f t="shared" si="56"/>
        <v>1</v>
      </c>
      <c r="M303" s="2" t="str">
        <f t="shared" si="57"/>
        <v/>
      </c>
      <c r="N303" s="2" t="str">
        <f t="shared" si="58"/>
        <v/>
      </c>
      <c r="O303" s="2"/>
      <c r="P303" s="168" t="str">
        <f t="shared" si="59"/>
        <v/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1"/>
      <c r="AT303" s="19"/>
      <c r="AU303" s="14"/>
      <c r="AV303" s="14"/>
      <c r="AY303" s="19"/>
      <c r="AZ303" s="14"/>
      <c r="BA303" s="34"/>
      <c r="BC303" s="25"/>
      <c r="BD303" s="25"/>
    </row>
    <row r="304" spans="1:58" s="13" customFormat="1" ht="14.25" x14ac:dyDescent="0.2">
      <c r="A304" t="str">
        <f t="shared" si="51"/>
        <v>A 95</v>
      </c>
      <c r="B304" s="2" t="s">
        <v>656</v>
      </c>
      <c r="C304">
        <v>4.5999999999999996</v>
      </c>
      <c r="D304" t="str">
        <f t="shared" si="53"/>
        <v>SS</v>
      </c>
      <c r="E304" s="169" t="str">
        <f>IF(OR(A304="",B304="",C304=""),"eine der Spalten BAB, FR, km leer?",CONCATENATE(VLOOKUP(VALUE(I304),[1]Grundlage!$A$1:$B$14,2,0),IF(LEFT(A304,1)="A",IF(VALUE(MID(A304,2,10))&lt;10,"A00"&amp;VALUE(MID(A304,2,10)),IF(VALUE(MID(A304,2,10))&lt;100,"A0"&amp;VALUE(MID(A304,2,10)),IF(VALUE(MID(A304,2,10))&lt;1000,"A"&amp;VALUE(MID(A304,2,10))))),IF(LEFT(A304,1)="B",IF(VALUE(MID(A304,2,10))&lt;10,"B00"&amp;VALUE(MID(A304,2,10)),IF(VALUE(MID(A304,2,10))&lt;100,"B0"&amp;VALUE(MID(A304,2,10)),IF(VALUE(MID(A304,2,10))&lt;1000,"B"&amp;VALUE(MID(A304,2,10))))),A304)),"_",IF(NOT(OR(C304=1000,C304&gt;1000)),MID(TEXT((C304+1000)*1000,0),2,6),"keine Meter in Spalte km!!!"),IF(VALUE(I304)=1,CONCATENATE("_",VLOOKUP(IF(V304&gt;0,V304,J304),[1]Grundlage!$A$20:$B$181,2,0)),CONCATENATE("_",B304))))</f>
        <v>SSt_A095_004600_N</v>
      </c>
      <c r="F304" s="2" t="s">
        <v>364</v>
      </c>
      <c r="G304" s="167">
        <f t="shared" si="60"/>
        <v>37133</v>
      </c>
      <c r="H304">
        <f t="shared" si="61"/>
        <v>136</v>
      </c>
      <c r="I304" s="2">
        <f t="shared" si="54"/>
        <v>254</v>
      </c>
      <c r="J304" s="2">
        <f t="shared" si="55"/>
        <v>0</v>
      </c>
      <c r="K304" s="2">
        <v>207</v>
      </c>
      <c r="L304" s="2">
        <f t="shared" si="56"/>
        <v>10</v>
      </c>
      <c r="M304" s="2" t="str">
        <f t="shared" si="57"/>
        <v/>
      </c>
      <c r="N304" s="2" t="str">
        <f t="shared" si="58"/>
        <v/>
      </c>
      <c r="O304" s="2"/>
      <c r="P304" s="168" t="str">
        <f t="shared" si="59"/>
        <v/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94" t="s">
        <v>377</v>
      </c>
      <c r="AJ304" s="92" t="s">
        <v>19</v>
      </c>
      <c r="AK304" s="92" t="s">
        <v>365</v>
      </c>
      <c r="AL304" s="92" t="s">
        <v>383</v>
      </c>
      <c r="AM304" s="92" t="s">
        <v>392</v>
      </c>
      <c r="AN304" s="92" t="s">
        <v>391</v>
      </c>
      <c r="AO304" s="92">
        <v>7200</v>
      </c>
      <c r="AP304" s="94">
        <v>9506184</v>
      </c>
      <c r="AQ304" s="94">
        <v>91</v>
      </c>
      <c r="AR304" s="94" t="s">
        <v>80</v>
      </c>
      <c r="AS304" s="94">
        <v>88</v>
      </c>
      <c r="AT304" s="92"/>
      <c r="AU304" s="92"/>
      <c r="AV304" s="92"/>
      <c r="AW304" s="92"/>
      <c r="AX304" s="92">
        <v>10</v>
      </c>
      <c r="AY304" s="92"/>
      <c r="AZ304" s="92"/>
      <c r="BA304" s="92"/>
      <c r="BB304" s="95" t="s">
        <v>364</v>
      </c>
      <c r="BC304" s="98"/>
      <c r="BD304" s="99" t="s">
        <v>163</v>
      </c>
      <c r="BE304" s="97" t="s">
        <v>50</v>
      </c>
      <c r="BF304" s="13" t="s">
        <v>451</v>
      </c>
    </row>
    <row r="305" spans="1:58" s="13" customFormat="1" ht="14.25" x14ac:dyDescent="0.2">
      <c r="A305" t="str">
        <f t="shared" si="51"/>
        <v>A 95</v>
      </c>
      <c r="B305" s="2" t="s">
        <v>656</v>
      </c>
      <c r="C305">
        <f t="shared" si="52"/>
        <v>4.5999999999999996</v>
      </c>
      <c r="D305" t="str">
        <f t="shared" si="53"/>
        <v>UFD</v>
      </c>
      <c r="E305" s="169" t="str">
        <f>IF(OR(A305="",B305="",C305=""),"eine der Spalten BAB, FR, km leer?",CONCATENATE(VLOOKUP(VALUE(I305),[1]Grundlage!$A$1:$B$14,2,0),IF(LEFT(A305,1)="A",IF(VALUE(MID(A305,2,10))&lt;10,"A00"&amp;VALUE(MID(A305,2,10)),IF(VALUE(MID(A305,2,10))&lt;100,"A0"&amp;VALUE(MID(A305,2,10)),IF(VALUE(MID(A305,2,10))&lt;1000,"A"&amp;VALUE(MID(A305,2,10))))),IF(LEFT(A305,1)="B",IF(VALUE(MID(A305,2,10))&lt;10,"B00"&amp;VALUE(MID(A305,2,10)),IF(VALUE(MID(A305,2,10))&lt;100,"B0"&amp;VALUE(MID(A305,2,10)),IF(VALUE(MID(A305,2,10))&lt;1000,"B"&amp;VALUE(MID(A305,2,10))))),A305)),"_",IF(NOT(OR(C305=1000,C305&gt;1000)),MID(TEXT((C305+1000)*1000,0),2,6),"keine Meter in Spalte km!!!"),IF(VALUE(I305)=1,CONCATENATE("_",VLOOKUP(IF(V305&gt;0,V305,J305),[1]Grundlage!$A$20:$B$181,2,0)),CONCATENATE("_",B305))))</f>
        <v>UQ_A095_004600_N</v>
      </c>
      <c r="F305" s="2" t="s">
        <v>269</v>
      </c>
      <c r="G305" s="167">
        <f t="shared" si="60"/>
        <v>37133</v>
      </c>
      <c r="H305">
        <f t="shared" si="61"/>
        <v>136</v>
      </c>
      <c r="I305" s="2">
        <f t="shared" si="54"/>
        <v>3</v>
      </c>
      <c r="J305" s="2">
        <f t="shared" si="55"/>
        <v>6</v>
      </c>
      <c r="K305" s="2">
        <v>207</v>
      </c>
      <c r="L305" s="2">
        <f t="shared" si="56"/>
        <v>10</v>
      </c>
      <c r="M305" s="2">
        <f t="shared" si="57"/>
        <v>1</v>
      </c>
      <c r="N305" s="2">
        <f t="shared" si="58"/>
        <v>1</v>
      </c>
      <c r="O305" s="2"/>
      <c r="P305" s="168">
        <f t="shared" si="59"/>
        <v>71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1"/>
      <c r="AP305" s="77"/>
      <c r="AQ305" s="77"/>
      <c r="AR305" s="77"/>
      <c r="AS305" s="77"/>
      <c r="AT305" s="19">
        <v>3</v>
      </c>
      <c r="AU305" s="14">
        <v>6</v>
      </c>
      <c r="AV305" s="27">
        <v>6</v>
      </c>
      <c r="AW305" s="19"/>
      <c r="AX305" s="19"/>
      <c r="AY305" s="19">
        <v>1</v>
      </c>
      <c r="AZ305" s="14">
        <v>1</v>
      </c>
      <c r="BA305" s="27">
        <v>1</v>
      </c>
      <c r="BB305" s="13" t="s">
        <v>269</v>
      </c>
      <c r="BC305" s="25"/>
      <c r="BD305" s="91" t="s">
        <v>383</v>
      </c>
      <c r="BF305" s="2" t="s">
        <v>440</v>
      </c>
    </row>
    <row r="306" spans="1:58" s="13" customFormat="1" ht="14.25" x14ac:dyDescent="0.2">
      <c r="A306" t="str">
        <f t="shared" si="51"/>
        <v>A 95</v>
      </c>
      <c r="B306" s="2" t="s">
        <v>656</v>
      </c>
      <c r="C306">
        <f t="shared" si="52"/>
        <v>4.5999999999999996</v>
      </c>
      <c r="D306" t="str">
        <f t="shared" si="53"/>
        <v>UFD</v>
      </c>
      <c r="E306" s="169" t="str">
        <f>IF(OR(A306="",B306="",C306=""),"eine der Spalten BAB, FR, km leer?",CONCATENATE(VLOOKUP(VALUE(I306),[1]Grundlage!$A$1:$B$14,2,0),IF(LEFT(A306,1)="A",IF(VALUE(MID(A306,2,10))&lt;10,"A00"&amp;VALUE(MID(A306,2,10)),IF(VALUE(MID(A306,2,10))&lt;100,"A0"&amp;VALUE(MID(A306,2,10)),IF(VALUE(MID(A306,2,10))&lt;1000,"A"&amp;VALUE(MID(A306,2,10))))),IF(LEFT(A306,1)="B",IF(VALUE(MID(A306,2,10))&lt;10,"B00"&amp;VALUE(MID(A306,2,10)),IF(VALUE(MID(A306,2,10))&lt;100,"B0"&amp;VALUE(MID(A306,2,10)),IF(VALUE(MID(A306,2,10))&lt;1000,"B"&amp;VALUE(MID(A306,2,10))))),A306)),"_",IF(NOT(OR(C306=1000,C306&gt;1000)),MID(TEXT((C306+1000)*1000,0),2,6),"keine Meter in Spalte km!!!"),IF(VALUE(I306)=1,CONCATENATE("_",VLOOKUP(IF(V306&gt;0,V306,J306),[1]Grundlage!$A$20:$B$181,2,0)),CONCATENATE("_",B306))))</f>
        <v>UQ_A095_004600_N</v>
      </c>
      <c r="F306" s="2" t="s">
        <v>270</v>
      </c>
      <c r="G306" s="167">
        <f t="shared" si="60"/>
        <v>37133</v>
      </c>
      <c r="H306">
        <f t="shared" si="61"/>
        <v>136</v>
      </c>
      <c r="I306" s="2">
        <f t="shared" si="54"/>
        <v>3</v>
      </c>
      <c r="J306" s="2">
        <f t="shared" si="55"/>
        <v>11</v>
      </c>
      <c r="K306" s="2">
        <v>207</v>
      </c>
      <c r="L306" s="2">
        <f t="shared" si="56"/>
        <v>10</v>
      </c>
      <c r="M306" s="2">
        <f t="shared" si="57"/>
        <v>1</v>
      </c>
      <c r="N306" s="2">
        <f t="shared" si="58"/>
        <v>2</v>
      </c>
      <c r="O306" s="2"/>
      <c r="P306" s="168">
        <f t="shared" si="59"/>
        <v>70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1"/>
      <c r="AT306" s="19">
        <v>3</v>
      </c>
      <c r="AU306" s="14">
        <v>11</v>
      </c>
      <c r="AV306" s="14" t="s">
        <v>78</v>
      </c>
      <c r="AY306" s="19">
        <v>1</v>
      </c>
      <c r="AZ306" s="14">
        <v>2</v>
      </c>
      <c r="BA306" s="14">
        <v>2</v>
      </c>
      <c r="BB306" s="13" t="s">
        <v>270</v>
      </c>
      <c r="BC306" s="25"/>
      <c r="BD306" s="91" t="s">
        <v>382</v>
      </c>
      <c r="BF306" s="2" t="s">
        <v>478</v>
      </c>
    </row>
    <row r="307" spans="1:58" s="13" customFormat="1" ht="14.25" x14ac:dyDescent="0.2">
      <c r="A307" t="str">
        <f t="shared" si="51"/>
        <v>A 95</v>
      </c>
      <c r="B307" s="2" t="s">
        <v>656</v>
      </c>
      <c r="C307">
        <f t="shared" si="52"/>
        <v>4.5999999999999996</v>
      </c>
      <c r="D307" t="str">
        <f t="shared" si="53"/>
        <v>UFD</v>
      </c>
      <c r="E307" s="169" t="str">
        <f>IF(OR(A307="",B307="",C307=""),"eine der Spalten BAB, FR, km leer?",CONCATENATE(VLOOKUP(VALUE(I307),[1]Grundlage!$A$1:$B$14,2,0),IF(LEFT(A307,1)="A",IF(VALUE(MID(A307,2,10))&lt;10,"A00"&amp;VALUE(MID(A307,2,10)),IF(VALUE(MID(A307,2,10))&lt;100,"A0"&amp;VALUE(MID(A307,2,10)),IF(VALUE(MID(A307,2,10))&lt;1000,"A"&amp;VALUE(MID(A307,2,10))))),IF(LEFT(A307,1)="B",IF(VALUE(MID(A307,2,10))&lt;10,"B00"&amp;VALUE(MID(A307,2,10)),IF(VALUE(MID(A307,2,10))&lt;100,"B0"&amp;VALUE(MID(A307,2,10)),IF(VALUE(MID(A307,2,10))&lt;1000,"B"&amp;VALUE(MID(A307,2,10))))),A307)),"_",IF(NOT(OR(C307=1000,C307&gt;1000)),MID(TEXT((C307+1000)*1000,0),2,6),"keine Meter in Spalte km!!!"),IF(VALUE(I307)=1,CONCATENATE("_",VLOOKUP(IF(V307&gt;0,V307,J307),[1]Grundlage!$A$20:$B$181,2,0)),CONCATENATE("_",B307))))</f>
        <v>UQ_A095_004600_N</v>
      </c>
      <c r="F307" s="2" t="s">
        <v>25</v>
      </c>
      <c r="G307" s="167">
        <f t="shared" si="60"/>
        <v>37133</v>
      </c>
      <c r="H307">
        <f t="shared" si="61"/>
        <v>136</v>
      </c>
      <c r="I307" s="2">
        <f t="shared" si="54"/>
        <v>3</v>
      </c>
      <c r="J307" s="2">
        <f t="shared" si="55"/>
        <v>12</v>
      </c>
      <c r="K307" s="2">
        <v>207</v>
      </c>
      <c r="L307" s="2">
        <f t="shared" si="56"/>
        <v>10</v>
      </c>
      <c r="M307" s="2">
        <f t="shared" si="57"/>
        <v>1</v>
      </c>
      <c r="N307" s="2">
        <f t="shared" si="58"/>
        <v>3</v>
      </c>
      <c r="O307" s="2"/>
      <c r="P307" s="168">
        <f t="shared" si="59"/>
        <v>48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1"/>
      <c r="AT307" s="19">
        <v>3</v>
      </c>
      <c r="AU307" s="14">
        <v>12</v>
      </c>
      <c r="AV307" s="14" t="s">
        <v>79</v>
      </c>
      <c r="AY307" s="19">
        <v>1</v>
      </c>
      <c r="AZ307" s="14">
        <v>3</v>
      </c>
      <c r="BA307" s="14">
        <v>3</v>
      </c>
      <c r="BB307" s="13" t="s">
        <v>25</v>
      </c>
      <c r="BC307" s="25"/>
      <c r="BD307" s="25"/>
      <c r="BF307" s="13" t="s">
        <v>441</v>
      </c>
    </row>
    <row r="308" spans="1:58" s="13" customFormat="1" ht="14.25" x14ac:dyDescent="0.2">
      <c r="A308" t="str">
        <f t="shared" si="51"/>
        <v>A 95</v>
      </c>
      <c r="B308" s="2" t="s">
        <v>656</v>
      </c>
      <c r="C308">
        <f t="shared" si="52"/>
        <v>4.5999999999999996</v>
      </c>
      <c r="D308" t="str">
        <f t="shared" si="53"/>
        <v>UFD</v>
      </c>
      <c r="E308" s="169" t="str">
        <f>IF(OR(A308="",B308="",C308=""),"eine der Spalten BAB, FR, km leer?",CONCATENATE(VLOOKUP(VALUE(I308),[1]Grundlage!$A$1:$B$14,2,0),IF(LEFT(A308,1)="A",IF(VALUE(MID(A308,2,10))&lt;10,"A00"&amp;VALUE(MID(A308,2,10)),IF(VALUE(MID(A308,2,10))&lt;100,"A0"&amp;VALUE(MID(A308,2,10)),IF(VALUE(MID(A308,2,10))&lt;1000,"A"&amp;VALUE(MID(A308,2,10))))),IF(LEFT(A308,1)="B",IF(VALUE(MID(A308,2,10))&lt;10,"B00"&amp;VALUE(MID(A308,2,10)),IF(VALUE(MID(A308,2,10))&lt;100,"B0"&amp;VALUE(MID(A308,2,10)),IF(VALUE(MID(A308,2,10))&lt;1000,"B"&amp;VALUE(MID(A308,2,10))))),A308)),"_",IF(NOT(OR(C308=1000,C308&gt;1000)),MID(TEXT((C308+1000)*1000,0),2,6),"keine Meter in Spalte km!!!"),IF(VALUE(I308)=1,CONCATENATE("_",VLOOKUP(IF(V308&gt;0,V308,J308),[1]Grundlage!$A$20:$B$181,2,0)),CONCATENATE("_",B308))))</f>
        <v>UQ_A095_004600_N</v>
      </c>
      <c r="F308" s="2" t="s">
        <v>26</v>
      </c>
      <c r="G308" s="167">
        <f t="shared" si="60"/>
        <v>37133</v>
      </c>
      <c r="H308">
        <f t="shared" si="61"/>
        <v>136</v>
      </c>
      <c r="I308" s="2">
        <f t="shared" si="54"/>
        <v>3</v>
      </c>
      <c r="J308" s="2">
        <f t="shared" si="55"/>
        <v>13</v>
      </c>
      <c r="K308" s="2">
        <v>207</v>
      </c>
      <c r="L308" s="2">
        <f t="shared" si="56"/>
        <v>10</v>
      </c>
      <c r="M308" s="2">
        <f t="shared" si="57"/>
        <v>1</v>
      </c>
      <c r="N308" s="2">
        <f t="shared" si="58"/>
        <v>4</v>
      </c>
      <c r="O308" s="2"/>
      <c r="P308" s="168">
        <f t="shared" si="59"/>
        <v>55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1"/>
      <c r="AT308" s="19">
        <v>3</v>
      </c>
      <c r="AU308" s="14">
        <v>13</v>
      </c>
      <c r="AV308" s="14" t="s">
        <v>80</v>
      </c>
      <c r="AY308" s="19">
        <v>1</v>
      </c>
      <c r="AZ308" s="14">
        <v>4</v>
      </c>
      <c r="BA308" s="14">
        <v>4</v>
      </c>
      <c r="BB308" s="13" t="s">
        <v>26</v>
      </c>
      <c r="BC308" s="25"/>
      <c r="BD308" s="25"/>
      <c r="BF308" s="13" t="s">
        <v>442</v>
      </c>
    </row>
    <row r="309" spans="1:58" s="13" customFormat="1" ht="14.25" x14ac:dyDescent="0.2">
      <c r="A309" t="str">
        <f t="shared" si="51"/>
        <v>A 95</v>
      </c>
      <c r="B309" s="2" t="s">
        <v>656</v>
      </c>
      <c r="C309">
        <f t="shared" si="52"/>
        <v>4.5999999999999996</v>
      </c>
      <c r="D309" t="str">
        <f t="shared" si="53"/>
        <v>UFD</v>
      </c>
      <c r="E309" s="169" t="str">
        <f>IF(OR(A309="",B309="",C309=""),"eine der Spalten BAB, FR, km leer?",CONCATENATE(VLOOKUP(VALUE(I309),[1]Grundlage!$A$1:$B$14,2,0),IF(LEFT(A309,1)="A",IF(VALUE(MID(A309,2,10))&lt;10,"A00"&amp;VALUE(MID(A309,2,10)),IF(VALUE(MID(A309,2,10))&lt;100,"A0"&amp;VALUE(MID(A309,2,10)),IF(VALUE(MID(A309,2,10))&lt;1000,"A"&amp;VALUE(MID(A309,2,10))))),IF(LEFT(A309,1)="B",IF(VALUE(MID(A309,2,10))&lt;10,"B00"&amp;VALUE(MID(A309,2,10)),IF(VALUE(MID(A309,2,10))&lt;100,"B0"&amp;VALUE(MID(A309,2,10)),IF(VALUE(MID(A309,2,10))&lt;1000,"B"&amp;VALUE(MID(A309,2,10))))),A309)),"_",IF(NOT(OR(C309=1000,C309&gt;1000)),MID(TEXT((C309+1000)*1000,0),2,6),"keine Meter in Spalte km!!!"),IF(VALUE(I309)=1,CONCATENATE("_",VLOOKUP(IF(V309&gt;0,V309,J309),[1]Grundlage!$A$20:$B$181,2,0)),CONCATENATE("_",B309))))</f>
        <v>UQ_A095_004600_N</v>
      </c>
      <c r="F309" s="2" t="s">
        <v>27</v>
      </c>
      <c r="G309" s="167">
        <f t="shared" si="60"/>
        <v>37133</v>
      </c>
      <c r="H309">
        <f t="shared" si="61"/>
        <v>136</v>
      </c>
      <c r="I309" s="2">
        <f t="shared" si="54"/>
        <v>3</v>
      </c>
      <c r="J309" s="2">
        <f t="shared" si="55"/>
        <v>14</v>
      </c>
      <c r="K309" s="2">
        <v>207</v>
      </c>
      <c r="L309" s="2">
        <f t="shared" si="56"/>
        <v>10</v>
      </c>
      <c r="M309" s="2">
        <f t="shared" si="57"/>
        <v>1</v>
      </c>
      <c r="N309" s="2">
        <f t="shared" si="58"/>
        <v>5</v>
      </c>
      <c r="O309" s="2"/>
      <c r="P309" s="168">
        <f t="shared" si="59"/>
        <v>66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1"/>
      <c r="AT309" s="19">
        <v>3</v>
      </c>
      <c r="AU309" s="14">
        <v>14</v>
      </c>
      <c r="AV309" s="14" t="s">
        <v>81</v>
      </c>
      <c r="AY309" s="19">
        <v>1</v>
      </c>
      <c r="AZ309" s="14">
        <v>5</v>
      </c>
      <c r="BA309" s="14">
        <v>5</v>
      </c>
      <c r="BB309" s="13" t="s">
        <v>27</v>
      </c>
      <c r="BC309" s="25"/>
      <c r="BD309" s="25"/>
      <c r="BF309" s="13" t="s">
        <v>443</v>
      </c>
    </row>
    <row r="310" spans="1:58" s="13" customFormat="1" ht="14.25" x14ac:dyDescent="0.2">
      <c r="A310" t="str">
        <f t="shared" si="51"/>
        <v>A 95</v>
      </c>
      <c r="B310" s="2" t="s">
        <v>656</v>
      </c>
      <c r="C310">
        <f t="shared" si="52"/>
        <v>4.5999999999999996</v>
      </c>
      <c r="D310" t="str">
        <f t="shared" si="53"/>
        <v>UFD</v>
      </c>
      <c r="E310" s="169" t="str">
        <f>IF(OR(A310="",B310="",C310=""),"eine der Spalten BAB, FR, km leer?",CONCATENATE(VLOOKUP(VALUE(I310),[1]Grundlage!$A$1:$B$14,2,0),IF(LEFT(A310,1)="A",IF(VALUE(MID(A310,2,10))&lt;10,"A00"&amp;VALUE(MID(A310,2,10)),IF(VALUE(MID(A310,2,10))&lt;100,"A0"&amp;VALUE(MID(A310,2,10)),IF(VALUE(MID(A310,2,10))&lt;1000,"A"&amp;VALUE(MID(A310,2,10))))),IF(LEFT(A310,1)="B",IF(VALUE(MID(A310,2,10))&lt;10,"B00"&amp;VALUE(MID(A310,2,10)),IF(VALUE(MID(A310,2,10))&lt;100,"B0"&amp;VALUE(MID(A310,2,10)),IF(VALUE(MID(A310,2,10))&lt;1000,"B"&amp;VALUE(MID(A310,2,10))))),A310)),"_",IF(NOT(OR(C310=1000,C310&gt;1000)),MID(TEXT((C310+1000)*1000,0),2,6),"keine Meter in Spalte km!!!"),IF(VALUE(I310)=1,CONCATENATE("_",VLOOKUP(IF(V310&gt;0,V310,J310),[1]Grundlage!$A$20:$B$181,2,0)),CONCATENATE("_",B310))))</f>
        <v>UQ_A095_004600_N</v>
      </c>
      <c r="F310" s="2" t="s">
        <v>28</v>
      </c>
      <c r="G310" s="167">
        <f t="shared" si="60"/>
        <v>37133</v>
      </c>
      <c r="H310">
        <f t="shared" si="61"/>
        <v>136</v>
      </c>
      <c r="I310" s="2">
        <f t="shared" si="54"/>
        <v>3</v>
      </c>
      <c r="J310" s="2">
        <f t="shared" si="55"/>
        <v>15</v>
      </c>
      <c r="K310" s="2">
        <v>207</v>
      </c>
      <c r="L310" s="2">
        <f t="shared" si="56"/>
        <v>10</v>
      </c>
      <c r="M310" s="2">
        <f t="shared" si="57"/>
        <v>1</v>
      </c>
      <c r="N310" s="2">
        <f t="shared" si="58"/>
        <v>6</v>
      </c>
      <c r="O310" s="2"/>
      <c r="P310" s="168">
        <f t="shared" si="59"/>
        <v>65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1"/>
      <c r="AT310" s="19">
        <v>3</v>
      </c>
      <c r="AU310" s="14">
        <v>15</v>
      </c>
      <c r="AV310" s="14" t="s">
        <v>82</v>
      </c>
      <c r="AY310" s="19">
        <v>1</v>
      </c>
      <c r="AZ310" s="14">
        <v>6</v>
      </c>
      <c r="BA310" s="14">
        <v>6</v>
      </c>
      <c r="BB310" s="13" t="s">
        <v>28</v>
      </c>
      <c r="BC310" s="25"/>
      <c r="BD310" s="25"/>
      <c r="BF310" s="13" t="s">
        <v>482</v>
      </c>
    </row>
    <row r="311" spans="1:58" s="13" customFormat="1" ht="14.25" x14ac:dyDescent="0.2">
      <c r="A311" t="str">
        <f t="shared" si="51"/>
        <v>A 95</v>
      </c>
      <c r="B311" s="2" t="s">
        <v>656</v>
      </c>
      <c r="C311">
        <f t="shared" si="52"/>
        <v>4.5999999999999996</v>
      </c>
      <c r="D311" t="str">
        <f t="shared" si="53"/>
        <v>UFD</v>
      </c>
      <c r="E311" s="169" t="str">
        <f>IF(OR(A311="",B311="",C311=""),"eine der Spalten BAB, FR, km leer?",CONCATENATE(VLOOKUP(VALUE(I311),[1]Grundlage!$A$1:$B$14,2,0),IF(LEFT(A311,1)="A",IF(VALUE(MID(A311,2,10))&lt;10,"A00"&amp;VALUE(MID(A311,2,10)),IF(VALUE(MID(A311,2,10))&lt;100,"A0"&amp;VALUE(MID(A311,2,10)),IF(VALUE(MID(A311,2,10))&lt;1000,"A"&amp;VALUE(MID(A311,2,10))))),IF(LEFT(A311,1)="B",IF(VALUE(MID(A311,2,10))&lt;10,"B00"&amp;VALUE(MID(A311,2,10)),IF(VALUE(MID(A311,2,10))&lt;100,"B0"&amp;VALUE(MID(A311,2,10)),IF(VALUE(MID(A311,2,10))&lt;1000,"B"&amp;VALUE(MID(A311,2,10))))),A311)),"_",IF(NOT(OR(C311=1000,C311&gt;1000)),MID(TEXT((C311+1000)*1000,0),2,6),"keine Meter in Spalte km!!!"),IF(VALUE(I311)=1,CONCATENATE("_",VLOOKUP(IF(V311&gt;0,V311,J311),[1]Grundlage!$A$20:$B$181,2,0)),CONCATENATE("_",B311))))</f>
        <v>UQ_A095_004600_N</v>
      </c>
      <c r="F311" s="2" t="s">
        <v>29</v>
      </c>
      <c r="G311" s="167">
        <f t="shared" si="60"/>
        <v>37133</v>
      </c>
      <c r="H311">
        <f t="shared" si="61"/>
        <v>136</v>
      </c>
      <c r="I311" s="2">
        <f t="shared" si="54"/>
        <v>3</v>
      </c>
      <c r="J311" s="2">
        <f t="shared" si="55"/>
        <v>19</v>
      </c>
      <c r="K311" s="2">
        <v>207</v>
      </c>
      <c r="L311" s="2">
        <f t="shared" si="56"/>
        <v>10</v>
      </c>
      <c r="M311" s="2">
        <f t="shared" si="57"/>
        <v>1</v>
      </c>
      <c r="N311" s="2">
        <f t="shared" si="58"/>
        <v>7</v>
      </c>
      <c r="O311" s="2"/>
      <c r="P311" s="168">
        <f t="shared" si="59"/>
        <v>49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1"/>
      <c r="AT311" s="19">
        <v>3</v>
      </c>
      <c r="AU311" s="14">
        <v>19</v>
      </c>
      <c r="AV311" s="14">
        <v>13</v>
      </c>
      <c r="AY311" s="19">
        <v>1</v>
      </c>
      <c r="AZ311" s="14">
        <v>7</v>
      </c>
      <c r="BA311" s="14">
        <v>7</v>
      </c>
      <c r="BB311" s="13" t="s">
        <v>29</v>
      </c>
      <c r="BC311" s="25"/>
      <c r="BD311" s="25"/>
      <c r="BF311" s="13" t="s">
        <v>479</v>
      </c>
    </row>
    <row r="312" spans="1:58" s="13" customFormat="1" ht="14.25" x14ac:dyDescent="0.2">
      <c r="A312" t="str">
        <f t="shared" si="51"/>
        <v>A 95</v>
      </c>
      <c r="B312" s="2" t="s">
        <v>656</v>
      </c>
      <c r="C312">
        <f t="shared" si="52"/>
        <v>4.5999999999999996</v>
      </c>
      <c r="D312" t="str">
        <f t="shared" si="53"/>
        <v>UFD</v>
      </c>
      <c r="E312" s="169" t="str">
        <f>IF(OR(A312="",B312="",C312=""),"eine der Spalten BAB, FR, km leer?",CONCATENATE(VLOOKUP(VALUE(I312),[1]Grundlage!$A$1:$B$14,2,0),IF(LEFT(A312,1)="A",IF(VALUE(MID(A312,2,10))&lt;10,"A00"&amp;VALUE(MID(A312,2,10)),IF(VALUE(MID(A312,2,10))&lt;100,"A0"&amp;VALUE(MID(A312,2,10)),IF(VALUE(MID(A312,2,10))&lt;1000,"A"&amp;VALUE(MID(A312,2,10))))),IF(LEFT(A312,1)="B",IF(VALUE(MID(A312,2,10))&lt;10,"B00"&amp;VALUE(MID(A312,2,10)),IF(VALUE(MID(A312,2,10))&lt;100,"B0"&amp;VALUE(MID(A312,2,10)),IF(VALUE(MID(A312,2,10))&lt;1000,"B"&amp;VALUE(MID(A312,2,10))))),A312)),"_",IF(NOT(OR(C312=1000,C312&gt;1000)),MID(TEXT((C312+1000)*1000,0),2,6),"keine Meter in Spalte km!!!"),IF(VALUE(I312)=1,CONCATENATE("_",VLOOKUP(IF(V312&gt;0,V312,J312),[1]Grundlage!$A$20:$B$181,2,0)),CONCATENATE("_",B312))))</f>
        <v>UQ_A095_004600_N</v>
      </c>
      <c r="F312" s="2" t="s">
        <v>30</v>
      </c>
      <c r="G312" s="167">
        <f t="shared" si="60"/>
        <v>37133</v>
      </c>
      <c r="H312">
        <f t="shared" si="61"/>
        <v>136</v>
      </c>
      <c r="I312" s="2">
        <f t="shared" si="54"/>
        <v>3</v>
      </c>
      <c r="J312" s="2">
        <f t="shared" si="55"/>
        <v>21</v>
      </c>
      <c r="K312" s="2">
        <v>207</v>
      </c>
      <c r="L312" s="2">
        <f t="shared" si="56"/>
        <v>10</v>
      </c>
      <c r="M312" s="2">
        <f t="shared" si="57"/>
        <v>1</v>
      </c>
      <c r="N312" s="2">
        <f t="shared" si="58"/>
        <v>8</v>
      </c>
      <c r="O312" s="2"/>
      <c r="P312" s="168">
        <f t="shared" si="59"/>
        <v>67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1"/>
      <c r="AT312" s="19">
        <v>3</v>
      </c>
      <c r="AU312" s="14">
        <v>21</v>
      </c>
      <c r="AV312" s="14">
        <v>15</v>
      </c>
      <c r="AY312" s="19">
        <v>1</v>
      </c>
      <c r="AZ312" s="14">
        <v>8</v>
      </c>
      <c r="BA312" s="14">
        <v>8</v>
      </c>
      <c r="BB312" s="13" t="s">
        <v>30</v>
      </c>
      <c r="BC312" s="25"/>
      <c r="BD312" s="25"/>
      <c r="BF312" s="13" t="s">
        <v>480</v>
      </c>
    </row>
    <row r="313" spans="1:58" s="13" customFormat="1" ht="14.25" x14ac:dyDescent="0.2">
      <c r="A313" t="str">
        <f t="shared" si="51"/>
        <v>A 95</v>
      </c>
      <c r="B313" s="2" t="s">
        <v>656</v>
      </c>
      <c r="C313">
        <f t="shared" si="52"/>
        <v>4.5999999999999996</v>
      </c>
      <c r="D313" t="str">
        <f t="shared" si="53"/>
        <v>UFD</v>
      </c>
      <c r="E313" s="169" t="str">
        <f>IF(OR(A313="",B313="",C313=""),"eine der Spalten BAB, FR, km leer?",CONCATENATE(VLOOKUP(VALUE(I313),[1]Grundlage!$A$1:$B$14,2,0),IF(LEFT(A313,1)="A",IF(VALUE(MID(A313,2,10))&lt;10,"A00"&amp;VALUE(MID(A313,2,10)),IF(VALUE(MID(A313,2,10))&lt;100,"A0"&amp;VALUE(MID(A313,2,10)),IF(VALUE(MID(A313,2,10))&lt;1000,"A"&amp;VALUE(MID(A313,2,10))))),IF(LEFT(A313,1)="B",IF(VALUE(MID(A313,2,10))&lt;10,"B00"&amp;VALUE(MID(A313,2,10)),IF(VALUE(MID(A313,2,10))&lt;100,"B0"&amp;VALUE(MID(A313,2,10)),IF(VALUE(MID(A313,2,10))&lt;1000,"B"&amp;VALUE(MID(A313,2,10))))),A313)),"_",IF(NOT(OR(C313=1000,C313&gt;1000)),MID(TEXT((C313+1000)*1000,0),2,6),"keine Meter in Spalte km!!!"),IF(VALUE(I313)=1,CONCATENATE("_",VLOOKUP(IF(V313&gt;0,V313,J313),[1]Grundlage!$A$20:$B$181,2,0)),CONCATENATE("_",B313))))</f>
        <v>UQ_A095_004600_N</v>
      </c>
      <c r="F313" s="2" t="s">
        <v>41</v>
      </c>
      <c r="G313" s="167">
        <f t="shared" si="60"/>
        <v>37133</v>
      </c>
      <c r="H313">
        <f t="shared" si="61"/>
        <v>136</v>
      </c>
      <c r="I313" s="2">
        <f t="shared" si="54"/>
        <v>3</v>
      </c>
      <c r="J313" s="2">
        <f t="shared" si="55"/>
        <v>24</v>
      </c>
      <c r="K313" s="2">
        <v>207</v>
      </c>
      <c r="L313" s="2">
        <f t="shared" si="56"/>
        <v>10</v>
      </c>
      <c r="M313" s="2">
        <f t="shared" si="57"/>
        <v>1</v>
      </c>
      <c r="N313" s="2">
        <f t="shared" si="58"/>
        <v>9</v>
      </c>
      <c r="O313" s="2"/>
      <c r="P313" s="168">
        <f t="shared" si="59"/>
        <v>69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1"/>
      <c r="AT313" s="19">
        <v>3</v>
      </c>
      <c r="AU313" s="14">
        <v>24</v>
      </c>
      <c r="AV313" s="14">
        <v>18</v>
      </c>
      <c r="AY313" s="19">
        <v>1</v>
      </c>
      <c r="AZ313" s="14">
        <v>9</v>
      </c>
      <c r="BA313" s="14">
        <v>9</v>
      </c>
      <c r="BB313" s="13" t="s">
        <v>41</v>
      </c>
      <c r="BC313" s="25"/>
      <c r="BD313" s="25"/>
      <c r="BF313" s="13" t="s">
        <v>465</v>
      </c>
    </row>
    <row r="314" spans="1:58" s="13" customFormat="1" ht="14.25" x14ac:dyDescent="0.2">
      <c r="A314" t="str">
        <f t="shared" si="51"/>
        <v>A 95</v>
      </c>
      <c r="B314" s="2" t="s">
        <v>656</v>
      </c>
      <c r="C314">
        <f t="shared" si="52"/>
        <v>4.5999999999999996</v>
      </c>
      <c r="D314" t="str">
        <f t="shared" si="53"/>
        <v>UFD</v>
      </c>
      <c r="E314" s="169" t="str">
        <f>IF(OR(A314="",B314="",C314=""),"eine der Spalten BAB, FR, km leer?",CONCATENATE(VLOOKUP(VALUE(I314),[1]Grundlage!$A$1:$B$14,2,0),IF(LEFT(A314,1)="A",IF(VALUE(MID(A314,2,10))&lt;10,"A00"&amp;VALUE(MID(A314,2,10)),IF(VALUE(MID(A314,2,10))&lt;100,"A0"&amp;VALUE(MID(A314,2,10)),IF(VALUE(MID(A314,2,10))&lt;1000,"A"&amp;VALUE(MID(A314,2,10))))),IF(LEFT(A314,1)="B",IF(VALUE(MID(A314,2,10))&lt;10,"B00"&amp;VALUE(MID(A314,2,10)),IF(VALUE(MID(A314,2,10))&lt;100,"B0"&amp;VALUE(MID(A314,2,10)),IF(VALUE(MID(A314,2,10))&lt;1000,"B"&amp;VALUE(MID(A314,2,10))))),A314)),"_",IF(NOT(OR(C314=1000,C314&gt;1000)),MID(TEXT((C314+1000)*1000,0),2,6),"keine Meter in Spalte km!!!"),IF(VALUE(I314)=1,CONCATENATE("_",VLOOKUP(IF(V314&gt;0,V314,J314),[1]Grundlage!$A$20:$B$181,2,0)),CONCATENATE("_",B314))))</f>
        <v>UQ_A095_004600_N</v>
      </c>
      <c r="F314" s="2" t="s">
        <v>271</v>
      </c>
      <c r="G314" s="167">
        <f t="shared" si="60"/>
        <v>37133</v>
      </c>
      <c r="H314">
        <f t="shared" si="61"/>
        <v>136</v>
      </c>
      <c r="I314" s="2">
        <f t="shared" si="54"/>
        <v>3</v>
      </c>
      <c r="J314" s="2">
        <f t="shared" si="55"/>
        <v>67</v>
      </c>
      <c r="K314" s="2">
        <v>207</v>
      </c>
      <c r="L314" s="2">
        <f t="shared" si="56"/>
        <v>10</v>
      </c>
      <c r="M314" s="2">
        <f t="shared" si="57"/>
        <v>1</v>
      </c>
      <c r="N314" s="2">
        <f t="shared" si="58"/>
        <v>10</v>
      </c>
      <c r="O314" s="2"/>
      <c r="P314" s="168">
        <f t="shared" si="59"/>
        <v>53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1"/>
      <c r="AT314" s="19">
        <v>3</v>
      </c>
      <c r="AU314" s="14">
        <v>67</v>
      </c>
      <c r="AV314" s="14">
        <v>43</v>
      </c>
      <c r="AY314" s="19">
        <v>1</v>
      </c>
      <c r="AZ314" s="14">
        <v>10</v>
      </c>
      <c r="BA314" s="34" t="s">
        <v>95</v>
      </c>
      <c r="BB314" s="13" t="s">
        <v>271</v>
      </c>
      <c r="BC314" s="25"/>
      <c r="BD314" s="25"/>
      <c r="BF314" s="13" t="s">
        <v>444</v>
      </c>
    </row>
    <row r="315" spans="1:58" s="13" customFormat="1" ht="14.25" x14ac:dyDescent="0.2">
      <c r="A315" t="str">
        <f t="shared" si="51"/>
        <v>A 95</v>
      </c>
      <c r="B315" s="2" t="s">
        <v>656</v>
      </c>
      <c r="C315">
        <f t="shared" si="52"/>
        <v>4.5999999999999996</v>
      </c>
      <c r="D315" t="str">
        <f t="shared" si="53"/>
        <v>UFD</v>
      </c>
      <c r="E315" s="169" t="str">
        <f>IF(OR(A315="",B315="",C315=""),"eine der Spalten BAB, FR, km leer?",CONCATENATE(VLOOKUP(VALUE(I315),[1]Grundlage!$A$1:$B$14,2,0),IF(LEFT(A315,1)="A",IF(VALUE(MID(A315,2,10))&lt;10,"A00"&amp;VALUE(MID(A315,2,10)),IF(VALUE(MID(A315,2,10))&lt;100,"A0"&amp;VALUE(MID(A315,2,10)),IF(VALUE(MID(A315,2,10))&lt;1000,"A"&amp;VALUE(MID(A315,2,10))))),IF(LEFT(A315,1)="B",IF(VALUE(MID(A315,2,10))&lt;10,"B00"&amp;VALUE(MID(A315,2,10)),IF(VALUE(MID(A315,2,10))&lt;100,"B0"&amp;VALUE(MID(A315,2,10)),IF(VALUE(MID(A315,2,10))&lt;1000,"B"&amp;VALUE(MID(A315,2,10))))),A315)),"_",IF(NOT(OR(C315=1000,C315&gt;1000)),MID(TEXT((C315+1000)*1000,0),2,6),"keine Meter in Spalte km!!!"),IF(VALUE(I315)=1,CONCATENATE("_",VLOOKUP(IF(V315&gt;0,V315,J315),[1]Grundlage!$A$20:$B$181,2,0)),CONCATENATE("_",B315))))</f>
        <v>UQ_A095_004600_N</v>
      </c>
      <c r="F315" s="2" t="s">
        <v>272</v>
      </c>
      <c r="G315" s="167">
        <f t="shared" si="60"/>
        <v>37133</v>
      </c>
      <c r="H315">
        <f t="shared" si="61"/>
        <v>136</v>
      </c>
      <c r="I315" s="2">
        <f t="shared" si="54"/>
        <v>3</v>
      </c>
      <c r="J315" s="2">
        <f t="shared" si="55"/>
        <v>82</v>
      </c>
      <c r="K315" s="2">
        <v>207</v>
      </c>
      <c r="L315" s="2">
        <f t="shared" si="56"/>
        <v>10</v>
      </c>
      <c r="M315" s="2">
        <f t="shared" si="57"/>
        <v>1</v>
      </c>
      <c r="N315" s="2">
        <f t="shared" si="58"/>
        <v>11</v>
      </c>
      <c r="O315" s="2"/>
      <c r="P315" s="168">
        <f t="shared" si="59"/>
        <v>72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1"/>
      <c r="AT315" s="19">
        <v>3</v>
      </c>
      <c r="AU315" s="14">
        <v>82</v>
      </c>
      <c r="AV315" s="14">
        <v>52</v>
      </c>
      <c r="AY315" s="19">
        <v>1</v>
      </c>
      <c r="AZ315" s="14">
        <v>11</v>
      </c>
      <c r="BA315" s="34" t="s">
        <v>78</v>
      </c>
      <c r="BB315" s="13" t="s">
        <v>272</v>
      </c>
      <c r="BC315" s="25"/>
      <c r="BD315" s="25"/>
      <c r="BF315" s="13" t="s">
        <v>481</v>
      </c>
    </row>
    <row r="316" spans="1:58" s="13" customFormat="1" ht="14.25" x14ac:dyDescent="0.2">
      <c r="A316" t="str">
        <f t="shared" si="51"/>
        <v>A 95</v>
      </c>
      <c r="B316" s="2"/>
      <c r="C316">
        <f t="shared" si="52"/>
        <v>4.5999999999999996</v>
      </c>
      <c r="D316" t="str">
        <f t="shared" si="53"/>
        <v/>
      </c>
      <c r="E316" s="169" t="str">
        <f>IF(OR(A316="",B316="",C316=""),"",CONCATENATE(VLOOKUP(VALUE(I316),[1]Grundlage!$A$1:$B$14,2,0),IF(LEFT(A316,1)="A",IF(VALUE(MID(A316,2,10))&lt;10,"A00"&amp;VALUE(MID(A316,2,10)),IF(VALUE(MID(A316,2,10))&lt;100,"A0"&amp;VALUE(MID(A316,2,10)),IF(VALUE(MID(A316,2,10))&lt;1000,"A"&amp;VALUE(MID(A316,2,10))))),IF(LEFT(A316,1)="B",IF(VALUE(MID(A316,2,10))&lt;10,"B00"&amp;VALUE(MID(A316,2,10)),IF(VALUE(MID(A316,2,10))&lt;100,"B0"&amp;VALUE(MID(A316,2,10)),IF(VALUE(MID(A316,2,10))&lt;1000,"B"&amp;VALUE(MID(A316,2,10))))),A316)),"_",IF(NOT(OR(C316=1000,C316&gt;1000)),MID(TEXT((C316+1000)*1000,0),2,6),"keine Meter in Spalte km!!!"),IF(VALUE(I316)=1,CONCATENATE("_",VLOOKUP(IF(V316&gt;0,V316,J316),[1]Grundlage!$A$20:$B$181,2,0)),CONCATENATE("_",B316))))</f>
        <v/>
      </c>
      <c r="F316" s="2" t="s">
        <v>669</v>
      </c>
      <c r="G316" s="167">
        <f t="shared" si="60"/>
        <v>37133</v>
      </c>
      <c r="H316">
        <f t="shared" si="61"/>
        <v>136</v>
      </c>
      <c r="I316" s="2">
        <f t="shared" si="54"/>
        <v>0</v>
      </c>
      <c r="J316" s="2">
        <f t="shared" si="55"/>
        <v>0</v>
      </c>
      <c r="K316" s="2">
        <v>207</v>
      </c>
      <c r="L316" s="2">
        <f t="shared" si="56"/>
        <v>10</v>
      </c>
      <c r="M316" s="2" t="str">
        <f t="shared" si="57"/>
        <v/>
      </c>
      <c r="N316" s="2" t="str">
        <f t="shared" si="58"/>
        <v/>
      </c>
      <c r="O316" s="2"/>
      <c r="P316" s="168" t="str">
        <f t="shared" si="59"/>
        <v/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1"/>
      <c r="AT316" s="19"/>
      <c r="AU316" s="14"/>
      <c r="AV316" s="14"/>
      <c r="AY316" s="19"/>
      <c r="AZ316" s="14"/>
      <c r="BA316" s="34"/>
      <c r="BC316" s="25"/>
      <c r="BD316" s="25"/>
    </row>
    <row r="317" spans="1:58" ht="14.25" x14ac:dyDescent="0.2">
      <c r="A317" t="str">
        <f t="shared" si="51"/>
        <v>A952</v>
      </c>
      <c r="B317" s="2" t="s">
        <v>656</v>
      </c>
      <c r="C317">
        <f t="shared" si="52"/>
        <v>2</v>
      </c>
      <c r="D317" t="str">
        <f t="shared" si="53"/>
        <v>SS</v>
      </c>
      <c r="E317" s="169" t="str">
        <f>IF(OR(A317="",B317="",C317=""),"eine der Spalten BAB, FR, km leer?",CONCATENATE(VLOOKUP(VALUE(I317),[1]Grundlage!$A$1:$B$14,2,0),IF(LEFT(A317,1)="A",IF(VALUE(MID(A317,2,10))&lt;10,"A00"&amp;VALUE(MID(A317,2,10)),IF(VALUE(MID(A317,2,10))&lt;100,"A0"&amp;VALUE(MID(A317,2,10)),IF(VALUE(MID(A317,2,10))&lt;1000,"A"&amp;VALUE(MID(A317,2,10))))),IF(LEFT(A317,1)="B",IF(VALUE(MID(A317,2,10))&lt;10,"B00"&amp;VALUE(MID(A317,2,10)),IF(VALUE(MID(A317,2,10))&lt;100,"B0"&amp;VALUE(MID(A317,2,10)),IF(VALUE(MID(A317,2,10))&lt;1000,"B"&amp;VALUE(MID(A317,2,10))))),A317)),"_",IF(NOT(OR(C317=1000,C317&gt;1000)),MID(TEXT((C317+1000)*1000,0),2,6),"keine Meter in Spalte km!!!"),IF(VALUE(I317)=1,CONCATENATE("_",VLOOKUP(IF(V317&gt;0,V317,J317),[1]Grundlage!$A$20:$B$181,2,0)),CONCATENATE("_",B317))))</f>
        <v>SSt_A952_002000_N</v>
      </c>
      <c r="F317" s="2" t="s">
        <v>50</v>
      </c>
      <c r="G317" s="167">
        <f t="shared" si="60"/>
        <v>37217</v>
      </c>
      <c r="H317">
        <f t="shared" si="61"/>
        <v>80</v>
      </c>
      <c r="I317" s="2">
        <f t="shared" si="54"/>
        <v>254</v>
      </c>
      <c r="J317" s="2">
        <f t="shared" si="55"/>
        <v>0</v>
      </c>
      <c r="K317" s="2">
        <v>207</v>
      </c>
      <c r="L317" s="2">
        <f t="shared" si="56"/>
        <v>2</v>
      </c>
      <c r="M317" s="2" t="str">
        <f t="shared" si="57"/>
        <v/>
      </c>
      <c r="N317" s="2" t="str">
        <f t="shared" si="58"/>
        <v/>
      </c>
      <c r="P317" s="168" t="str">
        <f t="shared" si="59"/>
        <v/>
      </c>
      <c r="AI317" s="35">
        <v>2</v>
      </c>
      <c r="AJ317" s="36" t="s">
        <v>19</v>
      </c>
      <c r="AK317" s="36" t="s">
        <v>53</v>
      </c>
      <c r="AL317" s="36"/>
      <c r="AM317" s="36"/>
      <c r="AN317" s="36"/>
      <c r="AO317" s="36"/>
      <c r="AP317" s="42">
        <v>9527632</v>
      </c>
      <c r="AQ317" s="42">
        <v>91</v>
      </c>
      <c r="AR317" s="42">
        <v>61</v>
      </c>
      <c r="AS317" s="42">
        <v>50</v>
      </c>
      <c r="AT317" s="36"/>
      <c r="AU317" s="36"/>
      <c r="AV317" s="36"/>
      <c r="AW317" s="36"/>
      <c r="AX317" s="36">
        <v>2</v>
      </c>
      <c r="AY317" s="36"/>
      <c r="AZ317" s="36"/>
      <c r="BA317" s="36"/>
      <c r="BB317" s="37" t="s">
        <v>50</v>
      </c>
      <c r="BC317" s="38"/>
      <c r="BD317" s="99" t="s">
        <v>163</v>
      </c>
      <c r="BE317" s="39" t="s">
        <v>50</v>
      </c>
      <c r="BF317" s="2" t="s">
        <v>451</v>
      </c>
    </row>
    <row r="318" spans="1:58" ht="14.25" x14ac:dyDescent="0.2">
      <c r="A318" t="str">
        <f t="shared" si="51"/>
        <v>A952</v>
      </c>
      <c r="B318" s="2" t="s">
        <v>656</v>
      </c>
      <c r="C318">
        <f t="shared" si="52"/>
        <v>2</v>
      </c>
      <c r="D318" t="str">
        <f t="shared" si="53"/>
        <v>UFD</v>
      </c>
      <c r="E318" s="169" t="str">
        <f>IF(OR(A318="",B318="",C318=""),"eine der Spalten BAB, FR, km leer?",CONCATENATE(VLOOKUP(VALUE(I318),[1]Grundlage!$A$1:$B$14,2,0),IF(LEFT(A318,1)="A",IF(VALUE(MID(A318,2,10))&lt;10,"A00"&amp;VALUE(MID(A318,2,10)),IF(VALUE(MID(A318,2,10))&lt;100,"A0"&amp;VALUE(MID(A318,2,10)),IF(VALUE(MID(A318,2,10))&lt;1000,"A"&amp;VALUE(MID(A318,2,10))))),IF(LEFT(A318,1)="B",IF(VALUE(MID(A318,2,10))&lt;10,"B00"&amp;VALUE(MID(A318,2,10)),IF(VALUE(MID(A318,2,10))&lt;100,"B0"&amp;VALUE(MID(A318,2,10)),IF(VALUE(MID(A318,2,10))&lt;1000,"B"&amp;VALUE(MID(A318,2,10))))),A318)),"_",IF(NOT(OR(C318=1000,C318&gt;1000)),MID(TEXT((C318+1000)*1000,0),2,6),"keine Meter in Spalte km!!!"),IF(VALUE(I318)=1,CONCATENATE("_",VLOOKUP(IF(V318&gt;0,V318,J318),[1]Grundlage!$A$20:$B$181,2,0)),CONCATENATE("_",B318))))</f>
        <v>UQ_A952_002000_N</v>
      </c>
      <c r="F318" s="2" t="s">
        <v>269</v>
      </c>
      <c r="G318" s="167">
        <f t="shared" si="60"/>
        <v>37217</v>
      </c>
      <c r="H318">
        <f t="shared" si="61"/>
        <v>80</v>
      </c>
      <c r="I318" s="2">
        <f t="shared" si="54"/>
        <v>3</v>
      </c>
      <c r="J318" s="2">
        <f t="shared" si="55"/>
        <v>6</v>
      </c>
      <c r="K318" s="2">
        <v>207</v>
      </c>
      <c r="L318" s="2">
        <f t="shared" si="56"/>
        <v>2</v>
      </c>
      <c r="M318" s="2">
        <f t="shared" si="57"/>
        <v>1</v>
      </c>
      <c r="N318" s="2">
        <f t="shared" si="58"/>
        <v>1</v>
      </c>
      <c r="P318" s="168">
        <f t="shared" si="59"/>
        <v>71</v>
      </c>
      <c r="AP318" s="40"/>
      <c r="AQ318" s="40"/>
      <c r="AR318" s="40"/>
      <c r="AS318" s="40"/>
      <c r="AT318" s="19">
        <v>3</v>
      </c>
      <c r="AU318" s="14">
        <v>6</v>
      </c>
      <c r="AV318" s="27">
        <v>6</v>
      </c>
      <c r="AW318" s="19"/>
      <c r="AX318" s="19"/>
      <c r="AY318" s="19">
        <v>1</v>
      </c>
      <c r="AZ318" s="14">
        <v>1</v>
      </c>
      <c r="BA318" s="100">
        <v>1</v>
      </c>
      <c r="BB318" s="13" t="s">
        <v>269</v>
      </c>
      <c r="BF318" s="2" t="s">
        <v>440</v>
      </c>
    </row>
    <row r="319" spans="1:58" ht="14.25" x14ac:dyDescent="0.2">
      <c r="A319" t="str">
        <f t="shared" si="51"/>
        <v>A952</v>
      </c>
      <c r="B319" s="2" t="s">
        <v>656</v>
      </c>
      <c r="C319">
        <f t="shared" si="52"/>
        <v>2</v>
      </c>
      <c r="D319" t="str">
        <f t="shared" si="53"/>
        <v>UFD</v>
      </c>
      <c r="E319" s="169" t="str">
        <f>IF(OR(A319="",B319="",C319=""),"eine der Spalten BAB, FR, km leer?",CONCATENATE(VLOOKUP(VALUE(I319),[1]Grundlage!$A$1:$B$14,2,0),IF(LEFT(A319,1)="A",IF(VALUE(MID(A319,2,10))&lt;10,"A00"&amp;VALUE(MID(A319,2,10)),IF(VALUE(MID(A319,2,10))&lt;100,"A0"&amp;VALUE(MID(A319,2,10)),IF(VALUE(MID(A319,2,10))&lt;1000,"A"&amp;VALUE(MID(A319,2,10))))),IF(LEFT(A319,1)="B",IF(VALUE(MID(A319,2,10))&lt;10,"B00"&amp;VALUE(MID(A319,2,10)),IF(VALUE(MID(A319,2,10))&lt;100,"B0"&amp;VALUE(MID(A319,2,10)),IF(VALUE(MID(A319,2,10))&lt;1000,"B"&amp;VALUE(MID(A319,2,10))))),A319)),"_",IF(NOT(OR(C319=1000,C319&gt;1000)),MID(TEXT((C319+1000)*1000,0),2,6),"keine Meter in Spalte km!!!"),IF(VALUE(I319)=1,CONCATENATE("_",VLOOKUP(IF(V319&gt;0,V319,J319),[1]Grundlage!$A$20:$B$181,2,0)),CONCATENATE("_",B319))))</f>
        <v>UQ_A952_002000_N</v>
      </c>
      <c r="F319" s="2" t="s">
        <v>270</v>
      </c>
      <c r="G319" s="167">
        <f t="shared" si="60"/>
        <v>37217</v>
      </c>
      <c r="H319">
        <f t="shared" si="61"/>
        <v>80</v>
      </c>
      <c r="I319" s="2">
        <f t="shared" si="54"/>
        <v>3</v>
      </c>
      <c r="J319" s="2">
        <f t="shared" si="55"/>
        <v>11</v>
      </c>
      <c r="K319" s="2">
        <v>207</v>
      </c>
      <c r="L319" s="2">
        <f t="shared" si="56"/>
        <v>2</v>
      </c>
      <c r="M319" s="2">
        <f t="shared" si="57"/>
        <v>1</v>
      </c>
      <c r="N319" s="2">
        <f t="shared" si="58"/>
        <v>2</v>
      </c>
      <c r="P319" s="168">
        <f t="shared" si="59"/>
        <v>70</v>
      </c>
      <c r="AT319" s="19">
        <v>3</v>
      </c>
      <c r="AU319" s="14">
        <v>11</v>
      </c>
      <c r="AV319" s="14" t="s">
        <v>78</v>
      </c>
      <c r="AW319" s="13"/>
      <c r="AX319" s="13"/>
      <c r="AY319" s="19">
        <v>1</v>
      </c>
      <c r="AZ319" s="14">
        <v>2</v>
      </c>
      <c r="BA319" s="14">
        <v>2</v>
      </c>
      <c r="BB319" s="13" t="s">
        <v>270</v>
      </c>
      <c r="BF319" s="2" t="s">
        <v>478</v>
      </c>
    </row>
    <row r="320" spans="1:58" ht="14.25" x14ac:dyDescent="0.2">
      <c r="A320" t="str">
        <f t="shared" si="51"/>
        <v>A952</v>
      </c>
      <c r="B320" s="2" t="s">
        <v>656</v>
      </c>
      <c r="C320">
        <f t="shared" si="52"/>
        <v>2</v>
      </c>
      <c r="D320" t="str">
        <f t="shared" si="53"/>
        <v>UFD</v>
      </c>
      <c r="E320" s="169" t="str">
        <f>IF(OR(A320="",B320="",C320=""),"eine der Spalten BAB, FR, km leer?",CONCATENATE(VLOOKUP(VALUE(I320),[1]Grundlage!$A$1:$B$14,2,0),IF(LEFT(A320,1)="A",IF(VALUE(MID(A320,2,10))&lt;10,"A00"&amp;VALUE(MID(A320,2,10)),IF(VALUE(MID(A320,2,10))&lt;100,"A0"&amp;VALUE(MID(A320,2,10)),IF(VALUE(MID(A320,2,10))&lt;1000,"A"&amp;VALUE(MID(A320,2,10))))),IF(LEFT(A320,1)="B",IF(VALUE(MID(A320,2,10))&lt;10,"B00"&amp;VALUE(MID(A320,2,10)),IF(VALUE(MID(A320,2,10))&lt;100,"B0"&amp;VALUE(MID(A320,2,10)),IF(VALUE(MID(A320,2,10))&lt;1000,"B"&amp;VALUE(MID(A320,2,10))))),A320)),"_",IF(NOT(OR(C320=1000,C320&gt;1000)),MID(TEXT((C320+1000)*1000,0),2,6),"keine Meter in Spalte km!!!"),IF(VALUE(I320)=1,CONCATENATE("_",VLOOKUP(IF(V320&gt;0,V320,J320),[1]Grundlage!$A$20:$B$181,2,0)),CONCATENATE("_",B320))))</f>
        <v>UQ_A952_002000_N</v>
      </c>
      <c r="F320" s="2" t="s">
        <v>25</v>
      </c>
      <c r="G320" s="167">
        <f t="shared" si="60"/>
        <v>37217</v>
      </c>
      <c r="H320">
        <f t="shared" si="61"/>
        <v>80</v>
      </c>
      <c r="I320" s="2">
        <f t="shared" si="54"/>
        <v>3</v>
      </c>
      <c r="J320" s="2">
        <f t="shared" si="55"/>
        <v>12</v>
      </c>
      <c r="K320" s="2">
        <v>207</v>
      </c>
      <c r="L320" s="2">
        <f t="shared" si="56"/>
        <v>2</v>
      </c>
      <c r="M320" s="2">
        <f t="shared" si="57"/>
        <v>1</v>
      </c>
      <c r="N320" s="2">
        <f t="shared" si="58"/>
        <v>3</v>
      </c>
      <c r="P320" s="168">
        <f t="shared" si="59"/>
        <v>48</v>
      </c>
      <c r="AT320" s="19">
        <v>3</v>
      </c>
      <c r="AU320" s="14">
        <v>12</v>
      </c>
      <c r="AV320" s="14" t="s">
        <v>79</v>
      </c>
      <c r="AW320" s="13"/>
      <c r="AX320" s="13"/>
      <c r="AY320" s="19">
        <v>1</v>
      </c>
      <c r="AZ320" s="14">
        <v>3</v>
      </c>
      <c r="BA320" s="14">
        <v>3</v>
      </c>
      <c r="BB320" s="13" t="s">
        <v>25</v>
      </c>
      <c r="BF320" s="13" t="s">
        <v>441</v>
      </c>
    </row>
    <row r="321" spans="1:58" ht="14.25" x14ac:dyDescent="0.2">
      <c r="A321" t="str">
        <f t="shared" si="51"/>
        <v>A952</v>
      </c>
      <c r="B321" s="2" t="s">
        <v>656</v>
      </c>
      <c r="C321">
        <f t="shared" si="52"/>
        <v>2</v>
      </c>
      <c r="D321" t="str">
        <f t="shared" si="53"/>
        <v>UFD</v>
      </c>
      <c r="E321" s="169" t="str">
        <f>IF(OR(A321="",B321="",C321=""),"eine der Spalten BAB, FR, km leer?",CONCATENATE(VLOOKUP(VALUE(I321),[1]Grundlage!$A$1:$B$14,2,0),IF(LEFT(A321,1)="A",IF(VALUE(MID(A321,2,10))&lt;10,"A00"&amp;VALUE(MID(A321,2,10)),IF(VALUE(MID(A321,2,10))&lt;100,"A0"&amp;VALUE(MID(A321,2,10)),IF(VALUE(MID(A321,2,10))&lt;1000,"A"&amp;VALUE(MID(A321,2,10))))),IF(LEFT(A321,1)="B",IF(VALUE(MID(A321,2,10))&lt;10,"B00"&amp;VALUE(MID(A321,2,10)),IF(VALUE(MID(A321,2,10))&lt;100,"B0"&amp;VALUE(MID(A321,2,10)),IF(VALUE(MID(A321,2,10))&lt;1000,"B"&amp;VALUE(MID(A321,2,10))))),A321)),"_",IF(NOT(OR(C321=1000,C321&gt;1000)),MID(TEXT((C321+1000)*1000,0),2,6),"keine Meter in Spalte km!!!"),IF(VALUE(I321)=1,CONCATENATE("_",VLOOKUP(IF(V321&gt;0,V321,J321),[1]Grundlage!$A$20:$B$181,2,0)),CONCATENATE("_",B321))))</f>
        <v>UQ_A952_002000_N</v>
      </c>
      <c r="F321" s="2" t="s">
        <v>26</v>
      </c>
      <c r="G321" s="167">
        <f t="shared" si="60"/>
        <v>37217</v>
      </c>
      <c r="H321">
        <f t="shared" si="61"/>
        <v>80</v>
      </c>
      <c r="I321" s="2">
        <f t="shared" si="54"/>
        <v>3</v>
      </c>
      <c r="J321" s="2">
        <f t="shared" si="55"/>
        <v>13</v>
      </c>
      <c r="K321" s="2">
        <v>207</v>
      </c>
      <c r="L321" s="2">
        <f t="shared" si="56"/>
        <v>2</v>
      </c>
      <c r="M321" s="2">
        <f t="shared" si="57"/>
        <v>1</v>
      </c>
      <c r="N321" s="2">
        <f t="shared" si="58"/>
        <v>4</v>
      </c>
      <c r="P321" s="168">
        <f t="shared" si="59"/>
        <v>55</v>
      </c>
      <c r="AT321" s="19">
        <v>3</v>
      </c>
      <c r="AU321" s="14">
        <v>13</v>
      </c>
      <c r="AV321" s="14" t="s">
        <v>80</v>
      </c>
      <c r="AW321" s="13"/>
      <c r="AX321" s="13"/>
      <c r="AY321" s="19">
        <v>1</v>
      </c>
      <c r="AZ321" s="14">
        <v>4</v>
      </c>
      <c r="BA321" s="14">
        <v>4</v>
      </c>
      <c r="BB321" s="13" t="s">
        <v>26</v>
      </c>
      <c r="BF321" s="13" t="s">
        <v>442</v>
      </c>
    </row>
    <row r="322" spans="1:58" ht="14.25" x14ac:dyDescent="0.2">
      <c r="A322" t="str">
        <f t="shared" si="51"/>
        <v>A952</v>
      </c>
      <c r="B322" s="2" t="s">
        <v>656</v>
      </c>
      <c r="C322">
        <f t="shared" si="52"/>
        <v>2</v>
      </c>
      <c r="D322" t="str">
        <f t="shared" si="53"/>
        <v>UFD</v>
      </c>
      <c r="E322" s="169" t="str">
        <f>IF(OR(A322="",B322="",C322=""),"eine der Spalten BAB, FR, km leer?",CONCATENATE(VLOOKUP(VALUE(I322),[1]Grundlage!$A$1:$B$14,2,0),IF(LEFT(A322,1)="A",IF(VALUE(MID(A322,2,10))&lt;10,"A00"&amp;VALUE(MID(A322,2,10)),IF(VALUE(MID(A322,2,10))&lt;100,"A0"&amp;VALUE(MID(A322,2,10)),IF(VALUE(MID(A322,2,10))&lt;1000,"A"&amp;VALUE(MID(A322,2,10))))),IF(LEFT(A322,1)="B",IF(VALUE(MID(A322,2,10))&lt;10,"B00"&amp;VALUE(MID(A322,2,10)),IF(VALUE(MID(A322,2,10))&lt;100,"B0"&amp;VALUE(MID(A322,2,10)),IF(VALUE(MID(A322,2,10))&lt;1000,"B"&amp;VALUE(MID(A322,2,10))))),A322)),"_",IF(NOT(OR(C322=1000,C322&gt;1000)),MID(TEXT((C322+1000)*1000,0),2,6),"keine Meter in Spalte km!!!"),IF(VALUE(I322)=1,CONCATENATE("_",VLOOKUP(IF(V322&gt;0,V322,J322),[1]Grundlage!$A$20:$B$181,2,0)),CONCATENATE("_",B322))))</f>
        <v>UQ_A952_002000_N</v>
      </c>
      <c r="F322" s="2" t="s">
        <v>27</v>
      </c>
      <c r="G322" s="167">
        <f t="shared" si="60"/>
        <v>37217</v>
      </c>
      <c r="H322">
        <f t="shared" si="61"/>
        <v>80</v>
      </c>
      <c r="I322" s="2">
        <f t="shared" si="54"/>
        <v>3</v>
      </c>
      <c r="J322" s="2">
        <f t="shared" si="55"/>
        <v>14</v>
      </c>
      <c r="K322" s="2">
        <v>207</v>
      </c>
      <c r="L322" s="2">
        <f t="shared" si="56"/>
        <v>2</v>
      </c>
      <c r="M322" s="2">
        <f t="shared" si="57"/>
        <v>1</v>
      </c>
      <c r="N322" s="2">
        <f t="shared" si="58"/>
        <v>5</v>
      </c>
      <c r="P322" s="168">
        <f t="shared" si="59"/>
        <v>66</v>
      </c>
      <c r="AT322" s="19">
        <v>3</v>
      </c>
      <c r="AU322" s="14">
        <v>14</v>
      </c>
      <c r="AV322" s="14" t="s">
        <v>81</v>
      </c>
      <c r="AW322" s="13"/>
      <c r="AX322" s="13"/>
      <c r="AY322" s="19">
        <v>1</v>
      </c>
      <c r="AZ322" s="14">
        <v>5</v>
      </c>
      <c r="BA322" s="14">
        <v>5</v>
      </c>
      <c r="BB322" s="13" t="s">
        <v>27</v>
      </c>
      <c r="BF322" s="13" t="s">
        <v>443</v>
      </c>
    </row>
    <row r="323" spans="1:58" ht="14.25" x14ac:dyDescent="0.2">
      <c r="A323" t="str">
        <f t="shared" si="51"/>
        <v>A952</v>
      </c>
      <c r="B323" s="2" t="s">
        <v>656</v>
      </c>
      <c r="C323">
        <f t="shared" si="52"/>
        <v>2</v>
      </c>
      <c r="D323" t="str">
        <f t="shared" si="53"/>
        <v>UFD</v>
      </c>
      <c r="E323" s="169" t="str">
        <f>IF(OR(A323="",B323="",C323=""),"eine der Spalten BAB, FR, km leer?",CONCATENATE(VLOOKUP(VALUE(I323),[1]Grundlage!$A$1:$B$14,2,0),IF(LEFT(A323,1)="A",IF(VALUE(MID(A323,2,10))&lt;10,"A00"&amp;VALUE(MID(A323,2,10)),IF(VALUE(MID(A323,2,10))&lt;100,"A0"&amp;VALUE(MID(A323,2,10)),IF(VALUE(MID(A323,2,10))&lt;1000,"A"&amp;VALUE(MID(A323,2,10))))),IF(LEFT(A323,1)="B",IF(VALUE(MID(A323,2,10))&lt;10,"B00"&amp;VALUE(MID(A323,2,10)),IF(VALUE(MID(A323,2,10))&lt;100,"B0"&amp;VALUE(MID(A323,2,10)),IF(VALUE(MID(A323,2,10))&lt;1000,"B"&amp;VALUE(MID(A323,2,10))))),A323)),"_",IF(NOT(OR(C323=1000,C323&gt;1000)),MID(TEXT((C323+1000)*1000,0),2,6),"keine Meter in Spalte km!!!"),IF(VALUE(I323)=1,CONCATENATE("_",VLOOKUP(IF(V323&gt;0,V323,J323),[1]Grundlage!$A$20:$B$181,2,0)),CONCATENATE("_",B323))))</f>
        <v>UQ_A952_002000_N</v>
      </c>
      <c r="F323" s="2" t="s">
        <v>28</v>
      </c>
      <c r="G323" s="167">
        <f t="shared" si="60"/>
        <v>37217</v>
      </c>
      <c r="H323">
        <f t="shared" si="61"/>
        <v>80</v>
      </c>
      <c r="I323" s="2">
        <f t="shared" si="54"/>
        <v>3</v>
      </c>
      <c r="J323" s="2">
        <f t="shared" si="55"/>
        <v>15</v>
      </c>
      <c r="K323" s="2">
        <v>207</v>
      </c>
      <c r="L323" s="2">
        <f t="shared" si="56"/>
        <v>2</v>
      </c>
      <c r="M323" s="2">
        <f t="shared" si="57"/>
        <v>1</v>
      </c>
      <c r="N323" s="2">
        <f t="shared" si="58"/>
        <v>6</v>
      </c>
      <c r="P323" s="168">
        <f t="shared" si="59"/>
        <v>65</v>
      </c>
      <c r="AT323" s="19">
        <v>3</v>
      </c>
      <c r="AU323" s="14">
        <v>15</v>
      </c>
      <c r="AV323" s="14" t="s">
        <v>82</v>
      </c>
      <c r="AW323" s="13"/>
      <c r="AX323" s="13"/>
      <c r="AY323" s="19">
        <v>1</v>
      </c>
      <c r="AZ323" s="14">
        <v>6</v>
      </c>
      <c r="BA323" s="14">
        <v>6</v>
      </c>
      <c r="BB323" s="13" t="s">
        <v>28</v>
      </c>
      <c r="BF323" s="13" t="s">
        <v>482</v>
      </c>
    </row>
    <row r="324" spans="1:58" ht="14.25" x14ac:dyDescent="0.2">
      <c r="A324" t="str">
        <f t="shared" si="51"/>
        <v>A952</v>
      </c>
      <c r="B324" s="2" t="s">
        <v>656</v>
      </c>
      <c r="C324">
        <f t="shared" si="52"/>
        <v>2</v>
      </c>
      <c r="D324" t="str">
        <f t="shared" si="53"/>
        <v>UFD</v>
      </c>
      <c r="E324" s="169" t="str">
        <f>IF(OR(A324="",B324="",C324=""),"eine der Spalten BAB, FR, km leer?",CONCATENATE(VLOOKUP(VALUE(I324),[1]Grundlage!$A$1:$B$14,2,0),IF(LEFT(A324,1)="A",IF(VALUE(MID(A324,2,10))&lt;10,"A00"&amp;VALUE(MID(A324,2,10)),IF(VALUE(MID(A324,2,10))&lt;100,"A0"&amp;VALUE(MID(A324,2,10)),IF(VALUE(MID(A324,2,10))&lt;1000,"A"&amp;VALUE(MID(A324,2,10))))),IF(LEFT(A324,1)="B",IF(VALUE(MID(A324,2,10))&lt;10,"B00"&amp;VALUE(MID(A324,2,10)),IF(VALUE(MID(A324,2,10))&lt;100,"B0"&amp;VALUE(MID(A324,2,10)),IF(VALUE(MID(A324,2,10))&lt;1000,"B"&amp;VALUE(MID(A324,2,10))))),A324)),"_",IF(NOT(OR(C324=1000,C324&gt;1000)),MID(TEXT((C324+1000)*1000,0),2,6),"keine Meter in Spalte km!!!"),IF(VALUE(I324)=1,CONCATENATE("_",VLOOKUP(IF(V324&gt;0,V324,J324),[1]Grundlage!$A$20:$B$181,2,0)),CONCATENATE("_",B324))))</f>
        <v>UQ_A952_002000_N</v>
      </c>
      <c r="F324" s="2" t="s">
        <v>29</v>
      </c>
      <c r="G324" s="167">
        <f t="shared" si="60"/>
        <v>37217</v>
      </c>
      <c r="H324">
        <f t="shared" si="61"/>
        <v>80</v>
      </c>
      <c r="I324" s="2">
        <f t="shared" si="54"/>
        <v>3</v>
      </c>
      <c r="J324" s="2">
        <f t="shared" si="55"/>
        <v>19</v>
      </c>
      <c r="K324" s="2">
        <v>207</v>
      </c>
      <c r="L324" s="2">
        <f t="shared" si="56"/>
        <v>2</v>
      </c>
      <c r="M324" s="2">
        <f t="shared" si="57"/>
        <v>1</v>
      </c>
      <c r="N324" s="2">
        <f t="shared" si="58"/>
        <v>7</v>
      </c>
      <c r="P324" s="168">
        <f t="shared" si="59"/>
        <v>49</v>
      </c>
      <c r="AT324" s="19">
        <v>3</v>
      </c>
      <c r="AU324" s="14">
        <v>19</v>
      </c>
      <c r="AV324" s="14">
        <v>13</v>
      </c>
      <c r="AW324" s="13"/>
      <c r="AX324" s="13"/>
      <c r="AY324" s="19">
        <v>1</v>
      </c>
      <c r="AZ324" s="14">
        <v>7</v>
      </c>
      <c r="BA324" s="14">
        <v>7</v>
      </c>
      <c r="BB324" s="13" t="s">
        <v>29</v>
      </c>
      <c r="BF324" s="13" t="s">
        <v>479</v>
      </c>
    </row>
    <row r="325" spans="1:58" ht="14.25" x14ac:dyDescent="0.2">
      <c r="A325" t="str">
        <f t="shared" si="51"/>
        <v>A952</v>
      </c>
      <c r="B325" s="2" t="s">
        <v>656</v>
      </c>
      <c r="C325">
        <f t="shared" si="52"/>
        <v>2</v>
      </c>
      <c r="D325" t="str">
        <f t="shared" si="53"/>
        <v>UFD</v>
      </c>
      <c r="E325" s="169" t="str">
        <f>IF(OR(A325="",B325="",C325=""),"eine der Spalten BAB, FR, km leer?",CONCATENATE(VLOOKUP(VALUE(I325),[1]Grundlage!$A$1:$B$14,2,0),IF(LEFT(A325,1)="A",IF(VALUE(MID(A325,2,10))&lt;10,"A00"&amp;VALUE(MID(A325,2,10)),IF(VALUE(MID(A325,2,10))&lt;100,"A0"&amp;VALUE(MID(A325,2,10)),IF(VALUE(MID(A325,2,10))&lt;1000,"A"&amp;VALUE(MID(A325,2,10))))),IF(LEFT(A325,1)="B",IF(VALUE(MID(A325,2,10))&lt;10,"B00"&amp;VALUE(MID(A325,2,10)),IF(VALUE(MID(A325,2,10))&lt;100,"B0"&amp;VALUE(MID(A325,2,10)),IF(VALUE(MID(A325,2,10))&lt;1000,"B"&amp;VALUE(MID(A325,2,10))))),A325)),"_",IF(NOT(OR(C325=1000,C325&gt;1000)),MID(TEXT((C325+1000)*1000,0),2,6),"keine Meter in Spalte km!!!"),IF(VALUE(I325)=1,CONCATENATE("_",VLOOKUP(IF(V325&gt;0,V325,J325),[1]Grundlage!$A$20:$B$181,2,0)),CONCATENATE("_",B325))))</f>
        <v>UQ_A952_002000_N</v>
      </c>
      <c r="F325" s="2" t="s">
        <v>30</v>
      </c>
      <c r="G325" s="167">
        <f t="shared" si="60"/>
        <v>37217</v>
      </c>
      <c r="H325">
        <f t="shared" si="61"/>
        <v>80</v>
      </c>
      <c r="I325" s="2">
        <f t="shared" si="54"/>
        <v>3</v>
      </c>
      <c r="J325" s="2">
        <f t="shared" si="55"/>
        <v>21</v>
      </c>
      <c r="K325" s="2">
        <v>207</v>
      </c>
      <c r="L325" s="2">
        <f t="shared" si="56"/>
        <v>2</v>
      </c>
      <c r="M325" s="2">
        <f t="shared" si="57"/>
        <v>1</v>
      </c>
      <c r="N325" s="2">
        <f t="shared" si="58"/>
        <v>8</v>
      </c>
      <c r="P325" s="168">
        <f t="shared" si="59"/>
        <v>67</v>
      </c>
      <c r="AT325" s="19">
        <v>3</v>
      </c>
      <c r="AU325" s="14">
        <v>21</v>
      </c>
      <c r="AV325" s="14">
        <v>15</v>
      </c>
      <c r="AW325" s="13"/>
      <c r="AX325" s="13"/>
      <c r="AY325" s="19">
        <v>1</v>
      </c>
      <c r="AZ325" s="14">
        <v>8</v>
      </c>
      <c r="BA325" s="14">
        <v>8</v>
      </c>
      <c r="BB325" s="13" t="s">
        <v>30</v>
      </c>
      <c r="BF325" s="13" t="s">
        <v>480</v>
      </c>
    </row>
    <row r="326" spans="1:58" ht="14.25" x14ac:dyDescent="0.2">
      <c r="A326" t="str">
        <f t="shared" si="51"/>
        <v>A952</v>
      </c>
      <c r="B326" s="2" t="s">
        <v>656</v>
      </c>
      <c r="C326">
        <f t="shared" si="52"/>
        <v>2</v>
      </c>
      <c r="D326" t="str">
        <f t="shared" si="53"/>
        <v>UFD</v>
      </c>
      <c r="E326" s="169" t="str">
        <f>IF(OR(A326="",B326="",C326=""),"eine der Spalten BAB, FR, km leer?",CONCATENATE(VLOOKUP(VALUE(I326),[1]Grundlage!$A$1:$B$14,2,0),IF(LEFT(A326,1)="A",IF(VALUE(MID(A326,2,10))&lt;10,"A00"&amp;VALUE(MID(A326,2,10)),IF(VALUE(MID(A326,2,10))&lt;100,"A0"&amp;VALUE(MID(A326,2,10)),IF(VALUE(MID(A326,2,10))&lt;1000,"A"&amp;VALUE(MID(A326,2,10))))),IF(LEFT(A326,1)="B",IF(VALUE(MID(A326,2,10))&lt;10,"B00"&amp;VALUE(MID(A326,2,10)),IF(VALUE(MID(A326,2,10))&lt;100,"B0"&amp;VALUE(MID(A326,2,10)),IF(VALUE(MID(A326,2,10))&lt;1000,"B"&amp;VALUE(MID(A326,2,10))))),A326)),"_",IF(NOT(OR(C326=1000,C326&gt;1000)),MID(TEXT((C326+1000)*1000,0),2,6),"keine Meter in Spalte km!!!"),IF(VALUE(I326)=1,CONCATENATE("_",VLOOKUP(IF(V326&gt;0,V326,J326),[1]Grundlage!$A$20:$B$181,2,0)),CONCATENATE("_",B326))))</f>
        <v>UQ_A952_002000_N</v>
      </c>
      <c r="F326" s="2" t="s">
        <v>41</v>
      </c>
      <c r="G326" s="167">
        <f t="shared" si="60"/>
        <v>37217</v>
      </c>
      <c r="H326">
        <f t="shared" si="61"/>
        <v>80</v>
      </c>
      <c r="I326" s="2">
        <f t="shared" si="54"/>
        <v>3</v>
      </c>
      <c r="J326" s="2">
        <f t="shared" si="55"/>
        <v>24</v>
      </c>
      <c r="K326" s="2">
        <v>207</v>
      </c>
      <c r="L326" s="2">
        <f t="shared" si="56"/>
        <v>2</v>
      </c>
      <c r="M326" s="2">
        <f t="shared" si="57"/>
        <v>1</v>
      </c>
      <c r="N326" s="2">
        <f t="shared" si="58"/>
        <v>9</v>
      </c>
      <c r="P326" s="168">
        <f t="shared" si="59"/>
        <v>69</v>
      </c>
      <c r="AT326" s="19">
        <v>3</v>
      </c>
      <c r="AU326" s="14">
        <v>24</v>
      </c>
      <c r="AV326" s="14">
        <v>18</v>
      </c>
      <c r="AW326" s="13"/>
      <c r="AX326" s="13"/>
      <c r="AY326" s="19">
        <v>1</v>
      </c>
      <c r="AZ326" s="14">
        <v>9</v>
      </c>
      <c r="BA326" s="14">
        <v>9</v>
      </c>
      <c r="BB326" s="13" t="s">
        <v>41</v>
      </c>
      <c r="BF326" s="13" t="s">
        <v>465</v>
      </c>
    </row>
    <row r="327" spans="1:58" ht="14.25" x14ac:dyDescent="0.2">
      <c r="A327" t="str">
        <f t="shared" si="51"/>
        <v>A952</v>
      </c>
      <c r="B327" s="2" t="s">
        <v>656</v>
      </c>
      <c r="C327">
        <f t="shared" si="52"/>
        <v>2</v>
      </c>
      <c r="D327" t="str">
        <f t="shared" si="53"/>
        <v>UFD</v>
      </c>
      <c r="E327" s="169" t="str">
        <f>IF(OR(A327="",B327="",C327=""),"eine der Spalten BAB, FR, km leer?",CONCATENATE(VLOOKUP(VALUE(I327),[1]Grundlage!$A$1:$B$14,2,0),IF(LEFT(A327,1)="A",IF(VALUE(MID(A327,2,10))&lt;10,"A00"&amp;VALUE(MID(A327,2,10)),IF(VALUE(MID(A327,2,10))&lt;100,"A0"&amp;VALUE(MID(A327,2,10)),IF(VALUE(MID(A327,2,10))&lt;1000,"A"&amp;VALUE(MID(A327,2,10))))),IF(LEFT(A327,1)="B",IF(VALUE(MID(A327,2,10))&lt;10,"B00"&amp;VALUE(MID(A327,2,10)),IF(VALUE(MID(A327,2,10))&lt;100,"B0"&amp;VALUE(MID(A327,2,10)),IF(VALUE(MID(A327,2,10))&lt;1000,"B"&amp;VALUE(MID(A327,2,10))))),A327)),"_",IF(NOT(OR(C327=1000,C327&gt;1000)),MID(TEXT((C327+1000)*1000,0),2,6),"keine Meter in Spalte km!!!"),IF(VALUE(I327)=1,CONCATENATE("_",VLOOKUP(IF(V327&gt;0,V327,J327),[1]Grundlage!$A$20:$B$181,2,0)),CONCATENATE("_",B327))))</f>
        <v>UQ_A952_002000_N</v>
      </c>
      <c r="F327" s="2" t="s">
        <v>271</v>
      </c>
      <c r="G327" s="167">
        <f t="shared" si="60"/>
        <v>37217</v>
      </c>
      <c r="H327">
        <f t="shared" si="61"/>
        <v>80</v>
      </c>
      <c r="I327" s="2">
        <f t="shared" si="54"/>
        <v>3</v>
      </c>
      <c r="J327" s="2">
        <f t="shared" si="55"/>
        <v>67</v>
      </c>
      <c r="K327" s="2">
        <v>207</v>
      </c>
      <c r="L327" s="2">
        <f t="shared" si="56"/>
        <v>2</v>
      </c>
      <c r="M327" s="2">
        <f t="shared" si="57"/>
        <v>1</v>
      </c>
      <c r="N327" s="2">
        <f t="shared" si="58"/>
        <v>10</v>
      </c>
      <c r="P327" s="168">
        <f t="shared" si="59"/>
        <v>53</v>
      </c>
      <c r="AT327" s="19">
        <v>3</v>
      </c>
      <c r="AU327" s="14">
        <v>67</v>
      </c>
      <c r="AV327" s="14">
        <v>43</v>
      </c>
      <c r="AW327" s="13"/>
      <c r="AX327" s="13"/>
      <c r="AY327" s="19">
        <v>1</v>
      </c>
      <c r="AZ327" s="14">
        <v>10</v>
      </c>
      <c r="BA327" s="34" t="s">
        <v>95</v>
      </c>
      <c r="BB327" s="13" t="s">
        <v>271</v>
      </c>
      <c r="BF327" s="13" t="s">
        <v>444</v>
      </c>
    </row>
    <row r="328" spans="1:58" ht="14.25" x14ac:dyDescent="0.2">
      <c r="A328" t="str">
        <f t="shared" si="51"/>
        <v>A952</v>
      </c>
      <c r="B328" s="2" t="s">
        <v>656</v>
      </c>
      <c r="C328">
        <f t="shared" si="52"/>
        <v>2</v>
      </c>
      <c r="D328" t="str">
        <f t="shared" si="53"/>
        <v>UFD</v>
      </c>
      <c r="E328" s="169" t="str">
        <f>IF(OR(A328="",B328="",C328=""),"eine der Spalten BAB, FR, km leer?",CONCATENATE(VLOOKUP(VALUE(I328),[1]Grundlage!$A$1:$B$14,2,0),IF(LEFT(A328,1)="A",IF(VALUE(MID(A328,2,10))&lt;10,"A00"&amp;VALUE(MID(A328,2,10)),IF(VALUE(MID(A328,2,10))&lt;100,"A0"&amp;VALUE(MID(A328,2,10)),IF(VALUE(MID(A328,2,10))&lt;1000,"A"&amp;VALUE(MID(A328,2,10))))),IF(LEFT(A328,1)="B",IF(VALUE(MID(A328,2,10))&lt;10,"B00"&amp;VALUE(MID(A328,2,10)),IF(VALUE(MID(A328,2,10))&lt;100,"B0"&amp;VALUE(MID(A328,2,10)),IF(VALUE(MID(A328,2,10))&lt;1000,"B"&amp;VALUE(MID(A328,2,10))))),A328)),"_",IF(NOT(OR(C328=1000,C328&gt;1000)),MID(TEXT((C328+1000)*1000,0),2,6),"keine Meter in Spalte km!!!"),IF(VALUE(I328)=1,CONCATENATE("_",VLOOKUP(IF(V328&gt;0,V328,J328),[1]Grundlage!$A$20:$B$181,2,0)),CONCATENATE("_",B328))))</f>
        <v>UQ_A952_002000_N</v>
      </c>
      <c r="F328" s="2" t="s">
        <v>272</v>
      </c>
      <c r="G328" s="167">
        <f t="shared" si="60"/>
        <v>37217</v>
      </c>
      <c r="H328">
        <f t="shared" si="61"/>
        <v>80</v>
      </c>
      <c r="I328" s="2">
        <f t="shared" si="54"/>
        <v>3</v>
      </c>
      <c r="J328" s="2">
        <f t="shared" si="55"/>
        <v>82</v>
      </c>
      <c r="K328" s="2">
        <v>207</v>
      </c>
      <c r="L328" s="2">
        <f t="shared" si="56"/>
        <v>2</v>
      </c>
      <c r="M328" s="2">
        <f t="shared" si="57"/>
        <v>1</v>
      </c>
      <c r="N328" s="2">
        <f t="shared" si="58"/>
        <v>11</v>
      </c>
      <c r="P328" s="168">
        <f t="shared" si="59"/>
        <v>72</v>
      </c>
      <c r="AT328" s="19">
        <v>3</v>
      </c>
      <c r="AU328" s="14">
        <v>82</v>
      </c>
      <c r="AV328" s="14">
        <v>52</v>
      </c>
      <c r="AW328" s="13"/>
      <c r="AX328" s="13"/>
      <c r="AY328" s="19">
        <v>1</v>
      </c>
      <c r="AZ328" s="14">
        <v>11</v>
      </c>
      <c r="BA328" s="34" t="s">
        <v>78</v>
      </c>
      <c r="BB328" s="13" t="s">
        <v>272</v>
      </c>
      <c r="BF328" s="13" t="s">
        <v>481</v>
      </c>
    </row>
    <row r="329" spans="1:58" ht="14.25" x14ac:dyDescent="0.2">
      <c r="A329" t="str">
        <f t="shared" si="51"/>
        <v>A952</v>
      </c>
      <c r="C329">
        <f t="shared" si="52"/>
        <v>2</v>
      </c>
      <c r="D329" t="str">
        <f t="shared" si="53"/>
        <v/>
      </c>
      <c r="E329" s="169" t="str">
        <f>IF(OR(A329="",B329="",C329=""),"",CONCATENATE(VLOOKUP(VALUE(I329),[1]Grundlage!$A$1:$B$14,2,0),IF(LEFT(A329,1)="A",IF(VALUE(MID(A329,2,10))&lt;10,"A00"&amp;VALUE(MID(A329,2,10)),IF(VALUE(MID(A329,2,10))&lt;100,"A0"&amp;VALUE(MID(A329,2,10)),IF(VALUE(MID(A329,2,10))&lt;1000,"A"&amp;VALUE(MID(A329,2,10))))),IF(LEFT(A329,1)="B",IF(VALUE(MID(A329,2,10))&lt;10,"B00"&amp;VALUE(MID(A329,2,10)),IF(VALUE(MID(A329,2,10))&lt;100,"B0"&amp;VALUE(MID(A329,2,10)),IF(VALUE(MID(A329,2,10))&lt;1000,"B"&amp;VALUE(MID(A329,2,10))))),A329)),"_",IF(NOT(OR(C329=1000,C329&gt;1000)),MID(TEXT((C329+1000)*1000,0),2,6),"keine Meter in Spalte km!!!"),IF(VALUE(I329)=1,CONCATENATE("_",VLOOKUP(IF(V329&gt;0,V329,J329),[1]Grundlage!$A$20:$B$181,2,0)),CONCATENATE("_",B329))))</f>
        <v/>
      </c>
      <c r="F329" s="2" t="s">
        <v>669</v>
      </c>
      <c r="G329" s="167">
        <f t="shared" si="60"/>
        <v>37217</v>
      </c>
      <c r="H329">
        <f t="shared" si="61"/>
        <v>80</v>
      </c>
      <c r="I329" s="2">
        <f t="shared" si="54"/>
        <v>0</v>
      </c>
      <c r="J329" s="2">
        <f t="shared" si="55"/>
        <v>0</v>
      </c>
      <c r="K329" s="2">
        <v>207</v>
      </c>
      <c r="L329" s="2">
        <f t="shared" si="56"/>
        <v>2</v>
      </c>
      <c r="M329" s="2" t="str">
        <f t="shared" si="57"/>
        <v/>
      </c>
      <c r="N329" s="2" t="str">
        <f t="shared" si="58"/>
        <v/>
      </c>
      <c r="P329" s="168" t="str">
        <f t="shared" si="59"/>
        <v/>
      </c>
      <c r="AT329" s="13"/>
      <c r="AU329" s="13"/>
      <c r="AV329" s="13"/>
      <c r="AW329" s="13"/>
      <c r="AX329" s="13"/>
      <c r="AY329" s="13"/>
      <c r="AZ329" s="13"/>
      <c r="BA329" s="13"/>
      <c r="BB329" s="13"/>
    </row>
    <row r="330" spans="1:58" ht="14.25" x14ac:dyDescent="0.2">
      <c r="A330" t="str">
        <f t="shared" ref="A330:A393" si="62">IF(ISBLANK(AK330),A329,AK330)</f>
        <v>A95</v>
      </c>
      <c r="B330" s="2" t="s">
        <v>656</v>
      </c>
      <c r="C330">
        <f t="shared" ref="C330:C393" si="63">IF(ISBLANK(AI330),C329,AI330)</f>
        <v>32.5</v>
      </c>
      <c r="D330" t="str">
        <f t="shared" ref="D330:D393" si="64">IF(AJ330="SST","SS",IF(AND(AJ330="",ISTEXT(BB330)),"UFD",""))</f>
        <v>SS</v>
      </c>
      <c r="E330" s="169" t="str">
        <f>IF(OR(A330="",B330="",C330=""),"eine der Spalten BAB, FR, km leer?",CONCATENATE(VLOOKUP(VALUE(I330),[1]Grundlage!$A$1:$B$14,2,0),IF(LEFT(A330,1)="A",IF(VALUE(MID(A330,2,10))&lt;10,"A00"&amp;VALUE(MID(A330,2,10)),IF(VALUE(MID(A330,2,10))&lt;100,"A0"&amp;VALUE(MID(A330,2,10)),IF(VALUE(MID(A330,2,10))&lt;1000,"A"&amp;VALUE(MID(A330,2,10))))),IF(LEFT(A330,1)="B",IF(VALUE(MID(A330,2,10))&lt;10,"B00"&amp;VALUE(MID(A330,2,10)),IF(VALUE(MID(A330,2,10))&lt;100,"B0"&amp;VALUE(MID(A330,2,10)),IF(VALUE(MID(A330,2,10))&lt;1000,"B"&amp;VALUE(MID(A330,2,10))))),A330)),"_",IF(NOT(OR(C330=1000,C330&gt;1000)),MID(TEXT((C330+1000)*1000,0),2,6),"keine Meter in Spalte km!!!"),IF(VALUE(I330)=1,CONCATENATE("_",VLOOKUP(IF(V330&gt;0,V330,J330),[1]Grundlage!$A$20:$B$181,2,0)),CONCATENATE("_",B330))))</f>
        <v>SSt_A095_032500_N</v>
      </c>
      <c r="F330" s="2" t="s">
        <v>55</v>
      </c>
      <c r="G330" s="167">
        <f t="shared" si="60"/>
        <v>37137</v>
      </c>
      <c r="H330">
        <f t="shared" si="61"/>
        <v>228</v>
      </c>
      <c r="I330" s="2">
        <f t="shared" ref="I330:I393" si="65">IF(D330="SS",254,AT330)</f>
        <v>254</v>
      </c>
      <c r="J330" s="2">
        <f t="shared" ref="J330:J393" si="66">IF(D330="SS",0,AU330)</f>
        <v>0</v>
      </c>
      <c r="K330" s="2">
        <v>207</v>
      </c>
      <c r="L330" s="2">
        <f t="shared" ref="L330:L393" si="67">IF(ISBLANK(AX330),L329,AX330)</f>
        <v>3</v>
      </c>
      <c r="M330" s="2" t="str">
        <f t="shared" ref="M330:M393" si="68">IF(ISBLANK(AY330),"",AY330)</f>
        <v/>
      </c>
      <c r="N330" s="2" t="str">
        <f t="shared" ref="N330:N393" si="69">IF(ISBLANK(AZ330),"",AZ330)</f>
        <v/>
      </c>
      <c r="P330" s="168" t="str">
        <f t="shared" si="59"/>
        <v/>
      </c>
      <c r="AI330" s="35">
        <v>32.5</v>
      </c>
      <c r="AJ330" s="36" t="s">
        <v>19</v>
      </c>
      <c r="AK330" s="36" t="s">
        <v>54</v>
      </c>
      <c r="AL330" s="36"/>
      <c r="AM330" s="36"/>
      <c r="AN330" s="36"/>
      <c r="AO330" s="36"/>
      <c r="AP330" s="42">
        <v>9507300</v>
      </c>
      <c r="AQ330" s="42">
        <v>91</v>
      </c>
      <c r="AR330" s="42">
        <v>11</v>
      </c>
      <c r="AS330" s="42" t="s">
        <v>233</v>
      </c>
      <c r="AT330" s="36"/>
      <c r="AU330" s="36"/>
      <c r="AV330" s="36"/>
      <c r="AW330" s="36"/>
      <c r="AX330" s="36">
        <v>3</v>
      </c>
      <c r="AY330" s="36"/>
      <c r="AZ330" s="36"/>
      <c r="BA330" s="36"/>
      <c r="BB330" s="37" t="s">
        <v>55</v>
      </c>
      <c r="BC330" s="38"/>
      <c r="BD330" s="99" t="s">
        <v>163</v>
      </c>
      <c r="BE330" s="39" t="s">
        <v>50</v>
      </c>
      <c r="BF330" s="2" t="s">
        <v>451</v>
      </c>
    </row>
    <row r="331" spans="1:58" ht="14.25" x14ac:dyDescent="0.2">
      <c r="A331" t="str">
        <f t="shared" si="62"/>
        <v>A95</v>
      </c>
      <c r="B331" s="2" t="s">
        <v>656</v>
      </c>
      <c r="C331">
        <f t="shared" si="63"/>
        <v>32.5</v>
      </c>
      <c r="D331" t="str">
        <f t="shared" si="64"/>
        <v>UFD</v>
      </c>
      <c r="E331" s="169" t="str">
        <f>IF(OR(A331="",B331="",C331=""),"eine der Spalten BAB, FR, km leer?",CONCATENATE(VLOOKUP(VALUE(I331),[1]Grundlage!$A$1:$B$14,2,0),IF(LEFT(A331,1)="A",IF(VALUE(MID(A331,2,10))&lt;10,"A00"&amp;VALUE(MID(A331,2,10)),IF(VALUE(MID(A331,2,10))&lt;100,"A0"&amp;VALUE(MID(A331,2,10)),IF(VALUE(MID(A331,2,10))&lt;1000,"A"&amp;VALUE(MID(A331,2,10))))),IF(LEFT(A331,1)="B",IF(VALUE(MID(A331,2,10))&lt;10,"B00"&amp;VALUE(MID(A331,2,10)),IF(VALUE(MID(A331,2,10))&lt;100,"B0"&amp;VALUE(MID(A331,2,10)),IF(VALUE(MID(A331,2,10))&lt;1000,"B"&amp;VALUE(MID(A331,2,10))))),A331)),"_",IF(NOT(OR(C331=1000,C331&gt;1000)),MID(TEXT((C331+1000)*1000,0),2,6),"keine Meter in Spalte km!!!"),IF(VALUE(I331)=1,CONCATENATE("_",VLOOKUP(IF(V331&gt;0,V331,J331),[1]Grundlage!$A$20:$B$181,2,0)),CONCATENATE("_",B331))))</f>
        <v>UQ_A095_032500_N</v>
      </c>
      <c r="F331" s="2" t="s">
        <v>269</v>
      </c>
      <c r="G331" s="167">
        <f t="shared" si="60"/>
        <v>37137</v>
      </c>
      <c r="H331">
        <f t="shared" si="61"/>
        <v>228</v>
      </c>
      <c r="I331" s="2">
        <f t="shared" si="65"/>
        <v>3</v>
      </c>
      <c r="J331" s="2">
        <f t="shared" si="66"/>
        <v>6</v>
      </c>
      <c r="K331" s="2">
        <v>207</v>
      </c>
      <c r="L331" s="2">
        <f t="shared" si="67"/>
        <v>3</v>
      </c>
      <c r="M331" s="2">
        <f t="shared" si="68"/>
        <v>1</v>
      </c>
      <c r="N331" s="2">
        <f t="shared" si="69"/>
        <v>1</v>
      </c>
      <c r="P331" s="168">
        <f t="shared" ref="P331:P394" si="70">IF(AT331&lt;&gt;3,"",IF(BB331="Helligkeitssensor",61,IF(BB331="Helligkeit",61,IF(BB332="Lichtsensor",61,IF(BB331="Lufttemperatur",48,IF(BB331="Niederschlagsart",71,IF(BB331="Niederschlagsintensität",53,IF(BB331="relative Luftfeuchte RLF",55,IF(BB331="Sichtweite",60,IF(BB331="Sichtweite 1",60,IF(BB331="Zustand der Fahrbahnoberfläche FBZ",79,IF(BB331="Wasserfilmdicke WFD",72,IF(BB331="Clusterkanal FG3","",IF(BB331="Gefriertemperatur GT",65,IF(BB331="Fahrbahnoberflächentemperatur FBT",49,VALUE(RIGHT(BB331,2)))))))))))))))))</f>
        <v>71</v>
      </c>
      <c r="AP331" s="40"/>
      <c r="AQ331" s="40"/>
      <c r="AR331" s="40"/>
      <c r="AS331" s="40"/>
      <c r="AT331" s="19">
        <v>3</v>
      </c>
      <c r="AU331" s="14">
        <v>6</v>
      </c>
      <c r="AV331" s="27">
        <v>6</v>
      </c>
      <c r="AW331" s="19"/>
      <c r="AX331" s="19"/>
      <c r="AY331" s="19">
        <v>1</v>
      </c>
      <c r="AZ331" s="14">
        <v>1</v>
      </c>
      <c r="BA331" s="100">
        <v>1</v>
      </c>
      <c r="BB331" s="13" t="s">
        <v>269</v>
      </c>
      <c r="BF331" s="2" t="s">
        <v>440</v>
      </c>
    </row>
    <row r="332" spans="1:58" ht="14.25" x14ac:dyDescent="0.2">
      <c r="A332" t="str">
        <f t="shared" si="62"/>
        <v>A95</v>
      </c>
      <c r="B332" s="2" t="s">
        <v>656</v>
      </c>
      <c r="C332">
        <f t="shared" si="63"/>
        <v>32.5</v>
      </c>
      <c r="D332" t="str">
        <f t="shared" si="64"/>
        <v>UFD</v>
      </c>
      <c r="E332" s="169" t="str">
        <f>IF(OR(A332="",B332="",C332=""),"eine der Spalten BAB, FR, km leer?",CONCATENATE(VLOOKUP(VALUE(I332),[1]Grundlage!$A$1:$B$14,2,0),IF(LEFT(A332,1)="A",IF(VALUE(MID(A332,2,10))&lt;10,"A00"&amp;VALUE(MID(A332,2,10)),IF(VALUE(MID(A332,2,10))&lt;100,"A0"&amp;VALUE(MID(A332,2,10)),IF(VALUE(MID(A332,2,10))&lt;1000,"A"&amp;VALUE(MID(A332,2,10))))),IF(LEFT(A332,1)="B",IF(VALUE(MID(A332,2,10))&lt;10,"B00"&amp;VALUE(MID(A332,2,10)),IF(VALUE(MID(A332,2,10))&lt;100,"B0"&amp;VALUE(MID(A332,2,10)),IF(VALUE(MID(A332,2,10))&lt;1000,"B"&amp;VALUE(MID(A332,2,10))))),A332)),"_",IF(NOT(OR(C332=1000,C332&gt;1000)),MID(TEXT((C332+1000)*1000,0),2,6),"keine Meter in Spalte km!!!"),IF(VALUE(I332)=1,CONCATENATE("_",VLOOKUP(IF(V332&gt;0,V332,J332),[1]Grundlage!$A$20:$B$181,2,0)),CONCATENATE("_",B332))))</f>
        <v>UQ_A095_032500_N</v>
      </c>
      <c r="F332" s="2" t="s">
        <v>270</v>
      </c>
      <c r="G332" s="167">
        <f t="shared" si="60"/>
        <v>37137</v>
      </c>
      <c r="H332">
        <f t="shared" si="61"/>
        <v>228</v>
      </c>
      <c r="I332" s="2">
        <f t="shared" si="65"/>
        <v>3</v>
      </c>
      <c r="J332" s="2">
        <f t="shared" si="66"/>
        <v>11</v>
      </c>
      <c r="K332" s="2">
        <v>207</v>
      </c>
      <c r="L332" s="2">
        <f t="shared" si="67"/>
        <v>3</v>
      </c>
      <c r="M332" s="2">
        <f t="shared" si="68"/>
        <v>1</v>
      </c>
      <c r="N332" s="2">
        <f t="shared" si="69"/>
        <v>2</v>
      </c>
      <c r="P332" s="168">
        <f t="shared" si="70"/>
        <v>70</v>
      </c>
      <c r="AT332" s="19">
        <v>3</v>
      </c>
      <c r="AU332" s="14">
        <v>11</v>
      </c>
      <c r="AV332" s="14" t="s">
        <v>78</v>
      </c>
      <c r="AW332" s="13"/>
      <c r="AX332" s="13"/>
      <c r="AY332" s="19">
        <v>1</v>
      </c>
      <c r="AZ332" s="14">
        <v>2</v>
      </c>
      <c r="BA332" s="14">
        <v>2</v>
      </c>
      <c r="BB332" s="13" t="s">
        <v>270</v>
      </c>
      <c r="BF332" s="2" t="s">
        <v>478</v>
      </c>
    </row>
    <row r="333" spans="1:58" ht="14.25" x14ac:dyDescent="0.2">
      <c r="A333" t="str">
        <f t="shared" si="62"/>
        <v>A95</v>
      </c>
      <c r="B333" s="2" t="s">
        <v>656</v>
      </c>
      <c r="C333">
        <f t="shared" si="63"/>
        <v>32.5</v>
      </c>
      <c r="D333" t="str">
        <f t="shared" si="64"/>
        <v>UFD</v>
      </c>
      <c r="E333" s="169" t="str">
        <f>IF(OR(A333="",B333="",C333=""),"eine der Spalten BAB, FR, km leer?",CONCATENATE(VLOOKUP(VALUE(I333),[1]Grundlage!$A$1:$B$14,2,0),IF(LEFT(A333,1)="A",IF(VALUE(MID(A333,2,10))&lt;10,"A00"&amp;VALUE(MID(A333,2,10)),IF(VALUE(MID(A333,2,10))&lt;100,"A0"&amp;VALUE(MID(A333,2,10)),IF(VALUE(MID(A333,2,10))&lt;1000,"A"&amp;VALUE(MID(A333,2,10))))),IF(LEFT(A333,1)="B",IF(VALUE(MID(A333,2,10))&lt;10,"B00"&amp;VALUE(MID(A333,2,10)),IF(VALUE(MID(A333,2,10))&lt;100,"B0"&amp;VALUE(MID(A333,2,10)),IF(VALUE(MID(A333,2,10))&lt;1000,"B"&amp;VALUE(MID(A333,2,10))))),A333)),"_",IF(NOT(OR(C333=1000,C333&gt;1000)),MID(TEXT((C333+1000)*1000,0),2,6),"keine Meter in Spalte km!!!"),IF(VALUE(I333)=1,CONCATENATE("_",VLOOKUP(IF(V333&gt;0,V333,J333),[1]Grundlage!$A$20:$B$181,2,0)),CONCATENATE("_",B333))))</f>
        <v>UQ_A095_032500_N</v>
      </c>
      <c r="F333" s="2" t="s">
        <v>25</v>
      </c>
      <c r="G333" s="167">
        <f t="shared" si="60"/>
        <v>37137</v>
      </c>
      <c r="H333">
        <f t="shared" si="61"/>
        <v>228</v>
      </c>
      <c r="I333" s="2">
        <f t="shared" si="65"/>
        <v>3</v>
      </c>
      <c r="J333" s="2">
        <f t="shared" si="66"/>
        <v>12</v>
      </c>
      <c r="K333" s="2">
        <v>207</v>
      </c>
      <c r="L333" s="2">
        <f t="shared" si="67"/>
        <v>3</v>
      </c>
      <c r="M333" s="2">
        <f t="shared" si="68"/>
        <v>1</v>
      </c>
      <c r="N333" s="2">
        <f t="shared" si="69"/>
        <v>3</v>
      </c>
      <c r="P333" s="168">
        <f t="shared" si="70"/>
        <v>48</v>
      </c>
      <c r="AT333" s="1">
        <v>3</v>
      </c>
      <c r="AU333" s="11">
        <v>12</v>
      </c>
      <c r="AV333" s="11" t="s">
        <v>79</v>
      </c>
      <c r="AY333" s="1">
        <v>1</v>
      </c>
      <c r="AZ333" s="11">
        <v>3</v>
      </c>
      <c r="BA333" s="11">
        <v>3</v>
      </c>
      <c r="BB333" s="2" t="s">
        <v>25</v>
      </c>
      <c r="BF333" s="13" t="s">
        <v>441</v>
      </c>
    </row>
    <row r="334" spans="1:58" ht="14.25" x14ac:dyDescent="0.2">
      <c r="A334" t="str">
        <f t="shared" si="62"/>
        <v>A95</v>
      </c>
      <c r="B334" s="2" t="s">
        <v>656</v>
      </c>
      <c r="C334">
        <f t="shared" si="63"/>
        <v>32.5</v>
      </c>
      <c r="D334" t="str">
        <f t="shared" si="64"/>
        <v>UFD</v>
      </c>
      <c r="E334" s="169" t="str">
        <f>IF(OR(A334="",B334="",C334=""),"eine der Spalten BAB, FR, km leer?",CONCATENATE(VLOOKUP(VALUE(I334),[1]Grundlage!$A$1:$B$14,2,0),IF(LEFT(A334,1)="A",IF(VALUE(MID(A334,2,10))&lt;10,"A00"&amp;VALUE(MID(A334,2,10)),IF(VALUE(MID(A334,2,10))&lt;100,"A0"&amp;VALUE(MID(A334,2,10)),IF(VALUE(MID(A334,2,10))&lt;1000,"A"&amp;VALUE(MID(A334,2,10))))),IF(LEFT(A334,1)="B",IF(VALUE(MID(A334,2,10))&lt;10,"B00"&amp;VALUE(MID(A334,2,10)),IF(VALUE(MID(A334,2,10))&lt;100,"B0"&amp;VALUE(MID(A334,2,10)),IF(VALUE(MID(A334,2,10))&lt;1000,"B"&amp;VALUE(MID(A334,2,10))))),A334)),"_",IF(NOT(OR(C334=1000,C334&gt;1000)),MID(TEXT((C334+1000)*1000,0),2,6),"keine Meter in Spalte km!!!"),IF(VALUE(I334)=1,CONCATENATE("_",VLOOKUP(IF(V334&gt;0,V334,J334),[1]Grundlage!$A$20:$B$181,2,0)),CONCATENATE("_",B334))))</f>
        <v>UQ_A095_032500_N</v>
      </c>
      <c r="F334" s="2" t="s">
        <v>26</v>
      </c>
      <c r="G334" s="167">
        <f t="shared" si="60"/>
        <v>37137</v>
      </c>
      <c r="H334">
        <f t="shared" si="61"/>
        <v>228</v>
      </c>
      <c r="I334" s="2">
        <f t="shared" si="65"/>
        <v>3</v>
      </c>
      <c r="J334" s="2">
        <f t="shared" si="66"/>
        <v>13</v>
      </c>
      <c r="K334" s="2">
        <v>207</v>
      </c>
      <c r="L334" s="2">
        <f t="shared" si="67"/>
        <v>3</v>
      </c>
      <c r="M334" s="2">
        <f t="shared" si="68"/>
        <v>1</v>
      </c>
      <c r="N334" s="2">
        <f t="shared" si="69"/>
        <v>4</v>
      </c>
      <c r="P334" s="168">
        <f t="shared" si="70"/>
        <v>55</v>
      </c>
      <c r="AT334" s="1">
        <v>3</v>
      </c>
      <c r="AU334" s="11">
        <v>13</v>
      </c>
      <c r="AV334" s="11" t="s">
        <v>80</v>
      </c>
      <c r="AY334" s="1">
        <v>1</v>
      </c>
      <c r="AZ334" s="14">
        <v>4</v>
      </c>
      <c r="BA334" s="11">
        <v>4</v>
      </c>
      <c r="BB334" s="2" t="s">
        <v>26</v>
      </c>
      <c r="BF334" s="13" t="s">
        <v>442</v>
      </c>
    </row>
    <row r="335" spans="1:58" ht="14.25" x14ac:dyDescent="0.2">
      <c r="A335" t="str">
        <f t="shared" si="62"/>
        <v>A95</v>
      </c>
      <c r="B335" s="2" t="s">
        <v>656</v>
      </c>
      <c r="C335">
        <f t="shared" si="63"/>
        <v>32.5</v>
      </c>
      <c r="D335" t="str">
        <f t="shared" si="64"/>
        <v>UFD</v>
      </c>
      <c r="E335" s="169" t="str">
        <f>IF(OR(A335="",B335="",C335=""),"eine der Spalten BAB, FR, km leer?",CONCATENATE(VLOOKUP(VALUE(I335),[1]Grundlage!$A$1:$B$14,2,0),IF(LEFT(A335,1)="A",IF(VALUE(MID(A335,2,10))&lt;10,"A00"&amp;VALUE(MID(A335,2,10)),IF(VALUE(MID(A335,2,10))&lt;100,"A0"&amp;VALUE(MID(A335,2,10)),IF(VALUE(MID(A335,2,10))&lt;1000,"A"&amp;VALUE(MID(A335,2,10))))),IF(LEFT(A335,1)="B",IF(VALUE(MID(A335,2,10))&lt;10,"B00"&amp;VALUE(MID(A335,2,10)),IF(VALUE(MID(A335,2,10))&lt;100,"B0"&amp;VALUE(MID(A335,2,10)),IF(VALUE(MID(A335,2,10))&lt;1000,"B"&amp;VALUE(MID(A335,2,10))))),A335)),"_",IF(NOT(OR(C335=1000,C335&gt;1000)),MID(TEXT((C335+1000)*1000,0),2,6),"keine Meter in Spalte km!!!"),IF(VALUE(I335)=1,CONCATENATE("_",VLOOKUP(IF(V335&gt;0,V335,J335),[1]Grundlage!$A$20:$B$181,2,0)),CONCATENATE("_",B335))))</f>
        <v>UQ_A095_032500_N</v>
      </c>
      <c r="F335" s="2" t="s">
        <v>27</v>
      </c>
      <c r="G335" s="167">
        <f t="shared" si="60"/>
        <v>37137</v>
      </c>
      <c r="H335">
        <f t="shared" si="61"/>
        <v>228</v>
      </c>
      <c r="I335" s="2">
        <f t="shared" si="65"/>
        <v>3</v>
      </c>
      <c r="J335" s="2">
        <f t="shared" si="66"/>
        <v>14</v>
      </c>
      <c r="K335" s="2">
        <v>207</v>
      </c>
      <c r="L335" s="2">
        <f t="shared" si="67"/>
        <v>3</v>
      </c>
      <c r="M335" s="2">
        <f t="shared" si="68"/>
        <v>1</v>
      </c>
      <c r="N335" s="2">
        <f t="shared" si="69"/>
        <v>5</v>
      </c>
      <c r="P335" s="168">
        <f t="shared" si="70"/>
        <v>66</v>
      </c>
      <c r="AT335" s="1">
        <v>3</v>
      </c>
      <c r="AU335" s="11">
        <v>14</v>
      </c>
      <c r="AV335" s="14" t="s">
        <v>81</v>
      </c>
      <c r="AY335" s="1">
        <v>1</v>
      </c>
      <c r="AZ335" s="14">
        <v>5</v>
      </c>
      <c r="BA335" s="11">
        <v>5</v>
      </c>
      <c r="BB335" s="2" t="s">
        <v>27</v>
      </c>
      <c r="BF335" s="13" t="s">
        <v>443</v>
      </c>
    </row>
    <row r="336" spans="1:58" ht="14.25" x14ac:dyDescent="0.2">
      <c r="A336" t="str">
        <f t="shared" si="62"/>
        <v>A95</v>
      </c>
      <c r="B336" s="2" t="s">
        <v>656</v>
      </c>
      <c r="C336">
        <f t="shared" si="63"/>
        <v>32.5</v>
      </c>
      <c r="D336" t="str">
        <f t="shared" si="64"/>
        <v>UFD</v>
      </c>
      <c r="E336" s="169" t="str">
        <f>IF(OR(A336="",B336="",C336=""),"eine der Spalten BAB, FR, km leer?",CONCATENATE(VLOOKUP(VALUE(I336),[1]Grundlage!$A$1:$B$14,2,0),IF(LEFT(A336,1)="A",IF(VALUE(MID(A336,2,10))&lt;10,"A00"&amp;VALUE(MID(A336,2,10)),IF(VALUE(MID(A336,2,10))&lt;100,"A0"&amp;VALUE(MID(A336,2,10)),IF(VALUE(MID(A336,2,10))&lt;1000,"A"&amp;VALUE(MID(A336,2,10))))),IF(LEFT(A336,1)="B",IF(VALUE(MID(A336,2,10))&lt;10,"B00"&amp;VALUE(MID(A336,2,10)),IF(VALUE(MID(A336,2,10))&lt;100,"B0"&amp;VALUE(MID(A336,2,10)),IF(VALUE(MID(A336,2,10))&lt;1000,"B"&amp;VALUE(MID(A336,2,10))))),A336)),"_",IF(NOT(OR(C336=1000,C336&gt;1000)),MID(TEXT((C336+1000)*1000,0),2,6),"keine Meter in Spalte km!!!"),IF(VALUE(I336)=1,CONCATENATE("_",VLOOKUP(IF(V336&gt;0,V336,J336),[1]Grundlage!$A$20:$B$181,2,0)),CONCATENATE("_",B336))))</f>
        <v>UQ_A095_032500_N</v>
      </c>
      <c r="F336" s="2" t="s">
        <v>28</v>
      </c>
      <c r="G336" s="167">
        <f t="shared" si="60"/>
        <v>37137</v>
      </c>
      <c r="H336">
        <f t="shared" si="61"/>
        <v>228</v>
      </c>
      <c r="I336" s="2">
        <f t="shared" si="65"/>
        <v>3</v>
      </c>
      <c r="J336" s="2">
        <f t="shared" si="66"/>
        <v>15</v>
      </c>
      <c r="K336" s="2">
        <v>207</v>
      </c>
      <c r="L336" s="2">
        <f t="shared" si="67"/>
        <v>3</v>
      </c>
      <c r="M336" s="2">
        <f t="shared" si="68"/>
        <v>1</v>
      </c>
      <c r="N336" s="2">
        <f t="shared" si="69"/>
        <v>6</v>
      </c>
      <c r="P336" s="168">
        <f t="shared" si="70"/>
        <v>65</v>
      </c>
      <c r="AT336" s="1">
        <v>3</v>
      </c>
      <c r="AU336" s="11">
        <v>15</v>
      </c>
      <c r="AV336" s="14" t="s">
        <v>82</v>
      </c>
      <c r="AY336" s="1">
        <v>1</v>
      </c>
      <c r="AZ336" s="14">
        <v>6</v>
      </c>
      <c r="BA336" s="11">
        <v>6</v>
      </c>
      <c r="BB336" s="2" t="s">
        <v>28</v>
      </c>
      <c r="BF336" s="13" t="s">
        <v>482</v>
      </c>
    </row>
    <row r="337" spans="1:58" ht="14.25" x14ac:dyDescent="0.2">
      <c r="A337" t="str">
        <f t="shared" si="62"/>
        <v>A95</v>
      </c>
      <c r="B337" s="2" t="s">
        <v>656</v>
      </c>
      <c r="C337">
        <f t="shared" si="63"/>
        <v>32.5</v>
      </c>
      <c r="D337" t="str">
        <f t="shared" si="64"/>
        <v>UFD</v>
      </c>
      <c r="E337" s="169" t="str">
        <f>IF(OR(A337="",B337="",C337=""),"eine der Spalten BAB, FR, km leer?",CONCATENATE(VLOOKUP(VALUE(I337),[1]Grundlage!$A$1:$B$14,2,0),IF(LEFT(A337,1)="A",IF(VALUE(MID(A337,2,10))&lt;10,"A00"&amp;VALUE(MID(A337,2,10)),IF(VALUE(MID(A337,2,10))&lt;100,"A0"&amp;VALUE(MID(A337,2,10)),IF(VALUE(MID(A337,2,10))&lt;1000,"A"&amp;VALUE(MID(A337,2,10))))),IF(LEFT(A337,1)="B",IF(VALUE(MID(A337,2,10))&lt;10,"B00"&amp;VALUE(MID(A337,2,10)),IF(VALUE(MID(A337,2,10))&lt;100,"B0"&amp;VALUE(MID(A337,2,10)),IF(VALUE(MID(A337,2,10))&lt;1000,"B"&amp;VALUE(MID(A337,2,10))))),A337)),"_",IF(NOT(OR(C337=1000,C337&gt;1000)),MID(TEXT((C337+1000)*1000,0),2,6),"keine Meter in Spalte km!!!"),IF(VALUE(I337)=1,CONCATENATE("_",VLOOKUP(IF(V337&gt;0,V337,J337),[1]Grundlage!$A$20:$B$181,2,0)),CONCATENATE("_",B337))))</f>
        <v>UQ_A095_032500_N</v>
      </c>
      <c r="F337" s="2" t="s">
        <v>29</v>
      </c>
      <c r="G337" s="167">
        <f t="shared" si="60"/>
        <v>37137</v>
      </c>
      <c r="H337">
        <f t="shared" si="61"/>
        <v>228</v>
      </c>
      <c r="I337" s="2">
        <f t="shared" si="65"/>
        <v>3</v>
      </c>
      <c r="J337" s="2">
        <f t="shared" si="66"/>
        <v>19</v>
      </c>
      <c r="K337" s="2">
        <v>207</v>
      </c>
      <c r="L337" s="2">
        <f t="shared" si="67"/>
        <v>3</v>
      </c>
      <c r="M337" s="2">
        <f t="shared" si="68"/>
        <v>1</v>
      </c>
      <c r="N337" s="2">
        <f t="shared" si="69"/>
        <v>7</v>
      </c>
      <c r="P337" s="168">
        <f t="shared" si="70"/>
        <v>49</v>
      </c>
      <c r="AT337" s="1">
        <v>3</v>
      </c>
      <c r="AU337" s="11">
        <v>19</v>
      </c>
      <c r="AV337" s="11">
        <v>13</v>
      </c>
      <c r="AY337" s="1">
        <v>1</v>
      </c>
      <c r="AZ337" s="14">
        <v>7</v>
      </c>
      <c r="BA337" s="11">
        <v>7</v>
      </c>
      <c r="BB337" s="2" t="s">
        <v>29</v>
      </c>
      <c r="BF337" s="13" t="s">
        <v>479</v>
      </c>
    </row>
    <row r="338" spans="1:58" ht="14.25" x14ac:dyDescent="0.2">
      <c r="A338" t="str">
        <f t="shared" si="62"/>
        <v>A95</v>
      </c>
      <c r="B338" s="2" t="s">
        <v>656</v>
      </c>
      <c r="C338">
        <f t="shared" si="63"/>
        <v>32.5</v>
      </c>
      <c r="D338" t="str">
        <f t="shared" si="64"/>
        <v>UFD</v>
      </c>
      <c r="E338" s="169" t="str">
        <f>IF(OR(A338="",B338="",C338=""),"eine der Spalten BAB, FR, km leer?",CONCATENATE(VLOOKUP(VALUE(I338),[1]Grundlage!$A$1:$B$14,2,0),IF(LEFT(A338,1)="A",IF(VALUE(MID(A338,2,10))&lt;10,"A00"&amp;VALUE(MID(A338,2,10)),IF(VALUE(MID(A338,2,10))&lt;100,"A0"&amp;VALUE(MID(A338,2,10)),IF(VALUE(MID(A338,2,10))&lt;1000,"A"&amp;VALUE(MID(A338,2,10))))),IF(LEFT(A338,1)="B",IF(VALUE(MID(A338,2,10))&lt;10,"B00"&amp;VALUE(MID(A338,2,10)),IF(VALUE(MID(A338,2,10))&lt;100,"B0"&amp;VALUE(MID(A338,2,10)),IF(VALUE(MID(A338,2,10))&lt;1000,"B"&amp;VALUE(MID(A338,2,10))))),A338)),"_",IF(NOT(OR(C338=1000,C338&gt;1000)),MID(TEXT((C338+1000)*1000,0),2,6),"keine Meter in Spalte km!!!"),IF(VALUE(I338)=1,CONCATENATE("_",VLOOKUP(IF(V338&gt;0,V338,J338),[1]Grundlage!$A$20:$B$181,2,0)),CONCATENATE("_",B338))))</f>
        <v>UQ_A095_032500_N</v>
      </c>
      <c r="F338" s="2" t="s">
        <v>30</v>
      </c>
      <c r="G338" s="167">
        <f t="shared" si="60"/>
        <v>37137</v>
      </c>
      <c r="H338">
        <f t="shared" si="61"/>
        <v>228</v>
      </c>
      <c r="I338" s="2">
        <f t="shared" si="65"/>
        <v>3</v>
      </c>
      <c r="J338" s="2">
        <f t="shared" si="66"/>
        <v>21</v>
      </c>
      <c r="K338" s="2">
        <v>207</v>
      </c>
      <c r="L338" s="2">
        <f t="shared" si="67"/>
        <v>3</v>
      </c>
      <c r="M338" s="2">
        <f t="shared" si="68"/>
        <v>1</v>
      </c>
      <c r="N338" s="2">
        <f t="shared" si="69"/>
        <v>8</v>
      </c>
      <c r="P338" s="168">
        <f t="shared" si="70"/>
        <v>67</v>
      </c>
      <c r="AS338" s="13"/>
      <c r="AT338" s="19">
        <v>3</v>
      </c>
      <c r="AU338" s="14">
        <v>21</v>
      </c>
      <c r="AV338" s="14">
        <v>15</v>
      </c>
      <c r="AW338" s="13"/>
      <c r="AX338" s="13"/>
      <c r="AY338" s="19">
        <v>1</v>
      </c>
      <c r="AZ338" s="14">
        <v>8</v>
      </c>
      <c r="BA338" s="14">
        <v>8</v>
      </c>
      <c r="BB338" s="13" t="s">
        <v>30</v>
      </c>
      <c r="BF338" s="13" t="s">
        <v>480</v>
      </c>
    </row>
    <row r="339" spans="1:58" ht="14.25" x14ac:dyDescent="0.2">
      <c r="A339" t="str">
        <f t="shared" si="62"/>
        <v>A95</v>
      </c>
      <c r="B339" s="2" t="s">
        <v>656</v>
      </c>
      <c r="C339">
        <f t="shared" si="63"/>
        <v>32.5</v>
      </c>
      <c r="D339" t="str">
        <f t="shared" si="64"/>
        <v>UFD</v>
      </c>
      <c r="E339" s="169" t="str">
        <f>IF(OR(A339="",B339="",C339=""),"eine der Spalten BAB, FR, km leer?",CONCATENATE(VLOOKUP(VALUE(I339),[1]Grundlage!$A$1:$B$14,2,0),IF(LEFT(A339,1)="A",IF(VALUE(MID(A339,2,10))&lt;10,"A00"&amp;VALUE(MID(A339,2,10)),IF(VALUE(MID(A339,2,10))&lt;100,"A0"&amp;VALUE(MID(A339,2,10)),IF(VALUE(MID(A339,2,10))&lt;1000,"A"&amp;VALUE(MID(A339,2,10))))),IF(LEFT(A339,1)="B",IF(VALUE(MID(A339,2,10))&lt;10,"B00"&amp;VALUE(MID(A339,2,10)),IF(VALUE(MID(A339,2,10))&lt;100,"B0"&amp;VALUE(MID(A339,2,10)),IF(VALUE(MID(A339,2,10))&lt;1000,"B"&amp;VALUE(MID(A339,2,10))))),A339)),"_",IF(NOT(OR(C339=1000,C339&gt;1000)),MID(TEXT((C339+1000)*1000,0),2,6),"keine Meter in Spalte km!!!"),IF(VALUE(I339)=1,CONCATENATE("_",VLOOKUP(IF(V339&gt;0,V339,J339),[1]Grundlage!$A$20:$B$181,2,0)),CONCATENATE("_",B339))))</f>
        <v>UQ_A095_032500_N</v>
      </c>
      <c r="F339" s="2" t="s">
        <v>41</v>
      </c>
      <c r="G339" s="167">
        <f t="shared" si="60"/>
        <v>37137</v>
      </c>
      <c r="H339">
        <f t="shared" si="61"/>
        <v>228</v>
      </c>
      <c r="I339" s="2">
        <f t="shared" si="65"/>
        <v>3</v>
      </c>
      <c r="J339" s="2">
        <f t="shared" si="66"/>
        <v>24</v>
      </c>
      <c r="K339" s="2">
        <v>207</v>
      </c>
      <c r="L339" s="2">
        <f t="shared" si="67"/>
        <v>3</v>
      </c>
      <c r="M339" s="2">
        <f t="shared" si="68"/>
        <v>1</v>
      </c>
      <c r="N339" s="2">
        <f t="shared" si="69"/>
        <v>9</v>
      </c>
      <c r="P339" s="168">
        <f t="shared" si="70"/>
        <v>69</v>
      </c>
      <c r="AS339" s="13"/>
      <c r="AT339" s="19">
        <v>3</v>
      </c>
      <c r="AU339" s="14">
        <v>24</v>
      </c>
      <c r="AV339" s="14">
        <v>18</v>
      </c>
      <c r="AW339" s="13"/>
      <c r="AX339" s="13"/>
      <c r="AY339" s="19">
        <v>1</v>
      </c>
      <c r="AZ339" s="14">
        <v>9</v>
      </c>
      <c r="BA339" s="14">
        <v>9</v>
      </c>
      <c r="BB339" s="13" t="s">
        <v>41</v>
      </c>
      <c r="BF339" s="13" t="s">
        <v>465</v>
      </c>
    </row>
    <row r="340" spans="1:58" ht="14.25" x14ac:dyDescent="0.2">
      <c r="A340" t="str">
        <f t="shared" si="62"/>
        <v>A95</v>
      </c>
      <c r="B340" s="2" t="s">
        <v>656</v>
      </c>
      <c r="C340">
        <f t="shared" si="63"/>
        <v>32.5</v>
      </c>
      <c r="D340" t="str">
        <f t="shared" si="64"/>
        <v>UFD</v>
      </c>
      <c r="E340" s="169" t="str">
        <f>IF(OR(A340="",B340="",C340=""),"eine der Spalten BAB, FR, km leer?",CONCATENATE(VLOOKUP(VALUE(I340),[1]Grundlage!$A$1:$B$14,2,0),IF(LEFT(A340,1)="A",IF(VALUE(MID(A340,2,10))&lt;10,"A00"&amp;VALUE(MID(A340,2,10)),IF(VALUE(MID(A340,2,10))&lt;100,"A0"&amp;VALUE(MID(A340,2,10)),IF(VALUE(MID(A340,2,10))&lt;1000,"A"&amp;VALUE(MID(A340,2,10))))),IF(LEFT(A340,1)="B",IF(VALUE(MID(A340,2,10))&lt;10,"B00"&amp;VALUE(MID(A340,2,10)),IF(VALUE(MID(A340,2,10))&lt;100,"B0"&amp;VALUE(MID(A340,2,10)),IF(VALUE(MID(A340,2,10))&lt;1000,"B"&amp;VALUE(MID(A340,2,10))))),A340)),"_",IF(NOT(OR(C340=1000,C340&gt;1000)),MID(TEXT((C340+1000)*1000,0),2,6),"keine Meter in Spalte km!!!"),IF(VALUE(I340)=1,CONCATENATE("_",VLOOKUP(IF(V340&gt;0,V340,J340),[1]Grundlage!$A$20:$B$181,2,0)),CONCATENATE("_",B340))))</f>
        <v>UQ_A095_032500_N</v>
      </c>
      <c r="F340" s="2" t="s">
        <v>271</v>
      </c>
      <c r="G340" s="167">
        <f t="shared" si="60"/>
        <v>37137</v>
      </c>
      <c r="H340">
        <f t="shared" si="61"/>
        <v>228</v>
      </c>
      <c r="I340" s="2">
        <f t="shared" si="65"/>
        <v>3</v>
      </c>
      <c r="J340" s="2">
        <f t="shared" si="66"/>
        <v>67</v>
      </c>
      <c r="K340" s="2">
        <v>207</v>
      </c>
      <c r="L340" s="2">
        <f t="shared" si="67"/>
        <v>3</v>
      </c>
      <c r="M340" s="2">
        <f t="shared" si="68"/>
        <v>1</v>
      </c>
      <c r="N340" s="2">
        <f t="shared" si="69"/>
        <v>10</v>
      </c>
      <c r="P340" s="168">
        <f t="shared" si="70"/>
        <v>53</v>
      </c>
      <c r="AS340" s="13"/>
      <c r="AT340" s="19">
        <v>3</v>
      </c>
      <c r="AU340" s="14">
        <v>67</v>
      </c>
      <c r="AV340" s="14">
        <v>43</v>
      </c>
      <c r="AW340" s="13"/>
      <c r="AX340" s="13"/>
      <c r="AY340" s="19">
        <v>1</v>
      </c>
      <c r="AZ340" s="14">
        <v>10</v>
      </c>
      <c r="BA340" s="34" t="s">
        <v>95</v>
      </c>
      <c r="BB340" s="13" t="s">
        <v>271</v>
      </c>
      <c r="BF340" s="13" t="s">
        <v>444</v>
      </c>
    </row>
    <row r="341" spans="1:58" ht="14.25" x14ac:dyDescent="0.2">
      <c r="A341" t="str">
        <f t="shared" si="62"/>
        <v>A95</v>
      </c>
      <c r="B341" s="2" t="s">
        <v>656</v>
      </c>
      <c r="C341">
        <f t="shared" si="63"/>
        <v>32.5</v>
      </c>
      <c r="D341" t="str">
        <f t="shared" si="64"/>
        <v>UFD</v>
      </c>
      <c r="E341" s="169" t="str">
        <f>IF(OR(A341="",B341="",C341=""),"eine der Spalten BAB, FR, km leer?",CONCATENATE(VLOOKUP(VALUE(I341),[1]Grundlage!$A$1:$B$14,2,0),IF(LEFT(A341,1)="A",IF(VALUE(MID(A341,2,10))&lt;10,"A00"&amp;VALUE(MID(A341,2,10)),IF(VALUE(MID(A341,2,10))&lt;100,"A0"&amp;VALUE(MID(A341,2,10)),IF(VALUE(MID(A341,2,10))&lt;1000,"A"&amp;VALUE(MID(A341,2,10))))),IF(LEFT(A341,1)="B",IF(VALUE(MID(A341,2,10))&lt;10,"B00"&amp;VALUE(MID(A341,2,10)),IF(VALUE(MID(A341,2,10))&lt;100,"B0"&amp;VALUE(MID(A341,2,10)),IF(VALUE(MID(A341,2,10))&lt;1000,"B"&amp;VALUE(MID(A341,2,10))))),A341)),"_",IF(NOT(OR(C341=1000,C341&gt;1000)),MID(TEXT((C341+1000)*1000,0),2,6),"keine Meter in Spalte km!!!"),IF(VALUE(I341)=1,CONCATENATE("_",VLOOKUP(IF(V341&gt;0,V341,J341),[1]Grundlage!$A$20:$B$181,2,0)),CONCATENATE("_",B341))))</f>
        <v>UQ_A095_032500_N</v>
      </c>
      <c r="F341" s="2" t="s">
        <v>272</v>
      </c>
      <c r="G341" s="167">
        <f t="shared" si="60"/>
        <v>37137</v>
      </c>
      <c r="H341">
        <f t="shared" si="61"/>
        <v>228</v>
      </c>
      <c r="I341" s="2">
        <f t="shared" si="65"/>
        <v>3</v>
      </c>
      <c r="J341" s="2">
        <f t="shared" si="66"/>
        <v>82</v>
      </c>
      <c r="K341" s="2">
        <v>207</v>
      </c>
      <c r="L341" s="2">
        <f t="shared" si="67"/>
        <v>3</v>
      </c>
      <c r="M341" s="2">
        <f t="shared" si="68"/>
        <v>1</v>
      </c>
      <c r="N341" s="2">
        <f t="shared" si="69"/>
        <v>11</v>
      </c>
      <c r="P341" s="168">
        <f t="shared" si="70"/>
        <v>72</v>
      </c>
      <c r="AS341" s="13"/>
      <c r="AT341" s="19">
        <v>3</v>
      </c>
      <c r="AU341" s="14">
        <v>82</v>
      </c>
      <c r="AV341" s="14">
        <v>52</v>
      </c>
      <c r="AW341" s="13"/>
      <c r="AX341" s="13"/>
      <c r="AY341" s="19">
        <v>1</v>
      </c>
      <c r="AZ341" s="14">
        <v>11</v>
      </c>
      <c r="BA341" s="34" t="s">
        <v>78</v>
      </c>
      <c r="BB341" s="13" t="s">
        <v>272</v>
      </c>
      <c r="BF341" s="13" t="s">
        <v>481</v>
      </c>
    </row>
    <row r="342" spans="1:58" s="13" customFormat="1" ht="14.25" x14ac:dyDescent="0.2">
      <c r="A342" t="str">
        <f t="shared" si="62"/>
        <v>A95</v>
      </c>
      <c r="B342" s="2"/>
      <c r="C342">
        <f t="shared" si="63"/>
        <v>32.5</v>
      </c>
      <c r="D342" t="str">
        <f t="shared" si="64"/>
        <v/>
      </c>
      <c r="E342" s="169" t="str">
        <f>IF(OR(A342="",B342="",C342=""),"",CONCATENATE(VLOOKUP(VALUE(I342),[1]Grundlage!$A$1:$B$14,2,0),IF(LEFT(A342,1)="A",IF(VALUE(MID(A342,2,10))&lt;10,"A00"&amp;VALUE(MID(A342,2,10)),IF(VALUE(MID(A342,2,10))&lt;100,"A0"&amp;VALUE(MID(A342,2,10)),IF(VALUE(MID(A342,2,10))&lt;1000,"A"&amp;VALUE(MID(A342,2,10))))),IF(LEFT(A342,1)="B",IF(VALUE(MID(A342,2,10))&lt;10,"B00"&amp;VALUE(MID(A342,2,10)),IF(VALUE(MID(A342,2,10))&lt;100,"B0"&amp;VALUE(MID(A342,2,10)),IF(VALUE(MID(A342,2,10))&lt;1000,"B"&amp;VALUE(MID(A342,2,10))))),A342)),"_",IF(NOT(OR(C342=1000,C342&gt;1000)),MID(TEXT((C342+1000)*1000,0),2,6),"keine Meter in Spalte km!!!"),IF(VALUE(I342)=1,CONCATENATE("_",VLOOKUP(IF(V342&gt;0,V342,J342),[1]Grundlage!$A$20:$B$181,2,0)),CONCATENATE("_",B342))))</f>
        <v/>
      </c>
      <c r="F342" s="2" t="s">
        <v>669</v>
      </c>
      <c r="G342" s="167">
        <f t="shared" si="60"/>
        <v>37137</v>
      </c>
      <c r="H342">
        <f t="shared" si="61"/>
        <v>228</v>
      </c>
      <c r="I342" s="2">
        <f t="shared" si="65"/>
        <v>0</v>
      </c>
      <c r="J342" s="2">
        <f t="shared" si="66"/>
        <v>0</v>
      </c>
      <c r="K342" s="2">
        <v>207</v>
      </c>
      <c r="L342" s="2">
        <f t="shared" si="67"/>
        <v>3</v>
      </c>
      <c r="M342" s="2" t="str">
        <f t="shared" si="68"/>
        <v/>
      </c>
      <c r="N342" s="2" t="str">
        <f t="shared" si="69"/>
        <v/>
      </c>
      <c r="O342" s="2"/>
      <c r="P342" s="168" t="str">
        <f t="shared" si="70"/>
        <v/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1"/>
      <c r="AT342" s="19"/>
      <c r="AU342" s="14"/>
      <c r="AV342" s="14"/>
      <c r="AY342" s="19"/>
      <c r="AZ342" s="14"/>
      <c r="BA342" s="34"/>
      <c r="BC342" s="25"/>
      <c r="BD342" s="25"/>
    </row>
    <row r="343" spans="1:58" s="13" customFormat="1" ht="14.25" x14ac:dyDescent="0.2">
      <c r="A343" t="str">
        <f t="shared" si="62"/>
        <v>A 95</v>
      </c>
      <c r="B343" s="2" t="s">
        <v>656</v>
      </c>
      <c r="C343">
        <f t="shared" si="63"/>
        <v>66.98</v>
      </c>
      <c r="D343" t="str">
        <f t="shared" si="64"/>
        <v>SS</v>
      </c>
      <c r="E343" s="169" t="str">
        <f>IF(OR(A343="",B343="",C343=""),"eine der Spalten BAB, FR, km leer?",CONCATENATE(VLOOKUP(VALUE(I343),[1]Grundlage!$A$1:$B$14,2,0),IF(LEFT(A343,1)="A",IF(VALUE(MID(A343,2,10))&lt;10,"A00"&amp;VALUE(MID(A343,2,10)),IF(VALUE(MID(A343,2,10))&lt;100,"A0"&amp;VALUE(MID(A343,2,10)),IF(VALUE(MID(A343,2,10))&lt;1000,"A"&amp;VALUE(MID(A343,2,10))))),IF(LEFT(A343,1)="B",IF(VALUE(MID(A343,2,10))&lt;10,"B00"&amp;VALUE(MID(A343,2,10)),IF(VALUE(MID(A343,2,10))&lt;100,"B0"&amp;VALUE(MID(A343,2,10)),IF(VALUE(MID(A343,2,10))&lt;1000,"B"&amp;VALUE(MID(A343,2,10))))),A343)),"_",IF(NOT(OR(C343=1000,C343&gt;1000)),MID(TEXT((C343+1000)*1000,0),2,6),"keine Meter in Spalte km!!!"),IF(VALUE(I343)=1,CONCATENATE("_",VLOOKUP(IF(V343&gt;0,V343,J343),[1]Grundlage!$A$20:$B$181,2,0)),CONCATENATE("_",B343))))</f>
        <v>SSt_A095_066980_N</v>
      </c>
      <c r="F343" s="2" t="s">
        <v>368</v>
      </c>
      <c r="G343" s="167">
        <f t="shared" si="60"/>
        <v>37143</v>
      </c>
      <c r="H343">
        <f t="shared" si="61"/>
        <v>71</v>
      </c>
      <c r="I343" s="2">
        <f t="shared" si="65"/>
        <v>254</v>
      </c>
      <c r="J343" s="2">
        <f t="shared" si="66"/>
        <v>0</v>
      </c>
      <c r="K343" s="2">
        <v>207</v>
      </c>
      <c r="L343" s="2">
        <f t="shared" si="67"/>
        <v>11</v>
      </c>
      <c r="M343" s="2" t="str">
        <f t="shared" si="68"/>
        <v/>
      </c>
      <c r="N343" s="2" t="str">
        <f t="shared" si="69"/>
        <v/>
      </c>
      <c r="O343" s="2"/>
      <c r="P343" s="168" t="str">
        <f t="shared" si="70"/>
        <v/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147">
        <v>66.98</v>
      </c>
      <c r="AJ343" s="148" t="s">
        <v>19</v>
      </c>
      <c r="AK343" s="148" t="s">
        <v>365</v>
      </c>
      <c r="AL343" s="148"/>
      <c r="AM343" s="148"/>
      <c r="AN343" s="148"/>
      <c r="AO343" s="148"/>
      <c r="AP343" s="162">
        <v>9508679</v>
      </c>
      <c r="AQ343" s="147">
        <v>91</v>
      </c>
      <c r="AR343" s="147">
        <v>17</v>
      </c>
      <c r="AS343" s="147">
        <v>47</v>
      </c>
      <c r="AT343" s="148"/>
      <c r="AU343" s="148"/>
      <c r="AV343" s="148"/>
      <c r="AW343" s="148"/>
      <c r="AX343" s="148">
        <v>11</v>
      </c>
      <c r="AY343" s="148"/>
      <c r="AZ343" s="148"/>
      <c r="BA343" s="148"/>
      <c r="BB343" s="149" t="s">
        <v>368</v>
      </c>
      <c r="BC343" s="150"/>
      <c r="BD343" s="151" t="s">
        <v>633</v>
      </c>
      <c r="BE343" s="152" t="s">
        <v>50</v>
      </c>
      <c r="BF343" s="13" t="s">
        <v>451</v>
      </c>
    </row>
    <row r="344" spans="1:58" s="13" customFormat="1" ht="14.25" x14ac:dyDescent="0.2">
      <c r="A344" t="str">
        <f t="shared" si="62"/>
        <v>A 95</v>
      </c>
      <c r="B344" s="2" t="s">
        <v>656</v>
      </c>
      <c r="C344">
        <f t="shared" si="63"/>
        <v>66.98</v>
      </c>
      <c r="D344" t="str">
        <f t="shared" si="64"/>
        <v>UFD</v>
      </c>
      <c r="E344" s="169" t="str">
        <f>IF(OR(A344="",B344="",C344=""),"eine der Spalten BAB, FR, km leer?",CONCATENATE(VLOOKUP(VALUE(I344),[1]Grundlage!$A$1:$B$14,2,0),IF(LEFT(A344,1)="A",IF(VALUE(MID(A344,2,10))&lt;10,"A00"&amp;VALUE(MID(A344,2,10)),IF(VALUE(MID(A344,2,10))&lt;100,"A0"&amp;VALUE(MID(A344,2,10)),IF(VALUE(MID(A344,2,10))&lt;1000,"A"&amp;VALUE(MID(A344,2,10))))),IF(LEFT(A344,1)="B",IF(VALUE(MID(A344,2,10))&lt;10,"B00"&amp;VALUE(MID(A344,2,10)),IF(VALUE(MID(A344,2,10))&lt;100,"B0"&amp;VALUE(MID(A344,2,10)),IF(VALUE(MID(A344,2,10))&lt;1000,"B"&amp;VALUE(MID(A344,2,10))))),A344)),"_",IF(NOT(OR(C344=1000,C344&gt;1000)),MID(TEXT((C344+1000)*1000,0),2,6),"keine Meter in Spalte km!!!"),IF(VALUE(I344)=1,CONCATENATE("_",VLOOKUP(IF(V344&gt;0,V344,J344),[1]Grundlage!$A$20:$B$181,2,0)),CONCATENATE("_",B344))))</f>
        <v>UQ_A095_066980_N</v>
      </c>
      <c r="F344" s="2" t="s">
        <v>269</v>
      </c>
      <c r="G344" s="167">
        <f t="shared" si="60"/>
        <v>37143</v>
      </c>
      <c r="H344">
        <f t="shared" si="61"/>
        <v>71</v>
      </c>
      <c r="I344" s="2">
        <f t="shared" si="65"/>
        <v>3</v>
      </c>
      <c r="J344" s="2">
        <f t="shared" si="66"/>
        <v>6</v>
      </c>
      <c r="K344" s="2">
        <v>207</v>
      </c>
      <c r="L344" s="2">
        <f t="shared" si="67"/>
        <v>11</v>
      </c>
      <c r="M344" s="2">
        <f t="shared" si="68"/>
        <v>1</v>
      </c>
      <c r="N344" s="2">
        <f t="shared" si="69"/>
        <v>1</v>
      </c>
      <c r="O344" s="2"/>
      <c r="P344" s="168">
        <f t="shared" si="70"/>
        <v>71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1"/>
      <c r="AJ344" s="2"/>
      <c r="AK344" s="2"/>
      <c r="AL344" s="146" t="s">
        <v>617</v>
      </c>
      <c r="AM344" s="146"/>
      <c r="AN344" s="146" t="s">
        <v>613</v>
      </c>
      <c r="AO344" s="146" t="s">
        <v>391</v>
      </c>
      <c r="AP344" s="40"/>
      <c r="AQ344" s="40">
        <v>145</v>
      </c>
      <c r="AR344" s="40">
        <v>23</v>
      </c>
      <c r="AS344" s="40">
        <v>71</v>
      </c>
      <c r="AT344" s="19">
        <v>3</v>
      </c>
      <c r="AU344" s="14">
        <v>6</v>
      </c>
      <c r="AV344" s="27">
        <v>6</v>
      </c>
      <c r="AW344" s="19"/>
      <c r="AX344" s="19"/>
      <c r="AY344" s="19">
        <v>1</v>
      </c>
      <c r="AZ344" s="14">
        <v>1</v>
      </c>
      <c r="BA344" s="27">
        <v>1</v>
      </c>
      <c r="BB344" s="13" t="s">
        <v>269</v>
      </c>
      <c r="BC344" s="16"/>
      <c r="BD344" s="16"/>
      <c r="BE344" s="2"/>
      <c r="BF344" s="2" t="s">
        <v>440</v>
      </c>
    </row>
    <row r="345" spans="1:58" s="13" customFormat="1" ht="14.25" x14ac:dyDescent="0.2">
      <c r="A345" t="str">
        <f t="shared" si="62"/>
        <v>A 95</v>
      </c>
      <c r="B345" s="2" t="s">
        <v>656</v>
      </c>
      <c r="C345">
        <f t="shared" si="63"/>
        <v>66.98</v>
      </c>
      <c r="D345" t="str">
        <f t="shared" si="64"/>
        <v>UFD</v>
      </c>
      <c r="E345" s="169" t="str">
        <f>IF(OR(A345="",B345="",C345=""),"eine der Spalten BAB, FR, km leer?",CONCATENATE(VLOOKUP(VALUE(I345),[1]Grundlage!$A$1:$B$14,2,0),IF(LEFT(A345,1)="A",IF(VALUE(MID(A345,2,10))&lt;10,"A00"&amp;VALUE(MID(A345,2,10)),IF(VALUE(MID(A345,2,10))&lt;100,"A0"&amp;VALUE(MID(A345,2,10)),IF(VALUE(MID(A345,2,10))&lt;1000,"A"&amp;VALUE(MID(A345,2,10))))),IF(LEFT(A345,1)="B",IF(VALUE(MID(A345,2,10))&lt;10,"B00"&amp;VALUE(MID(A345,2,10)),IF(VALUE(MID(A345,2,10))&lt;100,"B0"&amp;VALUE(MID(A345,2,10)),IF(VALUE(MID(A345,2,10))&lt;1000,"B"&amp;VALUE(MID(A345,2,10))))),A345)),"_",IF(NOT(OR(C345=1000,C345&gt;1000)),MID(TEXT((C345+1000)*1000,0),2,6),"keine Meter in Spalte km!!!"),IF(VALUE(I345)=1,CONCATENATE("_",VLOOKUP(IF(V345&gt;0,V345,J345),[1]Grundlage!$A$20:$B$181,2,0)),CONCATENATE("_",B345))))</f>
        <v>UQ_A095_066980_N</v>
      </c>
      <c r="F345" s="2" t="s">
        <v>270</v>
      </c>
      <c r="G345" s="167">
        <f t="shared" si="60"/>
        <v>37143</v>
      </c>
      <c r="H345">
        <f t="shared" si="61"/>
        <v>71</v>
      </c>
      <c r="I345" s="2">
        <f t="shared" si="65"/>
        <v>3</v>
      </c>
      <c r="J345" s="2">
        <f t="shared" si="66"/>
        <v>11</v>
      </c>
      <c r="K345" s="2">
        <v>207</v>
      </c>
      <c r="L345" s="2">
        <f t="shared" si="67"/>
        <v>11</v>
      </c>
      <c r="M345" s="2">
        <f t="shared" si="68"/>
        <v>1</v>
      </c>
      <c r="N345" s="2">
        <f t="shared" si="69"/>
        <v>2</v>
      </c>
      <c r="O345" s="2"/>
      <c r="P345" s="168">
        <f t="shared" si="70"/>
        <v>70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1"/>
      <c r="AJ345" s="2"/>
      <c r="AK345" s="2"/>
      <c r="AL345" s="146" t="s">
        <v>610</v>
      </c>
      <c r="AM345" s="146"/>
      <c r="AN345" s="146" t="s">
        <v>614</v>
      </c>
      <c r="AO345" s="146" t="s">
        <v>391</v>
      </c>
      <c r="AP345" s="2"/>
      <c r="AQ345" s="2"/>
      <c r="AR345" s="2"/>
      <c r="AS345" s="2"/>
      <c r="AT345" s="19">
        <v>3</v>
      </c>
      <c r="AU345" s="14">
        <v>11</v>
      </c>
      <c r="AV345" s="14" t="s">
        <v>78</v>
      </c>
      <c r="AY345" s="19">
        <v>1</v>
      </c>
      <c r="AZ345" s="14">
        <v>2</v>
      </c>
      <c r="BA345" s="14">
        <v>2</v>
      </c>
      <c r="BB345" s="13" t="s">
        <v>270</v>
      </c>
      <c r="BC345" s="16"/>
      <c r="BD345" s="16"/>
      <c r="BE345" s="2"/>
      <c r="BF345" s="2" t="s">
        <v>478</v>
      </c>
    </row>
    <row r="346" spans="1:58" s="13" customFormat="1" ht="14.25" x14ac:dyDescent="0.2">
      <c r="A346" t="str">
        <f t="shared" si="62"/>
        <v>A 95</v>
      </c>
      <c r="B346" s="2" t="s">
        <v>656</v>
      </c>
      <c r="C346">
        <f t="shared" si="63"/>
        <v>66.98</v>
      </c>
      <c r="D346" t="str">
        <f t="shared" si="64"/>
        <v>UFD</v>
      </c>
      <c r="E346" s="169" t="str">
        <f>IF(OR(A346="",B346="",C346=""),"eine der Spalten BAB, FR, km leer?",CONCATENATE(VLOOKUP(VALUE(I346),[1]Grundlage!$A$1:$B$14,2,0),IF(LEFT(A346,1)="A",IF(VALUE(MID(A346,2,10))&lt;10,"A00"&amp;VALUE(MID(A346,2,10)),IF(VALUE(MID(A346,2,10))&lt;100,"A0"&amp;VALUE(MID(A346,2,10)),IF(VALUE(MID(A346,2,10))&lt;1000,"A"&amp;VALUE(MID(A346,2,10))))),IF(LEFT(A346,1)="B",IF(VALUE(MID(A346,2,10))&lt;10,"B00"&amp;VALUE(MID(A346,2,10)),IF(VALUE(MID(A346,2,10))&lt;100,"B0"&amp;VALUE(MID(A346,2,10)),IF(VALUE(MID(A346,2,10))&lt;1000,"B"&amp;VALUE(MID(A346,2,10))))),A346)),"_",IF(NOT(OR(C346=1000,C346&gt;1000)),MID(TEXT((C346+1000)*1000,0),2,6),"keine Meter in Spalte km!!!"),IF(VALUE(I346)=1,CONCATENATE("_",VLOOKUP(IF(V346&gt;0,V346,J346),[1]Grundlage!$A$20:$B$181,2,0)),CONCATENATE("_",B346))))</f>
        <v>UQ_A095_066980_N</v>
      </c>
      <c r="F346" s="2" t="s">
        <v>25</v>
      </c>
      <c r="G346" s="167">
        <f t="shared" si="60"/>
        <v>37143</v>
      </c>
      <c r="H346">
        <f t="shared" si="61"/>
        <v>71</v>
      </c>
      <c r="I346" s="2">
        <f t="shared" si="65"/>
        <v>3</v>
      </c>
      <c r="J346" s="2">
        <f t="shared" si="66"/>
        <v>12</v>
      </c>
      <c r="K346" s="2">
        <v>207</v>
      </c>
      <c r="L346" s="2">
        <f t="shared" si="67"/>
        <v>11</v>
      </c>
      <c r="M346" s="2">
        <f t="shared" si="68"/>
        <v>1</v>
      </c>
      <c r="N346" s="2">
        <f t="shared" si="69"/>
        <v>3</v>
      </c>
      <c r="O346" s="2"/>
      <c r="P346" s="168">
        <f t="shared" si="70"/>
        <v>48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1"/>
      <c r="AJ346" s="2"/>
      <c r="AK346" s="2"/>
      <c r="AL346" s="146" t="s">
        <v>611</v>
      </c>
      <c r="AM346" s="146"/>
      <c r="AN346" s="146" t="s">
        <v>615</v>
      </c>
      <c r="AO346" s="146" t="s">
        <v>391</v>
      </c>
      <c r="AP346" s="2"/>
      <c r="AQ346" s="2"/>
      <c r="AR346" s="2"/>
      <c r="AS346" s="2"/>
      <c r="AT346" s="19">
        <v>3</v>
      </c>
      <c r="AU346" s="14">
        <v>12</v>
      </c>
      <c r="AV346" s="14" t="s">
        <v>79</v>
      </c>
      <c r="AY346" s="19">
        <v>1</v>
      </c>
      <c r="AZ346" s="14">
        <v>3</v>
      </c>
      <c r="BA346" s="14">
        <v>3</v>
      </c>
      <c r="BB346" s="13" t="s">
        <v>25</v>
      </c>
      <c r="BC346" s="16"/>
      <c r="BD346" s="16"/>
      <c r="BE346" s="2"/>
      <c r="BF346" s="13" t="s">
        <v>441</v>
      </c>
    </row>
    <row r="347" spans="1:58" s="13" customFormat="1" ht="14.25" x14ac:dyDescent="0.2">
      <c r="A347" t="str">
        <f t="shared" si="62"/>
        <v>A 95</v>
      </c>
      <c r="B347" s="2" t="s">
        <v>656</v>
      </c>
      <c r="C347">
        <f t="shared" si="63"/>
        <v>66.98</v>
      </c>
      <c r="D347" t="str">
        <f t="shared" si="64"/>
        <v>UFD</v>
      </c>
      <c r="E347" s="169" t="str">
        <f>IF(OR(A347="",B347="",C347=""),"eine der Spalten BAB, FR, km leer?",CONCATENATE(VLOOKUP(VALUE(I347),[1]Grundlage!$A$1:$B$14,2,0),IF(LEFT(A347,1)="A",IF(VALUE(MID(A347,2,10))&lt;10,"A00"&amp;VALUE(MID(A347,2,10)),IF(VALUE(MID(A347,2,10))&lt;100,"A0"&amp;VALUE(MID(A347,2,10)),IF(VALUE(MID(A347,2,10))&lt;1000,"A"&amp;VALUE(MID(A347,2,10))))),IF(LEFT(A347,1)="B",IF(VALUE(MID(A347,2,10))&lt;10,"B00"&amp;VALUE(MID(A347,2,10)),IF(VALUE(MID(A347,2,10))&lt;100,"B0"&amp;VALUE(MID(A347,2,10)),IF(VALUE(MID(A347,2,10))&lt;1000,"B"&amp;VALUE(MID(A347,2,10))))),A347)),"_",IF(NOT(OR(C347=1000,C347&gt;1000)),MID(TEXT((C347+1000)*1000,0),2,6),"keine Meter in Spalte km!!!"),IF(VALUE(I347)=1,CONCATENATE("_",VLOOKUP(IF(V347&gt;0,V347,J347),[1]Grundlage!$A$20:$B$181,2,0)),CONCATENATE("_",B347))))</f>
        <v>UQ_A095_066980_N</v>
      </c>
      <c r="F347" s="2" t="s">
        <v>26</v>
      </c>
      <c r="G347" s="167">
        <f t="shared" si="60"/>
        <v>37143</v>
      </c>
      <c r="H347">
        <f t="shared" si="61"/>
        <v>71</v>
      </c>
      <c r="I347" s="2">
        <f t="shared" si="65"/>
        <v>3</v>
      </c>
      <c r="J347" s="2">
        <f t="shared" si="66"/>
        <v>13</v>
      </c>
      <c r="K347" s="2">
        <v>207</v>
      </c>
      <c r="L347" s="2">
        <f t="shared" si="67"/>
        <v>11</v>
      </c>
      <c r="M347" s="2">
        <f t="shared" si="68"/>
        <v>1</v>
      </c>
      <c r="N347" s="2">
        <f t="shared" si="69"/>
        <v>4</v>
      </c>
      <c r="O347" s="2"/>
      <c r="P347" s="168">
        <f t="shared" si="70"/>
        <v>55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1"/>
      <c r="AJ347" s="2"/>
      <c r="AK347" s="2"/>
      <c r="AL347" s="146" t="s">
        <v>612</v>
      </c>
      <c r="AM347" s="146"/>
      <c r="AN347" s="146" t="s">
        <v>616</v>
      </c>
      <c r="AO347" s="146" t="s">
        <v>391</v>
      </c>
      <c r="AP347" s="2"/>
      <c r="AQ347" s="2"/>
      <c r="AR347" s="2"/>
      <c r="AS347" s="2"/>
      <c r="AT347" s="19">
        <v>3</v>
      </c>
      <c r="AU347" s="14">
        <v>13</v>
      </c>
      <c r="AV347" s="14" t="s">
        <v>80</v>
      </c>
      <c r="AY347" s="19">
        <v>1</v>
      </c>
      <c r="AZ347" s="14">
        <v>4</v>
      </c>
      <c r="BA347" s="14">
        <v>4</v>
      </c>
      <c r="BB347" s="13" t="s">
        <v>26</v>
      </c>
      <c r="BC347" s="16"/>
      <c r="BD347" s="16"/>
      <c r="BE347" s="2"/>
      <c r="BF347" s="13" t="s">
        <v>442</v>
      </c>
    </row>
    <row r="348" spans="1:58" s="13" customFormat="1" ht="14.25" x14ac:dyDescent="0.2">
      <c r="A348" t="str">
        <f t="shared" si="62"/>
        <v>A 95</v>
      </c>
      <c r="B348" s="2" t="s">
        <v>656</v>
      </c>
      <c r="C348">
        <f t="shared" si="63"/>
        <v>66.98</v>
      </c>
      <c r="D348" t="str">
        <f t="shared" si="64"/>
        <v>UFD</v>
      </c>
      <c r="E348" s="169" t="str">
        <f>IF(OR(A348="",B348="",C348=""),"eine der Spalten BAB, FR, km leer?",CONCATENATE(VLOOKUP(VALUE(I348),[1]Grundlage!$A$1:$B$14,2,0),IF(LEFT(A348,1)="A",IF(VALUE(MID(A348,2,10))&lt;10,"A00"&amp;VALUE(MID(A348,2,10)),IF(VALUE(MID(A348,2,10))&lt;100,"A0"&amp;VALUE(MID(A348,2,10)),IF(VALUE(MID(A348,2,10))&lt;1000,"A"&amp;VALUE(MID(A348,2,10))))),IF(LEFT(A348,1)="B",IF(VALUE(MID(A348,2,10))&lt;10,"B00"&amp;VALUE(MID(A348,2,10)),IF(VALUE(MID(A348,2,10))&lt;100,"B0"&amp;VALUE(MID(A348,2,10)),IF(VALUE(MID(A348,2,10))&lt;1000,"B"&amp;VALUE(MID(A348,2,10))))),A348)),"_",IF(NOT(OR(C348=1000,C348&gt;1000)),MID(TEXT((C348+1000)*1000,0),2,6),"keine Meter in Spalte km!!!"),IF(VALUE(I348)=1,CONCATENATE("_",VLOOKUP(IF(V348&gt;0,V348,J348),[1]Grundlage!$A$20:$B$181,2,0)),CONCATENATE("_",B348))))</f>
        <v>UQ_A095_066980_N</v>
      </c>
      <c r="F348" s="2" t="s">
        <v>27</v>
      </c>
      <c r="G348" s="167">
        <f t="shared" si="60"/>
        <v>37143</v>
      </c>
      <c r="H348">
        <f t="shared" si="61"/>
        <v>71</v>
      </c>
      <c r="I348" s="2">
        <f t="shared" si="65"/>
        <v>3</v>
      </c>
      <c r="J348" s="2">
        <f t="shared" si="66"/>
        <v>14</v>
      </c>
      <c r="K348" s="2">
        <v>207</v>
      </c>
      <c r="L348" s="2">
        <f t="shared" si="67"/>
        <v>11</v>
      </c>
      <c r="M348" s="2">
        <f t="shared" si="68"/>
        <v>1</v>
      </c>
      <c r="N348" s="2">
        <f t="shared" si="69"/>
        <v>5</v>
      </c>
      <c r="O348" s="2"/>
      <c r="P348" s="168">
        <f t="shared" si="70"/>
        <v>66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1"/>
      <c r="AJ348" s="2"/>
      <c r="AK348" s="2"/>
      <c r="AL348" s="146" t="s">
        <v>619</v>
      </c>
      <c r="AM348" s="146"/>
      <c r="AN348" s="153">
        <v>172201254254</v>
      </c>
      <c r="AO348" s="153">
        <v>172201254253</v>
      </c>
      <c r="AP348" s="2"/>
      <c r="AQ348" s="2"/>
      <c r="AR348" s="2"/>
      <c r="AS348" s="2"/>
      <c r="AT348" s="19">
        <v>3</v>
      </c>
      <c r="AU348" s="14">
        <v>14</v>
      </c>
      <c r="AV348" s="14" t="s">
        <v>81</v>
      </c>
      <c r="AY348" s="19">
        <v>1</v>
      </c>
      <c r="AZ348" s="14">
        <v>5</v>
      </c>
      <c r="BA348" s="14">
        <v>5</v>
      </c>
      <c r="BB348" s="13" t="s">
        <v>27</v>
      </c>
      <c r="BC348" s="16"/>
      <c r="BD348" s="16"/>
      <c r="BE348" s="2"/>
      <c r="BF348" s="13" t="s">
        <v>443</v>
      </c>
    </row>
    <row r="349" spans="1:58" s="13" customFormat="1" ht="14.25" x14ac:dyDescent="0.2">
      <c r="A349" t="str">
        <f t="shared" si="62"/>
        <v>A 95</v>
      </c>
      <c r="B349" s="2" t="s">
        <v>656</v>
      </c>
      <c r="C349">
        <f t="shared" si="63"/>
        <v>66.98</v>
      </c>
      <c r="D349" t="str">
        <f t="shared" si="64"/>
        <v>UFD</v>
      </c>
      <c r="E349" s="169" t="str">
        <f>IF(OR(A349="",B349="",C349=""),"eine der Spalten BAB, FR, km leer?",CONCATENATE(VLOOKUP(VALUE(I349),[1]Grundlage!$A$1:$B$14,2,0),IF(LEFT(A349,1)="A",IF(VALUE(MID(A349,2,10))&lt;10,"A00"&amp;VALUE(MID(A349,2,10)),IF(VALUE(MID(A349,2,10))&lt;100,"A0"&amp;VALUE(MID(A349,2,10)),IF(VALUE(MID(A349,2,10))&lt;1000,"A"&amp;VALUE(MID(A349,2,10))))),IF(LEFT(A349,1)="B",IF(VALUE(MID(A349,2,10))&lt;10,"B00"&amp;VALUE(MID(A349,2,10)),IF(VALUE(MID(A349,2,10))&lt;100,"B0"&amp;VALUE(MID(A349,2,10)),IF(VALUE(MID(A349,2,10))&lt;1000,"B"&amp;VALUE(MID(A349,2,10))))),A349)),"_",IF(NOT(OR(C349=1000,C349&gt;1000)),MID(TEXT((C349+1000)*1000,0),2,6),"keine Meter in Spalte km!!!"),IF(VALUE(I349)=1,CONCATENATE("_",VLOOKUP(IF(V349&gt;0,V349,J349),[1]Grundlage!$A$20:$B$181,2,0)),CONCATENATE("_",B349))))</f>
        <v>UQ_A095_066980_N</v>
      </c>
      <c r="F349" s="2" t="s">
        <v>28</v>
      </c>
      <c r="G349" s="167">
        <f t="shared" si="60"/>
        <v>37143</v>
      </c>
      <c r="H349">
        <f t="shared" si="61"/>
        <v>71</v>
      </c>
      <c r="I349" s="2">
        <f t="shared" si="65"/>
        <v>3</v>
      </c>
      <c r="J349" s="2">
        <f t="shared" si="66"/>
        <v>15</v>
      </c>
      <c r="K349" s="2">
        <v>207</v>
      </c>
      <c r="L349" s="2">
        <f t="shared" si="67"/>
        <v>11</v>
      </c>
      <c r="M349" s="2">
        <f t="shared" si="68"/>
        <v>1</v>
      </c>
      <c r="N349" s="2">
        <f t="shared" si="69"/>
        <v>6</v>
      </c>
      <c r="O349" s="2"/>
      <c r="P349" s="168">
        <f t="shared" si="70"/>
        <v>65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1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19">
        <v>3</v>
      </c>
      <c r="AU349" s="14">
        <v>15</v>
      </c>
      <c r="AV349" s="14" t="s">
        <v>82</v>
      </c>
      <c r="AY349" s="19">
        <v>1</v>
      </c>
      <c r="AZ349" s="14">
        <v>6</v>
      </c>
      <c r="BA349" s="14">
        <v>6</v>
      </c>
      <c r="BB349" s="13" t="s">
        <v>28</v>
      </c>
      <c r="BC349" s="16"/>
      <c r="BD349" s="16"/>
      <c r="BE349" s="2"/>
      <c r="BF349" s="13" t="s">
        <v>482</v>
      </c>
    </row>
    <row r="350" spans="1:58" s="13" customFormat="1" ht="14.25" x14ac:dyDescent="0.2">
      <c r="A350" t="str">
        <f t="shared" si="62"/>
        <v>A 95</v>
      </c>
      <c r="B350" s="2" t="s">
        <v>656</v>
      </c>
      <c r="C350">
        <f t="shared" si="63"/>
        <v>66.98</v>
      </c>
      <c r="D350" t="str">
        <f t="shared" si="64"/>
        <v>UFD</v>
      </c>
      <c r="E350" s="169" t="str">
        <f>IF(OR(A350="",B350="",C350=""),"eine der Spalten BAB, FR, km leer?",CONCATENATE(VLOOKUP(VALUE(I350),[1]Grundlage!$A$1:$B$14,2,0),IF(LEFT(A350,1)="A",IF(VALUE(MID(A350,2,10))&lt;10,"A00"&amp;VALUE(MID(A350,2,10)),IF(VALUE(MID(A350,2,10))&lt;100,"A0"&amp;VALUE(MID(A350,2,10)),IF(VALUE(MID(A350,2,10))&lt;1000,"A"&amp;VALUE(MID(A350,2,10))))),IF(LEFT(A350,1)="B",IF(VALUE(MID(A350,2,10))&lt;10,"B00"&amp;VALUE(MID(A350,2,10)),IF(VALUE(MID(A350,2,10))&lt;100,"B0"&amp;VALUE(MID(A350,2,10)),IF(VALUE(MID(A350,2,10))&lt;1000,"B"&amp;VALUE(MID(A350,2,10))))),A350)),"_",IF(NOT(OR(C350=1000,C350&gt;1000)),MID(TEXT((C350+1000)*1000,0),2,6),"keine Meter in Spalte km!!!"),IF(VALUE(I350)=1,CONCATENATE("_",VLOOKUP(IF(V350&gt;0,V350,J350),[1]Grundlage!$A$20:$B$181,2,0)),CONCATENATE("_",B350))))</f>
        <v>UQ_A095_066980_N</v>
      </c>
      <c r="F350" s="2" t="s">
        <v>29</v>
      </c>
      <c r="G350" s="167">
        <f t="shared" si="60"/>
        <v>37143</v>
      </c>
      <c r="H350">
        <f t="shared" si="61"/>
        <v>71</v>
      </c>
      <c r="I350" s="2">
        <f t="shared" si="65"/>
        <v>3</v>
      </c>
      <c r="J350" s="2">
        <f t="shared" si="66"/>
        <v>19</v>
      </c>
      <c r="K350" s="2">
        <v>207</v>
      </c>
      <c r="L350" s="2">
        <f t="shared" si="67"/>
        <v>11</v>
      </c>
      <c r="M350" s="2">
        <f t="shared" si="68"/>
        <v>1</v>
      </c>
      <c r="N350" s="2">
        <f t="shared" si="69"/>
        <v>7</v>
      </c>
      <c r="O350" s="2"/>
      <c r="P350" s="168">
        <f t="shared" si="70"/>
        <v>49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1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19">
        <v>3</v>
      </c>
      <c r="AU350" s="14">
        <v>19</v>
      </c>
      <c r="AV350" s="14">
        <v>13</v>
      </c>
      <c r="AY350" s="19">
        <v>1</v>
      </c>
      <c r="AZ350" s="14">
        <v>7</v>
      </c>
      <c r="BA350" s="14">
        <v>7</v>
      </c>
      <c r="BB350" s="13" t="s">
        <v>29</v>
      </c>
      <c r="BC350" s="16"/>
      <c r="BD350" s="16"/>
      <c r="BE350" s="2"/>
      <c r="BF350" s="13" t="s">
        <v>479</v>
      </c>
    </row>
    <row r="351" spans="1:58" s="13" customFormat="1" ht="14.25" x14ac:dyDescent="0.2">
      <c r="A351" t="str">
        <f t="shared" si="62"/>
        <v>A 95</v>
      </c>
      <c r="B351" s="2" t="s">
        <v>656</v>
      </c>
      <c r="C351">
        <f t="shared" si="63"/>
        <v>66.98</v>
      </c>
      <c r="D351" t="str">
        <f t="shared" si="64"/>
        <v>UFD</v>
      </c>
      <c r="E351" s="169" t="str">
        <f>IF(OR(A351="",B351="",C351=""),"eine der Spalten BAB, FR, km leer?",CONCATENATE(VLOOKUP(VALUE(I351),[1]Grundlage!$A$1:$B$14,2,0),IF(LEFT(A351,1)="A",IF(VALUE(MID(A351,2,10))&lt;10,"A00"&amp;VALUE(MID(A351,2,10)),IF(VALUE(MID(A351,2,10))&lt;100,"A0"&amp;VALUE(MID(A351,2,10)),IF(VALUE(MID(A351,2,10))&lt;1000,"A"&amp;VALUE(MID(A351,2,10))))),IF(LEFT(A351,1)="B",IF(VALUE(MID(A351,2,10))&lt;10,"B00"&amp;VALUE(MID(A351,2,10)),IF(VALUE(MID(A351,2,10))&lt;100,"B0"&amp;VALUE(MID(A351,2,10)),IF(VALUE(MID(A351,2,10))&lt;1000,"B"&amp;VALUE(MID(A351,2,10))))),A351)),"_",IF(NOT(OR(C351=1000,C351&gt;1000)),MID(TEXT((C351+1000)*1000,0),2,6),"keine Meter in Spalte km!!!"),IF(VALUE(I351)=1,CONCATENATE("_",VLOOKUP(IF(V351&gt;0,V351,J351),[1]Grundlage!$A$20:$B$181,2,0)),CONCATENATE("_",B351))))</f>
        <v>UQ_A095_066980_N</v>
      </c>
      <c r="F351" s="2" t="s">
        <v>30</v>
      </c>
      <c r="G351" s="167">
        <f t="shared" si="60"/>
        <v>37143</v>
      </c>
      <c r="H351">
        <f t="shared" si="61"/>
        <v>71</v>
      </c>
      <c r="I351" s="2">
        <f t="shared" si="65"/>
        <v>3</v>
      </c>
      <c r="J351" s="2">
        <f t="shared" si="66"/>
        <v>21</v>
      </c>
      <c r="K351" s="2">
        <v>207</v>
      </c>
      <c r="L351" s="2">
        <f t="shared" si="67"/>
        <v>11</v>
      </c>
      <c r="M351" s="2">
        <f t="shared" si="68"/>
        <v>1</v>
      </c>
      <c r="N351" s="2">
        <f t="shared" si="69"/>
        <v>8</v>
      </c>
      <c r="O351" s="2"/>
      <c r="P351" s="168">
        <f t="shared" si="70"/>
        <v>67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1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19">
        <v>3</v>
      </c>
      <c r="AU351" s="14">
        <v>21</v>
      </c>
      <c r="AV351" s="14">
        <v>15</v>
      </c>
      <c r="AY351" s="19">
        <v>1</v>
      </c>
      <c r="AZ351" s="14">
        <v>8</v>
      </c>
      <c r="BA351" s="14">
        <v>8</v>
      </c>
      <c r="BB351" s="13" t="s">
        <v>30</v>
      </c>
      <c r="BC351" s="16"/>
      <c r="BD351" s="16"/>
      <c r="BE351" s="2"/>
      <c r="BF351" s="13" t="s">
        <v>480</v>
      </c>
    </row>
    <row r="352" spans="1:58" s="13" customFormat="1" ht="14.25" x14ac:dyDescent="0.2">
      <c r="A352" t="str">
        <f t="shared" si="62"/>
        <v>A 95</v>
      </c>
      <c r="B352" s="2" t="s">
        <v>656</v>
      </c>
      <c r="C352">
        <f t="shared" si="63"/>
        <v>66.98</v>
      </c>
      <c r="D352" t="str">
        <f t="shared" si="64"/>
        <v>UFD</v>
      </c>
      <c r="E352" s="169" t="str">
        <f>IF(OR(A352="",B352="",C352=""),"eine der Spalten BAB, FR, km leer?",CONCATENATE(VLOOKUP(VALUE(I352),[1]Grundlage!$A$1:$B$14,2,0),IF(LEFT(A352,1)="A",IF(VALUE(MID(A352,2,10))&lt;10,"A00"&amp;VALUE(MID(A352,2,10)),IF(VALUE(MID(A352,2,10))&lt;100,"A0"&amp;VALUE(MID(A352,2,10)),IF(VALUE(MID(A352,2,10))&lt;1000,"A"&amp;VALUE(MID(A352,2,10))))),IF(LEFT(A352,1)="B",IF(VALUE(MID(A352,2,10))&lt;10,"B00"&amp;VALUE(MID(A352,2,10)),IF(VALUE(MID(A352,2,10))&lt;100,"B0"&amp;VALUE(MID(A352,2,10)),IF(VALUE(MID(A352,2,10))&lt;1000,"B"&amp;VALUE(MID(A352,2,10))))),A352)),"_",IF(NOT(OR(C352=1000,C352&gt;1000)),MID(TEXT((C352+1000)*1000,0),2,6),"keine Meter in Spalte km!!!"),IF(VALUE(I352)=1,CONCATENATE("_",VLOOKUP(IF(V352&gt;0,V352,J352),[1]Grundlage!$A$20:$B$181,2,0)),CONCATENATE("_",B352))))</f>
        <v>UQ_A095_066980_N</v>
      </c>
      <c r="F352" s="2" t="s">
        <v>41</v>
      </c>
      <c r="G352" s="167">
        <f t="shared" si="60"/>
        <v>37143</v>
      </c>
      <c r="H352">
        <f t="shared" si="61"/>
        <v>71</v>
      </c>
      <c r="I352" s="2">
        <f t="shared" si="65"/>
        <v>3</v>
      </c>
      <c r="J352" s="2">
        <f t="shared" si="66"/>
        <v>24</v>
      </c>
      <c r="K352" s="2">
        <v>207</v>
      </c>
      <c r="L352" s="2">
        <f t="shared" si="67"/>
        <v>11</v>
      </c>
      <c r="M352" s="2">
        <f t="shared" si="68"/>
        <v>1</v>
      </c>
      <c r="N352" s="2">
        <f t="shared" si="69"/>
        <v>9</v>
      </c>
      <c r="O352" s="2"/>
      <c r="P352" s="168">
        <f t="shared" si="70"/>
        <v>69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1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19">
        <v>3</v>
      </c>
      <c r="AU352" s="14">
        <v>24</v>
      </c>
      <c r="AV352" s="14">
        <v>18</v>
      </c>
      <c r="AY352" s="19">
        <v>1</v>
      </c>
      <c r="AZ352" s="14">
        <v>9</v>
      </c>
      <c r="BA352" s="14">
        <v>9</v>
      </c>
      <c r="BB352" s="13" t="s">
        <v>41</v>
      </c>
      <c r="BC352" s="16"/>
      <c r="BD352" s="16"/>
      <c r="BE352" s="2"/>
      <c r="BF352" s="13" t="s">
        <v>465</v>
      </c>
    </row>
    <row r="353" spans="1:58" s="13" customFormat="1" ht="14.25" x14ac:dyDescent="0.2">
      <c r="A353" t="str">
        <f t="shared" si="62"/>
        <v>A 95</v>
      </c>
      <c r="B353" s="2" t="s">
        <v>656</v>
      </c>
      <c r="C353">
        <f t="shared" si="63"/>
        <v>66.98</v>
      </c>
      <c r="D353" t="str">
        <f t="shared" si="64"/>
        <v>UFD</v>
      </c>
      <c r="E353" s="169" t="str">
        <f>IF(OR(A353="",B353="",C353=""),"eine der Spalten BAB, FR, km leer?",CONCATENATE(VLOOKUP(VALUE(I353),[1]Grundlage!$A$1:$B$14,2,0),IF(LEFT(A353,1)="A",IF(VALUE(MID(A353,2,10))&lt;10,"A00"&amp;VALUE(MID(A353,2,10)),IF(VALUE(MID(A353,2,10))&lt;100,"A0"&amp;VALUE(MID(A353,2,10)),IF(VALUE(MID(A353,2,10))&lt;1000,"A"&amp;VALUE(MID(A353,2,10))))),IF(LEFT(A353,1)="B",IF(VALUE(MID(A353,2,10))&lt;10,"B00"&amp;VALUE(MID(A353,2,10)),IF(VALUE(MID(A353,2,10))&lt;100,"B0"&amp;VALUE(MID(A353,2,10)),IF(VALUE(MID(A353,2,10))&lt;1000,"B"&amp;VALUE(MID(A353,2,10))))),A353)),"_",IF(NOT(OR(C353=1000,C353&gt;1000)),MID(TEXT((C353+1000)*1000,0),2,6),"keine Meter in Spalte km!!!"),IF(VALUE(I353)=1,CONCATENATE("_",VLOOKUP(IF(V353&gt;0,V353,J353),[1]Grundlage!$A$20:$B$181,2,0)),CONCATENATE("_",B353))))</f>
        <v>UQ_A095_066980_N</v>
      </c>
      <c r="F353" s="2" t="s">
        <v>271</v>
      </c>
      <c r="G353" s="167">
        <f t="shared" si="60"/>
        <v>37143</v>
      </c>
      <c r="H353">
        <f t="shared" si="61"/>
        <v>71</v>
      </c>
      <c r="I353" s="2">
        <f t="shared" si="65"/>
        <v>3</v>
      </c>
      <c r="J353" s="2">
        <f t="shared" si="66"/>
        <v>67</v>
      </c>
      <c r="K353" s="2">
        <v>207</v>
      </c>
      <c r="L353" s="2">
        <f t="shared" si="67"/>
        <v>11</v>
      </c>
      <c r="M353" s="2">
        <f t="shared" si="68"/>
        <v>1</v>
      </c>
      <c r="N353" s="2">
        <f t="shared" si="69"/>
        <v>10</v>
      </c>
      <c r="O353" s="2"/>
      <c r="P353" s="168">
        <f t="shared" si="70"/>
        <v>53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1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19">
        <v>3</v>
      </c>
      <c r="AU353" s="14">
        <v>67</v>
      </c>
      <c r="AV353" s="14">
        <v>43</v>
      </c>
      <c r="AY353" s="19">
        <v>1</v>
      </c>
      <c r="AZ353" s="14">
        <v>10</v>
      </c>
      <c r="BA353" s="34" t="s">
        <v>95</v>
      </c>
      <c r="BB353" s="13" t="s">
        <v>271</v>
      </c>
      <c r="BC353" s="16"/>
      <c r="BD353" s="16"/>
      <c r="BE353" s="2"/>
      <c r="BF353" s="13" t="s">
        <v>444</v>
      </c>
    </row>
    <row r="354" spans="1:58" s="13" customFormat="1" ht="14.25" x14ac:dyDescent="0.2">
      <c r="A354" t="str">
        <f t="shared" si="62"/>
        <v>A 95</v>
      </c>
      <c r="B354" s="2" t="s">
        <v>656</v>
      </c>
      <c r="C354">
        <f t="shared" si="63"/>
        <v>66.98</v>
      </c>
      <c r="D354" t="str">
        <f t="shared" si="64"/>
        <v>UFD</v>
      </c>
      <c r="E354" s="169" t="str">
        <f>IF(OR(A354="",B354="",C354=""),"eine der Spalten BAB, FR, km leer?",CONCATENATE(VLOOKUP(VALUE(I354),[1]Grundlage!$A$1:$B$14,2,0),IF(LEFT(A354,1)="A",IF(VALUE(MID(A354,2,10))&lt;10,"A00"&amp;VALUE(MID(A354,2,10)),IF(VALUE(MID(A354,2,10))&lt;100,"A0"&amp;VALUE(MID(A354,2,10)),IF(VALUE(MID(A354,2,10))&lt;1000,"A"&amp;VALUE(MID(A354,2,10))))),IF(LEFT(A354,1)="B",IF(VALUE(MID(A354,2,10))&lt;10,"B00"&amp;VALUE(MID(A354,2,10)),IF(VALUE(MID(A354,2,10))&lt;100,"B0"&amp;VALUE(MID(A354,2,10)),IF(VALUE(MID(A354,2,10))&lt;1000,"B"&amp;VALUE(MID(A354,2,10))))),A354)),"_",IF(NOT(OR(C354=1000,C354&gt;1000)),MID(TEXT((C354+1000)*1000,0),2,6),"keine Meter in Spalte km!!!"),IF(VALUE(I354)=1,CONCATENATE("_",VLOOKUP(IF(V354&gt;0,V354,J354),[1]Grundlage!$A$20:$B$181,2,0)),CONCATENATE("_",B354))))</f>
        <v>UQ_A095_066980_N</v>
      </c>
      <c r="F354" s="2" t="s">
        <v>272</v>
      </c>
      <c r="G354" s="167">
        <f t="shared" si="60"/>
        <v>37143</v>
      </c>
      <c r="H354">
        <f t="shared" si="61"/>
        <v>71</v>
      </c>
      <c r="I354" s="2">
        <f t="shared" si="65"/>
        <v>3</v>
      </c>
      <c r="J354" s="2">
        <f t="shared" si="66"/>
        <v>82</v>
      </c>
      <c r="K354" s="2">
        <v>207</v>
      </c>
      <c r="L354" s="2">
        <f t="shared" si="67"/>
        <v>11</v>
      </c>
      <c r="M354" s="2">
        <f t="shared" si="68"/>
        <v>1</v>
      </c>
      <c r="N354" s="2">
        <f t="shared" si="69"/>
        <v>11</v>
      </c>
      <c r="O354" s="2"/>
      <c r="P354" s="168">
        <f t="shared" si="70"/>
        <v>72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1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19">
        <v>3</v>
      </c>
      <c r="AU354" s="14">
        <v>82</v>
      </c>
      <c r="AV354" s="14">
        <v>52</v>
      </c>
      <c r="AY354" s="19">
        <v>1</v>
      </c>
      <c r="AZ354" s="14">
        <v>11</v>
      </c>
      <c r="BA354" s="34" t="s">
        <v>78</v>
      </c>
      <c r="BB354" s="13" t="s">
        <v>272</v>
      </c>
      <c r="BC354" s="16"/>
      <c r="BD354" s="16"/>
      <c r="BE354" s="2"/>
      <c r="BF354" s="13" t="s">
        <v>481</v>
      </c>
    </row>
    <row r="355" spans="1:58" s="13" customFormat="1" ht="14.25" x14ac:dyDescent="0.2">
      <c r="A355" t="str">
        <f t="shared" si="62"/>
        <v>A 95</v>
      </c>
      <c r="B355" s="2"/>
      <c r="C355">
        <f t="shared" si="63"/>
        <v>66.98</v>
      </c>
      <c r="D355" t="str">
        <f t="shared" si="64"/>
        <v/>
      </c>
      <c r="E355" s="169" t="str">
        <f>IF(OR(A355="",B355="",C355=""),"",CONCATENATE(VLOOKUP(VALUE(I355),[1]Grundlage!$A$1:$B$14,2,0),IF(LEFT(A355,1)="A",IF(VALUE(MID(A355,2,10))&lt;10,"A00"&amp;VALUE(MID(A355,2,10)),IF(VALUE(MID(A355,2,10))&lt;100,"A0"&amp;VALUE(MID(A355,2,10)),IF(VALUE(MID(A355,2,10))&lt;1000,"A"&amp;VALUE(MID(A355,2,10))))),IF(LEFT(A355,1)="B",IF(VALUE(MID(A355,2,10))&lt;10,"B00"&amp;VALUE(MID(A355,2,10)),IF(VALUE(MID(A355,2,10))&lt;100,"B0"&amp;VALUE(MID(A355,2,10)),IF(VALUE(MID(A355,2,10))&lt;1000,"B"&amp;VALUE(MID(A355,2,10))))),A355)),"_",IF(NOT(OR(C355=1000,C355&gt;1000)),MID(TEXT((C355+1000)*1000,0),2,6),"keine Meter in Spalte km!!!"),IF(VALUE(I355)=1,CONCATENATE("_",VLOOKUP(IF(V355&gt;0,V355,J355),[1]Grundlage!$A$20:$B$181,2,0)),CONCATENATE("_",B355))))</f>
        <v/>
      </c>
      <c r="F355" s="2" t="s">
        <v>669</v>
      </c>
      <c r="G355" s="167">
        <f t="shared" si="60"/>
        <v>37143</v>
      </c>
      <c r="H355">
        <f t="shared" si="61"/>
        <v>71</v>
      </c>
      <c r="I355" s="2">
        <f t="shared" si="65"/>
        <v>0</v>
      </c>
      <c r="J355" s="2">
        <f t="shared" si="66"/>
        <v>0</v>
      </c>
      <c r="K355" s="2">
        <v>207</v>
      </c>
      <c r="L355" s="2">
        <f t="shared" si="67"/>
        <v>11</v>
      </c>
      <c r="M355" s="2" t="str">
        <f t="shared" si="68"/>
        <v/>
      </c>
      <c r="N355" s="2" t="str">
        <f t="shared" si="69"/>
        <v/>
      </c>
      <c r="O355" s="2"/>
      <c r="P355" s="168" t="str">
        <f t="shared" si="70"/>
        <v/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1"/>
      <c r="AT355" s="19"/>
      <c r="AU355" s="14"/>
      <c r="AV355" s="14"/>
      <c r="AY355" s="19"/>
      <c r="AZ355" s="14"/>
      <c r="BA355" s="34"/>
      <c r="BC355" s="25"/>
      <c r="BD355" s="25"/>
    </row>
    <row r="356" spans="1:58" s="13" customFormat="1" ht="14.25" x14ac:dyDescent="0.2">
      <c r="A356" t="str">
        <f t="shared" si="62"/>
        <v>B 2</v>
      </c>
      <c r="B356" s="2" t="s">
        <v>655</v>
      </c>
      <c r="C356">
        <v>90.25</v>
      </c>
      <c r="D356" t="str">
        <f t="shared" si="64"/>
        <v>SS</v>
      </c>
      <c r="E356" s="169" t="str">
        <f>IF(OR(A356="",B356="",C356=""),"eine der Spalten BAB, FR, km leer?",CONCATENATE(VLOOKUP(VALUE(I356),[1]Grundlage!$A$1:$B$14,2,0),IF(LEFT(A356,1)="A",IF(VALUE(MID(A356,2,10))&lt;10,"A00"&amp;VALUE(MID(A356,2,10)),IF(VALUE(MID(A356,2,10))&lt;100,"A0"&amp;VALUE(MID(A356,2,10)),IF(VALUE(MID(A356,2,10))&lt;1000,"A"&amp;VALUE(MID(A356,2,10))))),IF(LEFT(A356,1)="B",IF(VALUE(MID(A356,2,10))&lt;10,"B00"&amp;VALUE(MID(A356,2,10)),IF(VALUE(MID(A356,2,10))&lt;100,"B0"&amp;VALUE(MID(A356,2,10)),IF(VALUE(MID(A356,2,10))&lt;1000,"B"&amp;VALUE(MID(A356,2,10))))),A356)),"_",IF(NOT(OR(C356=1000,C356&gt;1000)),MID(TEXT((C356+1000)*1000,0),2,6),"keine Meter in Spalte km!!!"),IF(VALUE(I356)=1,CONCATENATE("_",VLOOKUP(IF(V356&gt;0,V356,J356),[1]Grundlage!$A$20:$B$181,2,0)),CONCATENATE("_",B356))))</f>
        <v>SSt_B002_090250_S</v>
      </c>
      <c r="F356" s="2" t="s">
        <v>378</v>
      </c>
      <c r="G356" s="167">
        <f t="shared" si="60"/>
        <v>37185</v>
      </c>
      <c r="H356">
        <f t="shared" si="61"/>
        <v>250</v>
      </c>
      <c r="I356" s="2">
        <f t="shared" si="65"/>
        <v>254</v>
      </c>
      <c r="J356" s="2">
        <f t="shared" si="66"/>
        <v>0</v>
      </c>
      <c r="K356" s="2">
        <v>207</v>
      </c>
      <c r="L356" s="2">
        <f t="shared" si="67"/>
        <v>12</v>
      </c>
      <c r="M356" s="2" t="str">
        <f t="shared" si="68"/>
        <v/>
      </c>
      <c r="N356" s="2" t="str">
        <f t="shared" si="69"/>
        <v/>
      </c>
      <c r="O356" s="2"/>
      <c r="P356" s="168" t="str">
        <f t="shared" si="70"/>
        <v/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94" t="s">
        <v>379</v>
      </c>
      <c r="AJ356" s="92" t="s">
        <v>19</v>
      </c>
      <c r="AK356" s="92" t="s">
        <v>369</v>
      </c>
      <c r="AL356" s="92" t="s">
        <v>381</v>
      </c>
      <c r="AM356" s="92" t="s">
        <v>392</v>
      </c>
      <c r="AN356" s="92" t="s">
        <v>393</v>
      </c>
      <c r="AO356" s="92">
        <v>7200</v>
      </c>
      <c r="AP356" s="94">
        <v>9519610</v>
      </c>
      <c r="AQ356" s="94">
        <v>91</v>
      </c>
      <c r="AR356" s="94">
        <v>41</v>
      </c>
      <c r="AS356" s="94" t="s">
        <v>380</v>
      </c>
      <c r="AT356" s="92"/>
      <c r="AU356" s="92"/>
      <c r="AV356" s="92"/>
      <c r="AW356" s="92"/>
      <c r="AX356" s="92">
        <v>12</v>
      </c>
      <c r="AY356" s="92"/>
      <c r="AZ356" s="92"/>
      <c r="BA356" s="92"/>
      <c r="BB356" s="95" t="s">
        <v>378</v>
      </c>
      <c r="BC356" s="98"/>
      <c r="BD356" s="99" t="s">
        <v>163</v>
      </c>
      <c r="BE356" s="97" t="s">
        <v>50</v>
      </c>
      <c r="BF356" s="13" t="s">
        <v>454</v>
      </c>
    </row>
    <row r="357" spans="1:58" s="13" customFormat="1" ht="14.25" x14ac:dyDescent="0.2">
      <c r="A357" t="str">
        <f t="shared" si="62"/>
        <v>B 2</v>
      </c>
      <c r="B357" s="2" t="s">
        <v>655</v>
      </c>
      <c r="C357">
        <f t="shared" si="63"/>
        <v>90.25</v>
      </c>
      <c r="D357" t="str">
        <f t="shared" si="64"/>
        <v>UFD</v>
      </c>
      <c r="E357" s="169" t="str">
        <f>IF(OR(A357="",B357="",C357=""),"eine der Spalten BAB, FR, km leer?",CONCATENATE(VLOOKUP(VALUE(I357),[1]Grundlage!$A$1:$B$14,2,0),IF(LEFT(A357,1)="A",IF(VALUE(MID(A357,2,10))&lt;10,"A00"&amp;VALUE(MID(A357,2,10)),IF(VALUE(MID(A357,2,10))&lt;100,"A0"&amp;VALUE(MID(A357,2,10)),IF(VALUE(MID(A357,2,10))&lt;1000,"A"&amp;VALUE(MID(A357,2,10))))),IF(LEFT(A357,1)="B",IF(VALUE(MID(A357,2,10))&lt;10,"B00"&amp;VALUE(MID(A357,2,10)),IF(VALUE(MID(A357,2,10))&lt;100,"B0"&amp;VALUE(MID(A357,2,10)),IF(VALUE(MID(A357,2,10))&lt;1000,"B"&amp;VALUE(MID(A357,2,10))))),A357)),"_",IF(NOT(OR(C357=1000,C357&gt;1000)),MID(TEXT((C357+1000)*1000,0),2,6),"keine Meter in Spalte km!!!"),IF(VALUE(I357)=1,CONCATENATE("_",VLOOKUP(IF(V357&gt;0,V357,J357),[1]Grundlage!$A$20:$B$181,2,0)),CONCATENATE("_",B357))))</f>
        <v>UQ_B002_090250_S</v>
      </c>
      <c r="F357" s="2" t="s">
        <v>269</v>
      </c>
      <c r="G357" s="167">
        <f t="shared" si="60"/>
        <v>37185</v>
      </c>
      <c r="H357">
        <f t="shared" si="61"/>
        <v>250</v>
      </c>
      <c r="I357" s="2">
        <f t="shared" si="65"/>
        <v>3</v>
      </c>
      <c r="J357" s="2">
        <f t="shared" si="66"/>
        <v>6</v>
      </c>
      <c r="K357" s="2">
        <v>207</v>
      </c>
      <c r="L357" s="2">
        <f t="shared" si="67"/>
        <v>12</v>
      </c>
      <c r="M357" s="2">
        <f t="shared" si="68"/>
        <v>1</v>
      </c>
      <c r="N357" s="2">
        <f t="shared" si="69"/>
        <v>1</v>
      </c>
      <c r="O357" s="2"/>
      <c r="P357" s="168">
        <f t="shared" si="70"/>
        <v>71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1"/>
      <c r="AJ357" s="2"/>
      <c r="AK357" s="2"/>
      <c r="AL357" s="2"/>
      <c r="AM357" s="2"/>
      <c r="AN357" s="2"/>
      <c r="AO357" s="2"/>
      <c r="AP357" s="40"/>
      <c r="AQ357" s="40"/>
      <c r="AR357" s="40"/>
      <c r="AS357" s="40"/>
      <c r="AT357" s="19">
        <v>3</v>
      </c>
      <c r="AU357" s="14">
        <v>6</v>
      </c>
      <c r="AV357" s="27">
        <v>6</v>
      </c>
      <c r="AW357" s="19"/>
      <c r="AX357" s="19"/>
      <c r="AY357" s="19">
        <v>1</v>
      </c>
      <c r="AZ357" s="14">
        <v>1</v>
      </c>
      <c r="BA357" s="27">
        <v>1</v>
      </c>
      <c r="BB357" s="13" t="s">
        <v>269</v>
      </c>
      <c r="BC357" s="16"/>
      <c r="BD357" s="30" t="s">
        <v>381</v>
      </c>
      <c r="BE357" s="2"/>
      <c r="BF357" s="2" t="s">
        <v>440</v>
      </c>
    </row>
    <row r="358" spans="1:58" s="13" customFormat="1" ht="14.25" x14ac:dyDescent="0.2">
      <c r="A358" t="str">
        <f t="shared" si="62"/>
        <v>B 2</v>
      </c>
      <c r="B358" s="2" t="s">
        <v>655</v>
      </c>
      <c r="C358">
        <f t="shared" si="63"/>
        <v>90.25</v>
      </c>
      <c r="D358" t="str">
        <f t="shared" si="64"/>
        <v>UFD</v>
      </c>
      <c r="E358" s="169" t="str">
        <f>IF(OR(A358="",B358="",C358=""),"eine der Spalten BAB, FR, km leer?",CONCATENATE(VLOOKUP(VALUE(I358),[1]Grundlage!$A$1:$B$14,2,0),IF(LEFT(A358,1)="A",IF(VALUE(MID(A358,2,10))&lt;10,"A00"&amp;VALUE(MID(A358,2,10)),IF(VALUE(MID(A358,2,10))&lt;100,"A0"&amp;VALUE(MID(A358,2,10)),IF(VALUE(MID(A358,2,10))&lt;1000,"A"&amp;VALUE(MID(A358,2,10))))),IF(LEFT(A358,1)="B",IF(VALUE(MID(A358,2,10))&lt;10,"B00"&amp;VALUE(MID(A358,2,10)),IF(VALUE(MID(A358,2,10))&lt;100,"B0"&amp;VALUE(MID(A358,2,10)),IF(VALUE(MID(A358,2,10))&lt;1000,"B"&amp;VALUE(MID(A358,2,10))))),A358)),"_",IF(NOT(OR(C358=1000,C358&gt;1000)),MID(TEXT((C358+1000)*1000,0),2,6),"keine Meter in Spalte km!!!"),IF(VALUE(I358)=1,CONCATENATE("_",VLOOKUP(IF(V358&gt;0,V358,J358),[1]Grundlage!$A$20:$B$181,2,0)),CONCATENATE("_",B358))))</f>
        <v>UQ_B002_090250_S</v>
      </c>
      <c r="F358" s="2" t="s">
        <v>270</v>
      </c>
      <c r="G358" s="167">
        <f t="shared" si="60"/>
        <v>37185</v>
      </c>
      <c r="H358">
        <f t="shared" si="61"/>
        <v>250</v>
      </c>
      <c r="I358" s="2">
        <f t="shared" si="65"/>
        <v>3</v>
      </c>
      <c r="J358" s="2">
        <f t="shared" si="66"/>
        <v>11</v>
      </c>
      <c r="K358" s="2">
        <v>207</v>
      </c>
      <c r="L358" s="2">
        <f t="shared" si="67"/>
        <v>12</v>
      </c>
      <c r="M358" s="2">
        <f t="shared" si="68"/>
        <v>1</v>
      </c>
      <c r="N358" s="2">
        <f t="shared" si="69"/>
        <v>2</v>
      </c>
      <c r="O358" s="2"/>
      <c r="P358" s="168">
        <f t="shared" si="70"/>
        <v>70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1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19">
        <v>3</v>
      </c>
      <c r="AU358" s="14">
        <v>11</v>
      </c>
      <c r="AV358" s="14" t="s">
        <v>78</v>
      </c>
      <c r="AY358" s="19">
        <v>1</v>
      </c>
      <c r="AZ358" s="14">
        <v>2</v>
      </c>
      <c r="BA358" s="14">
        <v>2</v>
      </c>
      <c r="BB358" s="13" t="s">
        <v>270</v>
      </c>
      <c r="BC358" s="16"/>
      <c r="BD358" s="30" t="s">
        <v>382</v>
      </c>
      <c r="BE358" s="2"/>
      <c r="BF358" s="2" t="s">
        <v>541</v>
      </c>
    </row>
    <row r="359" spans="1:58" s="13" customFormat="1" ht="14.25" x14ac:dyDescent="0.2">
      <c r="A359" t="str">
        <f t="shared" si="62"/>
        <v>B 2</v>
      </c>
      <c r="B359" s="2" t="s">
        <v>655</v>
      </c>
      <c r="C359">
        <f t="shared" si="63"/>
        <v>90.25</v>
      </c>
      <c r="D359" t="str">
        <f t="shared" si="64"/>
        <v>UFD</v>
      </c>
      <c r="E359" s="169" t="str">
        <f>IF(OR(A359="",B359="",C359=""),"eine der Spalten BAB, FR, km leer?",CONCATENATE(VLOOKUP(VALUE(I359),[1]Grundlage!$A$1:$B$14,2,0),IF(LEFT(A359,1)="A",IF(VALUE(MID(A359,2,10))&lt;10,"A00"&amp;VALUE(MID(A359,2,10)),IF(VALUE(MID(A359,2,10))&lt;100,"A0"&amp;VALUE(MID(A359,2,10)),IF(VALUE(MID(A359,2,10))&lt;1000,"A"&amp;VALUE(MID(A359,2,10))))),IF(LEFT(A359,1)="B",IF(VALUE(MID(A359,2,10))&lt;10,"B00"&amp;VALUE(MID(A359,2,10)),IF(VALUE(MID(A359,2,10))&lt;100,"B0"&amp;VALUE(MID(A359,2,10)),IF(VALUE(MID(A359,2,10))&lt;1000,"B"&amp;VALUE(MID(A359,2,10))))),A359)),"_",IF(NOT(OR(C359=1000,C359&gt;1000)),MID(TEXT((C359+1000)*1000,0),2,6),"keine Meter in Spalte km!!!"),IF(VALUE(I359)=1,CONCATENATE("_",VLOOKUP(IF(V359&gt;0,V359,J359),[1]Grundlage!$A$20:$B$181,2,0)),CONCATENATE("_",B359))))</f>
        <v>UQ_B002_090250_S</v>
      </c>
      <c r="F359" s="2" t="s">
        <v>25</v>
      </c>
      <c r="G359" s="167">
        <f t="shared" ref="G359:G422" si="71">IF(ISBLANK(AP359),G358,INT(AP359/256))</f>
        <v>37185</v>
      </c>
      <c r="H359">
        <f t="shared" ref="H359:H422" si="72">IF(ISBLANK(AP359),H358,MOD(AP359,256))</f>
        <v>250</v>
      </c>
      <c r="I359" s="2">
        <f t="shared" si="65"/>
        <v>3</v>
      </c>
      <c r="J359" s="2">
        <f t="shared" si="66"/>
        <v>12</v>
      </c>
      <c r="K359" s="2">
        <v>207</v>
      </c>
      <c r="L359" s="2">
        <f t="shared" si="67"/>
        <v>12</v>
      </c>
      <c r="M359" s="2">
        <f t="shared" si="68"/>
        <v>1</v>
      </c>
      <c r="N359" s="2">
        <f t="shared" si="69"/>
        <v>3</v>
      </c>
      <c r="O359" s="2"/>
      <c r="P359" s="168">
        <f t="shared" si="70"/>
        <v>48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1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19">
        <v>3</v>
      </c>
      <c r="AU359" s="14">
        <v>12</v>
      </c>
      <c r="AV359" s="14" t="s">
        <v>79</v>
      </c>
      <c r="AY359" s="19">
        <v>1</v>
      </c>
      <c r="AZ359" s="14">
        <v>3</v>
      </c>
      <c r="BA359" s="14">
        <v>3</v>
      </c>
      <c r="BB359" s="13" t="s">
        <v>25</v>
      </c>
      <c r="BC359" s="16"/>
      <c r="BD359" s="16"/>
      <c r="BE359" s="2"/>
      <c r="BF359" s="13" t="s">
        <v>441</v>
      </c>
    </row>
    <row r="360" spans="1:58" s="13" customFormat="1" ht="14.25" x14ac:dyDescent="0.2">
      <c r="A360" t="str">
        <f t="shared" si="62"/>
        <v>B 2</v>
      </c>
      <c r="B360" s="2" t="s">
        <v>655</v>
      </c>
      <c r="C360">
        <f t="shared" si="63"/>
        <v>90.25</v>
      </c>
      <c r="D360" t="str">
        <f t="shared" si="64"/>
        <v>UFD</v>
      </c>
      <c r="E360" s="169" t="str">
        <f>IF(OR(A360="",B360="",C360=""),"eine der Spalten BAB, FR, km leer?",CONCATENATE(VLOOKUP(VALUE(I360),[1]Grundlage!$A$1:$B$14,2,0),IF(LEFT(A360,1)="A",IF(VALUE(MID(A360,2,10))&lt;10,"A00"&amp;VALUE(MID(A360,2,10)),IF(VALUE(MID(A360,2,10))&lt;100,"A0"&amp;VALUE(MID(A360,2,10)),IF(VALUE(MID(A360,2,10))&lt;1000,"A"&amp;VALUE(MID(A360,2,10))))),IF(LEFT(A360,1)="B",IF(VALUE(MID(A360,2,10))&lt;10,"B00"&amp;VALUE(MID(A360,2,10)),IF(VALUE(MID(A360,2,10))&lt;100,"B0"&amp;VALUE(MID(A360,2,10)),IF(VALUE(MID(A360,2,10))&lt;1000,"B"&amp;VALUE(MID(A360,2,10))))),A360)),"_",IF(NOT(OR(C360=1000,C360&gt;1000)),MID(TEXT((C360+1000)*1000,0),2,6),"keine Meter in Spalte km!!!"),IF(VALUE(I360)=1,CONCATENATE("_",VLOOKUP(IF(V360&gt;0,V360,J360),[1]Grundlage!$A$20:$B$181,2,0)),CONCATENATE("_",B360))))</f>
        <v>UQ_B002_090250_S</v>
      </c>
      <c r="F360" s="2" t="s">
        <v>26</v>
      </c>
      <c r="G360" s="167">
        <f t="shared" si="71"/>
        <v>37185</v>
      </c>
      <c r="H360">
        <f t="shared" si="72"/>
        <v>250</v>
      </c>
      <c r="I360" s="2">
        <f t="shared" si="65"/>
        <v>3</v>
      </c>
      <c r="J360" s="2">
        <f t="shared" si="66"/>
        <v>13</v>
      </c>
      <c r="K360" s="2">
        <v>207</v>
      </c>
      <c r="L360" s="2">
        <f t="shared" si="67"/>
        <v>12</v>
      </c>
      <c r="M360" s="2">
        <f t="shared" si="68"/>
        <v>1</v>
      </c>
      <c r="N360" s="2">
        <f t="shared" si="69"/>
        <v>4</v>
      </c>
      <c r="O360" s="2"/>
      <c r="P360" s="168">
        <f t="shared" si="70"/>
        <v>55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1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19">
        <v>3</v>
      </c>
      <c r="AU360" s="14">
        <v>13</v>
      </c>
      <c r="AV360" s="14" t="s">
        <v>80</v>
      </c>
      <c r="AY360" s="19">
        <v>1</v>
      </c>
      <c r="AZ360" s="14">
        <v>4</v>
      </c>
      <c r="BA360" s="14">
        <v>4</v>
      </c>
      <c r="BB360" s="13" t="s">
        <v>26</v>
      </c>
      <c r="BC360" s="16"/>
      <c r="BD360" s="16"/>
      <c r="BE360" s="2"/>
      <c r="BF360" s="13" t="s">
        <v>442</v>
      </c>
    </row>
    <row r="361" spans="1:58" s="13" customFormat="1" ht="14.25" x14ac:dyDescent="0.2">
      <c r="A361" t="str">
        <f t="shared" si="62"/>
        <v>B 2</v>
      </c>
      <c r="B361" s="2" t="s">
        <v>655</v>
      </c>
      <c r="C361">
        <f t="shared" si="63"/>
        <v>90.25</v>
      </c>
      <c r="D361" t="str">
        <f t="shared" si="64"/>
        <v>UFD</v>
      </c>
      <c r="E361" s="169" t="str">
        <f>IF(OR(A361="",B361="",C361=""),"eine der Spalten BAB, FR, km leer?",CONCATENATE(VLOOKUP(VALUE(I361),[1]Grundlage!$A$1:$B$14,2,0),IF(LEFT(A361,1)="A",IF(VALUE(MID(A361,2,10))&lt;10,"A00"&amp;VALUE(MID(A361,2,10)),IF(VALUE(MID(A361,2,10))&lt;100,"A0"&amp;VALUE(MID(A361,2,10)),IF(VALUE(MID(A361,2,10))&lt;1000,"A"&amp;VALUE(MID(A361,2,10))))),IF(LEFT(A361,1)="B",IF(VALUE(MID(A361,2,10))&lt;10,"B00"&amp;VALUE(MID(A361,2,10)),IF(VALUE(MID(A361,2,10))&lt;100,"B0"&amp;VALUE(MID(A361,2,10)),IF(VALUE(MID(A361,2,10))&lt;1000,"B"&amp;VALUE(MID(A361,2,10))))),A361)),"_",IF(NOT(OR(C361=1000,C361&gt;1000)),MID(TEXT((C361+1000)*1000,0),2,6),"keine Meter in Spalte km!!!"),IF(VALUE(I361)=1,CONCATENATE("_",VLOOKUP(IF(V361&gt;0,V361,J361),[1]Grundlage!$A$20:$B$181,2,0)),CONCATENATE("_",B361))))</f>
        <v>UQ_B002_090250_S</v>
      </c>
      <c r="F361" s="2" t="s">
        <v>27</v>
      </c>
      <c r="G361" s="167">
        <f t="shared" si="71"/>
        <v>37185</v>
      </c>
      <c r="H361">
        <f t="shared" si="72"/>
        <v>250</v>
      </c>
      <c r="I361" s="2">
        <f t="shared" si="65"/>
        <v>3</v>
      </c>
      <c r="J361" s="2">
        <f t="shared" si="66"/>
        <v>14</v>
      </c>
      <c r="K361" s="2">
        <v>207</v>
      </c>
      <c r="L361" s="2">
        <f t="shared" si="67"/>
        <v>12</v>
      </c>
      <c r="M361" s="2">
        <f t="shared" si="68"/>
        <v>1</v>
      </c>
      <c r="N361" s="2">
        <f t="shared" si="69"/>
        <v>5</v>
      </c>
      <c r="O361" s="2"/>
      <c r="P361" s="168">
        <f t="shared" si="70"/>
        <v>66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1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19">
        <v>3</v>
      </c>
      <c r="AU361" s="14">
        <v>14</v>
      </c>
      <c r="AV361" s="14" t="s">
        <v>81</v>
      </c>
      <c r="AY361" s="19">
        <v>1</v>
      </c>
      <c r="AZ361" s="14">
        <v>5</v>
      </c>
      <c r="BA361" s="14">
        <v>5</v>
      </c>
      <c r="BB361" s="13" t="s">
        <v>27</v>
      </c>
      <c r="BC361" s="16"/>
      <c r="BD361" s="16"/>
      <c r="BE361" s="2"/>
      <c r="BF361" s="13" t="s">
        <v>443</v>
      </c>
    </row>
    <row r="362" spans="1:58" s="13" customFormat="1" ht="14.25" x14ac:dyDescent="0.2">
      <c r="A362" t="str">
        <f t="shared" si="62"/>
        <v>B 2</v>
      </c>
      <c r="B362" s="2" t="s">
        <v>655</v>
      </c>
      <c r="C362">
        <f t="shared" si="63"/>
        <v>90.25</v>
      </c>
      <c r="D362" t="str">
        <f t="shared" si="64"/>
        <v>UFD</v>
      </c>
      <c r="E362" s="169" t="str">
        <f>IF(OR(A362="",B362="",C362=""),"eine der Spalten BAB, FR, km leer?",CONCATENATE(VLOOKUP(VALUE(I362),[1]Grundlage!$A$1:$B$14,2,0),IF(LEFT(A362,1)="A",IF(VALUE(MID(A362,2,10))&lt;10,"A00"&amp;VALUE(MID(A362,2,10)),IF(VALUE(MID(A362,2,10))&lt;100,"A0"&amp;VALUE(MID(A362,2,10)),IF(VALUE(MID(A362,2,10))&lt;1000,"A"&amp;VALUE(MID(A362,2,10))))),IF(LEFT(A362,1)="B",IF(VALUE(MID(A362,2,10))&lt;10,"B00"&amp;VALUE(MID(A362,2,10)),IF(VALUE(MID(A362,2,10))&lt;100,"B0"&amp;VALUE(MID(A362,2,10)),IF(VALUE(MID(A362,2,10))&lt;1000,"B"&amp;VALUE(MID(A362,2,10))))),A362)),"_",IF(NOT(OR(C362=1000,C362&gt;1000)),MID(TEXT((C362+1000)*1000,0),2,6),"keine Meter in Spalte km!!!"),IF(VALUE(I362)=1,CONCATENATE("_",VLOOKUP(IF(V362&gt;0,V362,J362),[1]Grundlage!$A$20:$B$181,2,0)),CONCATENATE("_",B362))))</f>
        <v>UQ_B002_090250_S</v>
      </c>
      <c r="F362" s="2" t="s">
        <v>28</v>
      </c>
      <c r="G362" s="167">
        <f t="shared" si="71"/>
        <v>37185</v>
      </c>
      <c r="H362">
        <f t="shared" si="72"/>
        <v>250</v>
      </c>
      <c r="I362" s="2">
        <f t="shared" si="65"/>
        <v>3</v>
      </c>
      <c r="J362" s="2">
        <f t="shared" si="66"/>
        <v>15</v>
      </c>
      <c r="K362" s="2">
        <v>207</v>
      </c>
      <c r="L362" s="2">
        <f t="shared" si="67"/>
        <v>12</v>
      </c>
      <c r="M362" s="2">
        <f t="shared" si="68"/>
        <v>1</v>
      </c>
      <c r="N362" s="2">
        <f t="shared" si="69"/>
        <v>6</v>
      </c>
      <c r="O362" s="2"/>
      <c r="P362" s="168">
        <f t="shared" si="70"/>
        <v>65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1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19">
        <v>3</v>
      </c>
      <c r="AU362" s="14">
        <v>15</v>
      </c>
      <c r="AV362" s="14" t="s">
        <v>82</v>
      </c>
      <c r="AY362" s="19">
        <v>1</v>
      </c>
      <c r="AZ362" s="14">
        <v>6</v>
      </c>
      <c r="BA362" s="14">
        <v>6</v>
      </c>
      <c r="BB362" s="13" t="s">
        <v>28</v>
      </c>
      <c r="BC362" s="16"/>
      <c r="BD362" s="16"/>
      <c r="BE362" s="2"/>
      <c r="BF362" s="13" t="s">
        <v>542</v>
      </c>
    </row>
    <row r="363" spans="1:58" s="13" customFormat="1" ht="14.25" x14ac:dyDescent="0.2">
      <c r="A363" t="str">
        <f t="shared" si="62"/>
        <v>B 2</v>
      </c>
      <c r="B363" s="2" t="s">
        <v>655</v>
      </c>
      <c r="C363">
        <f t="shared" si="63"/>
        <v>90.25</v>
      </c>
      <c r="D363" t="str">
        <f t="shared" si="64"/>
        <v>UFD</v>
      </c>
      <c r="E363" s="169" t="str">
        <f>IF(OR(A363="",B363="",C363=""),"eine der Spalten BAB, FR, km leer?",CONCATENATE(VLOOKUP(VALUE(I363),[1]Grundlage!$A$1:$B$14,2,0),IF(LEFT(A363,1)="A",IF(VALUE(MID(A363,2,10))&lt;10,"A00"&amp;VALUE(MID(A363,2,10)),IF(VALUE(MID(A363,2,10))&lt;100,"A0"&amp;VALUE(MID(A363,2,10)),IF(VALUE(MID(A363,2,10))&lt;1000,"A"&amp;VALUE(MID(A363,2,10))))),IF(LEFT(A363,1)="B",IF(VALUE(MID(A363,2,10))&lt;10,"B00"&amp;VALUE(MID(A363,2,10)),IF(VALUE(MID(A363,2,10))&lt;100,"B0"&amp;VALUE(MID(A363,2,10)),IF(VALUE(MID(A363,2,10))&lt;1000,"B"&amp;VALUE(MID(A363,2,10))))),A363)),"_",IF(NOT(OR(C363=1000,C363&gt;1000)),MID(TEXT((C363+1000)*1000,0),2,6),"keine Meter in Spalte km!!!"),IF(VALUE(I363)=1,CONCATENATE("_",VLOOKUP(IF(V363&gt;0,V363,J363),[1]Grundlage!$A$20:$B$181,2,0)),CONCATENATE("_",B363))))</f>
        <v>UQ_B002_090250_S</v>
      </c>
      <c r="F363" s="2" t="s">
        <v>29</v>
      </c>
      <c r="G363" s="167">
        <f t="shared" si="71"/>
        <v>37185</v>
      </c>
      <c r="H363">
        <f t="shared" si="72"/>
        <v>250</v>
      </c>
      <c r="I363" s="2">
        <f t="shared" si="65"/>
        <v>3</v>
      </c>
      <c r="J363" s="2">
        <f t="shared" si="66"/>
        <v>19</v>
      </c>
      <c r="K363" s="2">
        <v>207</v>
      </c>
      <c r="L363" s="2">
        <f t="shared" si="67"/>
        <v>12</v>
      </c>
      <c r="M363" s="2">
        <f t="shared" si="68"/>
        <v>1</v>
      </c>
      <c r="N363" s="2">
        <f t="shared" si="69"/>
        <v>7</v>
      </c>
      <c r="O363" s="2"/>
      <c r="P363" s="168">
        <f t="shared" si="70"/>
        <v>49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1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19">
        <v>3</v>
      </c>
      <c r="AU363" s="14">
        <v>19</v>
      </c>
      <c r="AV363" s="14">
        <v>13</v>
      </c>
      <c r="AY363" s="19">
        <v>1</v>
      </c>
      <c r="AZ363" s="14">
        <v>7</v>
      </c>
      <c r="BA363" s="14">
        <v>7</v>
      </c>
      <c r="BB363" s="13" t="s">
        <v>29</v>
      </c>
      <c r="BC363" s="16"/>
      <c r="BD363" s="16"/>
      <c r="BE363" s="2"/>
      <c r="BF363" s="13" t="s">
        <v>543</v>
      </c>
    </row>
    <row r="364" spans="1:58" s="13" customFormat="1" ht="14.25" x14ac:dyDescent="0.2">
      <c r="A364" t="str">
        <f t="shared" si="62"/>
        <v>B 2</v>
      </c>
      <c r="B364" s="2" t="s">
        <v>655</v>
      </c>
      <c r="C364">
        <f t="shared" si="63"/>
        <v>90.25</v>
      </c>
      <c r="D364" t="str">
        <f t="shared" si="64"/>
        <v>UFD</v>
      </c>
      <c r="E364" s="169" t="str">
        <f>IF(OR(A364="",B364="",C364=""),"eine der Spalten BAB, FR, km leer?",CONCATENATE(VLOOKUP(VALUE(I364),[1]Grundlage!$A$1:$B$14,2,0),IF(LEFT(A364,1)="A",IF(VALUE(MID(A364,2,10))&lt;10,"A00"&amp;VALUE(MID(A364,2,10)),IF(VALUE(MID(A364,2,10))&lt;100,"A0"&amp;VALUE(MID(A364,2,10)),IF(VALUE(MID(A364,2,10))&lt;1000,"A"&amp;VALUE(MID(A364,2,10))))),IF(LEFT(A364,1)="B",IF(VALUE(MID(A364,2,10))&lt;10,"B00"&amp;VALUE(MID(A364,2,10)),IF(VALUE(MID(A364,2,10))&lt;100,"B0"&amp;VALUE(MID(A364,2,10)),IF(VALUE(MID(A364,2,10))&lt;1000,"B"&amp;VALUE(MID(A364,2,10))))),A364)),"_",IF(NOT(OR(C364=1000,C364&gt;1000)),MID(TEXT((C364+1000)*1000,0),2,6),"keine Meter in Spalte km!!!"),IF(VALUE(I364)=1,CONCATENATE("_",VLOOKUP(IF(V364&gt;0,V364,J364),[1]Grundlage!$A$20:$B$181,2,0)),CONCATENATE("_",B364))))</f>
        <v>UQ_B002_090250_S</v>
      </c>
      <c r="F364" s="2" t="s">
        <v>30</v>
      </c>
      <c r="G364" s="167">
        <f t="shared" si="71"/>
        <v>37185</v>
      </c>
      <c r="H364">
        <f t="shared" si="72"/>
        <v>250</v>
      </c>
      <c r="I364" s="2">
        <f t="shared" si="65"/>
        <v>3</v>
      </c>
      <c r="J364" s="2">
        <f t="shared" si="66"/>
        <v>21</v>
      </c>
      <c r="K364" s="2">
        <v>207</v>
      </c>
      <c r="L364" s="2">
        <f t="shared" si="67"/>
        <v>12</v>
      </c>
      <c r="M364" s="2">
        <f t="shared" si="68"/>
        <v>1</v>
      </c>
      <c r="N364" s="2">
        <f t="shared" si="69"/>
        <v>8</v>
      </c>
      <c r="O364" s="2"/>
      <c r="P364" s="168">
        <f t="shared" si="70"/>
        <v>67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1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19">
        <v>3</v>
      </c>
      <c r="AU364" s="14">
        <v>21</v>
      </c>
      <c r="AV364" s="14">
        <v>15</v>
      </c>
      <c r="AY364" s="19">
        <v>1</v>
      </c>
      <c r="AZ364" s="14">
        <v>8</v>
      </c>
      <c r="BA364" s="14">
        <v>8</v>
      </c>
      <c r="BB364" s="13" t="s">
        <v>30</v>
      </c>
      <c r="BC364" s="16"/>
      <c r="BD364" s="16"/>
      <c r="BE364" s="2"/>
      <c r="BF364" s="13" t="s">
        <v>544</v>
      </c>
    </row>
    <row r="365" spans="1:58" s="13" customFormat="1" ht="14.25" x14ac:dyDescent="0.2">
      <c r="A365" t="str">
        <f t="shared" si="62"/>
        <v>B 2</v>
      </c>
      <c r="B365" s="2" t="s">
        <v>655</v>
      </c>
      <c r="C365">
        <f t="shared" si="63"/>
        <v>90.25</v>
      </c>
      <c r="D365" t="str">
        <f t="shared" si="64"/>
        <v>UFD</v>
      </c>
      <c r="E365" s="169" t="str">
        <f>IF(OR(A365="",B365="",C365=""),"eine der Spalten BAB, FR, km leer?",CONCATENATE(VLOOKUP(VALUE(I365),[1]Grundlage!$A$1:$B$14,2,0),IF(LEFT(A365,1)="A",IF(VALUE(MID(A365,2,10))&lt;10,"A00"&amp;VALUE(MID(A365,2,10)),IF(VALUE(MID(A365,2,10))&lt;100,"A0"&amp;VALUE(MID(A365,2,10)),IF(VALUE(MID(A365,2,10))&lt;1000,"A"&amp;VALUE(MID(A365,2,10))))),IF(LEFT(A365,1)="B",IF(VALUE(MID(A365,2,10))&lt;10,"B00"&amp;VALUE(MID(A365,2,10)),IF(VALUE(MID(A365,2,10))&lt;100,"B0"&amp;VALUE(MID(A365,2,10)),IF(VALUE(MID(A365,2,10))&lt;1000,"B"&amp;VALUE(MID(A365,2,10))))),A365)),"_",IF(NOT(OR(C365=1000,C365&gt;1000)),MID(TEXT((C365+1000)*1000,0),2,6),"keine Meter in Spalte km!!!"),IF(VALUE(I365)=1,CONCATENATE("_",VLOOKUP(IF(V365&gt;0,V365,J365),[1]Grundlage!$A$20:$B$181,2,0)),CONCATENATE("_",B365))))</f>
        <v>UQ_B002_090250_S</v>
      </c>
      <c r="F365" s="2" t="s">
        <v>41</v>
      </c>
      <c r="G365" s="167">
        <f t="shared" si="71"/>
        <v>37185</v>
      </c>
      <c r="H365">
        <f t="shared" si="72"/>
        <v>250</v>
      </c>
      <c r="I365" s="2">
        <f t="shared" si="65"/>
        <v>3</v>
      </c>
      <c r="J365" s="2">
        <f t="shared" si="66"/>
        <v>24</v>
      </c>
      <c r="K365" s="2">
        <v>207</v>
      </c>
      <c r="L365" s="2">
        <f t="shared" si="67"/>
        <v>12</v>
      </c>
      <c r="M365" s="2">
        <f t="shared" si="68"/>
        <v>1</v>
      </c>
      <c r="N365" s="2">
        <f t="shared" si="69"/>
        <v>9</v>
      </c>
      <c r="O365" s="2"/>
      <c r="P365" s="168">
        <f t="shared" si="70"/>
        <v>69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1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19">
        <v>3</v>
      </c>
      <c r="AU365" s="14">
        <v>24</v>
      </c>
      <c r="AV365" s="14">
        <v>18</v>
      </c>
      <c r="AY365" s="19">
        <v>1</v>
      </c>
      <c r="AZ365" s="14">
        <v>9</v>
      </c>
      <c r="BA365" s="14">
        <v>9</v>
      </c>
      <c r="BB365" s="13" t="s">
        <v>41</v>
      </c>
      <c r="BC365" s="16"/>
      <c r="BD365" s="16"/>
      <c r="BE365" s="2"/>
      <c r="BF365" s="13" t="s">
        <v>545</v>
      </c>
    </row>
    <row r="366" spans="1:58" s="13" customFormat="1" ht="14.25" x14ac:dyDescent="0.2">
      <c r="A366" t="str">
        <f t="shared" si="62"/>
        <v>B 2</v>
      </c>
      <c r="B366" s="2" t="s">
        <v>655</v>
      </c>
      <c r="C366">
        <f t="shared" si="63"/>
        <v>90.25</v>
      </c>
      <c r="D366" t="str">
        <f t="shared" si="64"/>
        <v>UFD</v>
      </c>
      <c r="E366" s="169" t="str">
        <f>IF(OR(A366="",B366="",C366=""),"eine der Spalten BAB, FR, km leer?",CONCATENATE(VLOOKUP(VALUE(I366),[1]Grundlage!$A$1:$B$14,2,0),IF(LEFT(A366,1)="A",IF(VALUE(MID(A366,2,10))&lt;10,"A00"&amp;VALUE(MID(A366,2,10)),IF(VALUE(MID(A366,2,10))&lt;100,"A0"&amp;VALUE(MID(A366,2,10)),IF(VALUE(MID(A366,2,10))&lt;1000,"A"&amp;VALUE(MID(A366,2,10))))),IF(LEFT(A366,1)="B",IF(VALUE(MID(A366,2,10))&lt;10,"B00"&amp;VALUE(MID(A366,2,10)),IF(VALUE(MID(A366,2,10))&lt;100,"B0"&amp;VALUE(MID(A366,2,10)),IF(VALUE(MID(A366,2,10))&lt;1000,"B"&amp;VALUE(MID(A366,2,10))))),A366)),"_",IF(NOT(OR(C366=1000,C366&gt;1000)),MID(TEXT((C366+1000)*1000,0),2,6),"keine Meter in Spalte km!!!"),IF(VALUE(I366)=1,CONCATENATE("_",VLOOKUP(IF(V366&gt;0,V366,J366),[1]Grundlage!$A$20:$B$181,2,0)),CONCATENATE("_",B366))))</f>
        <v>UQ_B002_090250_S</v>
      </c>
      <c r="F366" s="2" t="s">
        <v>271</v>
      </c>
      <c r="G366" s="167">
        <f t="shared" si="71"/>
        <v>37185</v>
      </c>
      <c r="H366">
        <f t="shared" si="72"/>
        <v>250</v>
      </c>
      <c r="I366" s="2">
        <f t="shared" si="65"/>
        <v>3</v>
      </c>
      <c r="J366" s="2">
        <f t="shared" si="66"/>
        <v>67</v>
      </c>
      <c r="K366" s="2">
        <v>207</v>
      </c>
      <c r="L366" s="2">
        <f t="shared" si="67"/>
        <v>12</v>
      </c>
      <c r="M366" s="2">
        <f t="shared" si="68"/>
        <v>1</v>
      </c>
      <c r="N366" s="2">
        <f t="shared" si="69"/>
        <v>10</v>
      </c>
      <c r="O366" s="2"/>
      <c r="P366" s="168">
        <f t="shared" si="70"/>
        <v>53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1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19">
        <v>3</v>
      </c>
      <c r="AU366" s="14">
        <v>67</v>
      </c>
      <c r="AV366" s="14">
        <v>43</v>
      </c>
      <c r="AY366" s="19">
        <v>1</v>
      </c>
      <c r="AZ366" s="14">
        <v>10</v>
      </c>
      <c r="BA366" s="34" t="s">
        <v>95</v>
      </c>
      <c r="BB366" s="13" t="s">
        <v>271</v>
      </c>
      <c r="BC366" s="16"/>
      <c r="BD366" s="16"/>
      <c r="BE366" s="2"/>
      <c r="BF366" s="13" t="s">
        <v>444</v>
      </c>
    </row>
    <row r="367" spans="1:58" s="13" customFormat="1" ht="14.25" x14ac:dyDescent="0.2">
      <c r="A367" t="str">
        <f t="shared" si="62"/>
        <v>B 2</v>
      </c>
      <c r="B367" s="2" t="s">
        <v>655</v>
      </c>
      <c r="C367">
        <f t="shared" si="63"/>
        <v>90.25</v>
      </c>
      <c r="D367" t="str">
        <f t="shared" si="64"/>
        <v>UFD</v>
      </c>
      <c r="E367" s="169" t="str">
        <f>IF(OR(A367="",B367="",C367=""),"eine der Spalten BAB, FR, km leer?",CONCATENATE(VLOOKUP(VALUE(I367),[1]Grundlage!$A$1:$B$14,2,0),IF(LEFT(A367,1)="A",IF(VALUE(MID(A367,2,10))&lt;10,"A00"&amp;VALUE(MID(A367,2,10)),IF(VALUE(MID(A367,2,10))&lt;100,"A0"&amp;VALUE(MID(A367,2,10)),IF(VALUE(MID(A367,2,10))&lt;1000,"A"&amp;VALUE(MID(A367,2,10))))),IF(LEFT(A367,1)="B",IF(VALUE(MID(A367,2,10))&lt;10,"B00"&amp;VALUE(MID(A367,2,10)),IF(VALUE(MID(A367,2,10))&lt;100,"B0"&amp;VALUE(MID(A367,2,10)),IF(VALUE(MID(A367,2,10))&lt;1000,"B"&amp;VALUE(MID(A367,2,10))))),A367)),"_",IF(NOT(OR(C367=1000,C367&gt;1000)),MID(TEXT((C367+1000)*1000,0),2,6),"keine Meter in Spalte km!!!"),IF(VALUE(I367)=1,CONCATENATE("_",VLOOKUP(IF(V367&gt;0,V367,J367),[1]Grundlage!$A$20:$B$181,2,0)),CONCATENATE("_",B367))))</f>
        <v>UQ_B002_090250_S</v>
      </c>
      <c r="F367" s="2" t="s">
        <v>272</v>
      </c>
      <c r="G367" s="167">
        <f t="shared" si="71"/>
        <v>37185</v>
      </c>
      <c r="H367">
        <f t="shared" si="72"/>
        <v>250</v>
      </c>
      <c r="I367" s="2">
        <f t="shared" si="65"/>
        <v>3</v>
      </c>
      <c r="J367" s="2">
        <f t="shared" si="66"/>
        <v>82</v>
      </c>
      <c r="K367" s="2">
        <v>207</v>
      </c>
      <c r="L367" s="2">
        <f t="shared" si="67"/>
        <v>12</v>
      </c>
      <c r="M367" s="2">
        <f t="shared" si="68"/>
        <v>1</v>
      </c>
      <c r="N367" s="2">
        <f t="shared" si="69"/>
        <v>11</v>
      </c>
      <c r="O367" s="2"/>
      <c r="P367" s="168">
        <f t="shared" si="70"/>
        <v>72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1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19">
        <v>3</v>
      </c>
      <c r="AU367" s="14">
        <v>82</v>
      </c>
      <c r="AV367" s="14">
        <v>52</v>
      </c>
      <c r="AY367" s="19">
        <v>1</v>
      </c>
      <c r="AZ367" s="14">
        <v>11</v>
      </c>
      <c r="BA367" s="34" t="s">
        <v>78</v>
      </c>
      <c r="BB367" s="13" t="s">
        <v>272</v>
      </c>
      <c r="BC367" s="16"/>
      <c r="BD367" s="16"/>
      <c r="BE367" s="2"/>
      <c r="BF367" s="13" t="s">
        <v>546</v>
      </c>
    </row>
    <row r="368" spans="1:58" s="13" customFormat="1" ht="14.25" x14ac:dyDescent="0.2">
      <c r="A368" t="str">
        <f t="shared" si="62"/>
        <v>B 2</v>
      </c>
      <c r="B368" s="2"/>
      <c r="C368">
        <f t="shared" si="63"/>
        <v>90.25</v>
      </c>
      <c r="D368" t="str">
        <f t="shared" si="64"/>
        <v/>
      </c>
      <c r="E368" s="169" t="str">
        <f>IF(OR(A368="",B368="",C368=""),"",CONCATENATE(VLOOKUP(VALUE(I368),[1]Grundlage!$A$1:$B$14,2,0),IF(LEFT(A368,1)="A",IF(VALUE(MID(A368,2,10))&lt;10,"A00"&amp;VALUE(MID(A368,2,10)),IF(VALUE(MID(A368,2,10))&lt;100,"A0"&amp;VALUE(MID(A368,2,10)),IF(VALUE(MID(A368,2,10))&lt;1000,"A"&amp;VALUE(MID(A368,2,10))))),IF(LEFT(A368,1)="B",IF(VALUE(MID(A368,2,10))&lt;10,"B00"&amp;VALUE(MID(A368,2,10)),IF(VALUE(MID(A368,2,10))&lt;100,"B0"&amp;VALUE(MID(A368,2,10)),IF(VALUE(MID(A368,2,10))&lt;1000,"B"&amp;VALUE(MID(A368,2,10))))),A368)),"_",IF(NOT(OR(C368=1000,C368&gt;1000)),MID(TEXT((C368+1000)*1000,0),2,6),"keine Meter in Spalte km!!!"),IF(VALUE(I368)=1,CONCATENATE("_",VLOOKUP(IF(V368&gt;0,V368,J368),[1]Grundlage!$A$20:$B$181,2,0)),CONCATENATE("_",B368))))</f>
        <v/>
      </c>
      <c r="F368" s="2" t="s">
        <v>669</v>
      </c>
      <c r="G368" s="167">
        <f t="shared" si="71"/>
        <v>37185</v>
      </c>
      <c r="H368">
        <f t="shared" si="72"/>
        <v>250</v>
      </c>
      <c r="I368" s="2">
        <f t="shared" si="65"/>
        <v>0</v>
      </c>
      <c r="J368" s="2">
        <f t="shared" si="66"/>
        <v>0</v>
      </c>
      <c r="K368" s="2">
        <v>207</v>
      </c>
      <c r="L368" s="2">
        <f t="shared" si="67"/>
        <v>12</v>
      </c>
      <c r="M368" s="2" t="str">
        <f t="shared" si="68"/>
        <v/>
      </c>
      <c r="N368" s="2" t="str">
        <f t="shared" si="69"/>
        <v/>
      </c>
      <c r="O368" s="2"/>
      <c r="P368" s="168" t="str">
        <f t="shared" si="70"/>
        <v/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1"/>
      <c r="AT368" s="19"/>
      <c r="AU368" s="14"/>
      <c r="AV368" s="14"/>
      <c r="AY368" s="19"/>
      <c r="AZ368" s="14"/>
      <c r="BA368" s="34"/>
      <c r="BC368" s="25"/>
      <c r="BD368" s="25"/>
    </row>
    <row r="369" spans="1:58" s="13" customFormat="1" ht="14.25" x14ac:dyDescent="0.2">
      <c r="A369" t="str">
        <f t="shared" si="62"/>
        <v>A95</v>
      </c>
      <c r="B369" s="2" t="s">
        <v>655</v>
      </c>
      <c r="C369">
        <f t="shared" si="63"/>
        <v>58.5</v>
      </c>
      <c r="D369" t="str">
        <f t="shared" si="64"/>
        <v>SS</v>
      </c>
      <c r="E369" s="169" t="str">
        <f>IF(OR(A369="",B369="",C369=""),"eine der Spalten BAB, FR, km leer?",CONCATENATE(VLOOKUP(VALUE(I369),[1]Grundlage!$A$1:$B$14,2,0),IF(LEFT(A369,1)="A",IF(VALUE(MID(A369,2,10))&lt;10,"A00"&amp;VALUE(MID(A369,2,10)),IF(VALUE(MID(A369,2,10))&lt;100,"A0"&amp;VALUE(MID(A369,2,10)),IF(VALUE(MID(A369,2,10))&lt;1000,"A"&amp;VALUE(MID(A369,2,10))))),IF(LEFT(A369,1)="B",IF(VALUE(MID(A369,2,10))&lt;10,"B00"&amp;VALUE(MID(A369,2,10)),IF(VALUE(MID(A369,2,10))&lt;100,"B0"&amp;VALUE(MID(A369,2,10)),IF(VALUE(MID(A369,2,10))&lt;1000,"B"&amp;VALUE(MID(A369,2,10))))),A369)),"_",IF(NOT(OR(C369=1000,C369&gt;1000)),MID(TEXT((C369+1000)*1000,0),2,6),"keine Meter in Spalte km!!!"),IF(VALUE(I369)=1,CONCATENATE("_",VLOOKUP(IF(V369&gt;0,V369,J369),[1]Grundlage!$A$20:$B$181,2,0)),CONCATENATE("_",B369))))</f>
        <v>SSt_A095_058500_S</v>
      </c>
      <c r="F369" s="2" t="s">
        <v>56</v>
      </c>
      <c r="G369" s="167">
        <f t="shared" si="71"/>
        <v>37181</v>
      </c>
      <c r="H369">
        <f t="shared" si="72"/>
        <v>4</v>
      </c>
      <c r="I369" s="2">
        <f t="shared" si="65"/>
        <v>254</v>
      </c>
      <c r="J369" s="2">
        <f t="shared" si="66"/>
        <v>0</v>
      </c>
      <c r="K369" s="2">
        <v>207</v>
      </c>
      <c r="L369" s="2">
        <f t="shared" si="67"/>
        <v>4</v>
      </c>
      <c r="M369" s="2" t="str">
        <f t="shared" si="68"/>
        <v/>
      </c>
      <c r="N369" s="2" t="str">
        <f t="shared" si="69"/>
        <v/>
      </c>
      <c r="O369" s="2"/>
      <c r="P369" s="168" t="str">
        <f t="shared" si="70"/>
        <v/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35">
        <v>58.5</v>
      </c>
      <c r="AJ369" s="36" t="s">
        <v>19</v>
      </c>
      <c r="AK369" s="36" t="s">
        <v>54</v>
      </c>
      <c r="AL369" s="36"/>
      <c r="AM369" s="36"/>
      <c r="AN369" s="36"/>
      <c r="AO369" s="36"/>
      <c r="AP369" s="42">
        <v>9518340</v>
      </c>
      <c r="AQ369" s="42">
        <v>91</v>
      </c>
      <c r="AR369" s="42" t="s">
        <v>235</v>
      </c>
      <c r="AS369" s="66" t="s">
        <v>234</v>
      </c>
      <c r="AT369" s="36"/>
      <c r="AU369" s="36"/>
      <c r="AV369" s="36"/>
      <c r="AW369" s="36"/>
      <c r="AX369" s="36">
        <v>4</v>
      </c>
      <c r="AY369" s="36"/>
      <c r="AZ369" s="36"/>
      <c r="BA369" s="36"/>
      <c r="BB369" s="37" t="s">
        <v>56</v>
      </c>
      <c r="BC369" s="38"/>
      <c r="BD369" s="99" t="s">
        <v>163</v>
      </c>
      <c r="BE369" s="39" t="s">
        <v>50</v>
      </c>
      <c r="BF369" s="13" t="s">
        <v>454</v>
      </c>
    </row>
    <row r="370" spans="1:58" ht="14.25" x14ac:dyDescent="0.2">
      <c r="A370" t="str">
        <f t="shared" si="62"/>
        <v>A95</v>
      </c>
      <c r="B370" s="2" t="s">
        <v>655</v>
      </c>
      <c r="C370">
        <f t="shared" si="63"/>
        <v>58.5</v>
      </c>
      <c r="D370" t="str">
        <f t="shared" si="64"/>
        <v>UFD</v>
      </c>
      <c r="E370" s="169" t="str">
        <f>IF(OR(A370="",B370="",C370=""),"eine der Spalten BAB, FR, km leer?",CONCATENATE(VLOOKUP(VALUE(I370),[1]Grundlage!$A$1:$B$14,2,0),IF(LEFT(A370,1)="A",IF(VALUE(MID(A370,2,10))&lt;10,"A00"&amp;VALUE(MID(A370,2,10)),IF(VALUE(MID(A370,2,10))&lt;100,"A0"&amp;VALUE(MID(A370,2,10)),IF(VALUE(MID(A370,2,10))&lt;1000,"A"&amp;VALUE(MID(A370,2,10))))),IF(LEFT(A370,1)="B",IF(VALUE(MID(A370,2,10))&lt;10,"B00"&amp;VALUE(MID(A370,2,10)),IF(VALUE(MID(A370,2,10))&lt;100,"B0"&amp;VALUE(MID(A370,2,10)),IF(VALUE(MID(A370,2,10))&lt;1000,"B"&amp;VALUE(MID(A370,2,10))))),A370)),"_",IF(NOT(OR(C370=1000,C370&gt;1000)),MID(TEXT((C370+1000)*1000,0),2,6),"keine Meter in Spalte km!!!"),IF(VALUE(I370)=1,CONCATENATE("_",VLOOKUP(IF(V370&gt;0,V370,J370),[1]Grundlage!$A$20:$B$181,2,0)),CONCATENATE("_",B370))))</f>
        <v>UQ_A095_058500_S</v>
      </c>
      <c r="F370" s="2" t="s">
        <v>269</v>
      </c>
      <c r="G370" s="167">
        <f t="shared" si="71"/>
        <v>37181</v>
      </c>
      <c r="H370">
        <f t="shared" si="72"/>
        <v>4</v>
      </c>
      <c r="I370" s="2">
        <f t="shared" si="65"/>
        <v>3</v>
      </c>
      <c r="J370" s="2">
        <f t="shared" si="66"/>
        <v>6</v>
      </c>
      <c r="K370" s="2">
        <v>207</v>
      </c>
      <c r="L370" s="2">
        <f t="shared" si="67"/>
        <v>4</v>
      </c>
      <c r="M370" s="2">
        <f t="shared" si="68"/>
        <v>1</v>
      </c>
      <c r="N370" s="2">
        <f t="shared" si="69"/>
        <v>1</v>
      </c>
      <c r="P370" s="168">
        <f t="shared" si="70"/>
        <v>71</v>
      </c>
      <c r="AP370" s="40"/>
      <c r="AQ370" s="40"/>
      <c r="AR370" s="40"/>
      <c r="AS370" s="40"/>
      <c r="AT370" s="19">
        <v>3</v>
      </c>
      <c r="AU370" s="14">
        <v>6</v>
      </c>
      <c r="AV370" s="27">
        <v>6</v>
      </c>
      <c r="AW370" s="19"/>
      <c r="AX370" s="19"/>
      <c r="AY370" s="19">
        <v>1</v>
      </c>
      <c r="AZ370" s="14">
        <v>1</v>
      </c>
      <c r="BA370" s="100">
        <v>1</v>
      </c>
      <c r="BB370" s="13" t="s">
        <v>269</v>
      </c>
      <c r="BF370" s="2" t="s">
        <v>440</v>
      </c>
    </row>
    <row r="371" spans="1:58" ht="14.25" x14ac:dyDescent="0.2">
      <c r="A371" t="str">
        <f t="shared" si="62"/>
        <v>A95</v>
      </c>
      <c r="B371" s="2" t="s">
        <v>655</v>
      </c>
      <c r="C371">
        <f t="shared" si="63"/>
        <v>58.5</v>
      </c>
      <c r="D371" t="str">
        <f t="shared" si="64"/>
        <v>UFD</v>
      </c>
      <c r="E371" s="169" t="str">
        <f>IF(OR(A371="",B371="",C371=""),"eine der Spalten BAB, FR, km leer?",CONCATENATE(VLOOKUP(VALUE(I371),[1]Grundlage!$A$1:$B$14,2,0),IF(LEFT(A371,1)="A",IF(VALUE(MID(A371,2,10))&lt;10,"A00"&amp;VALUE(MID(A371,2,10)),IF(VALUE(MID(A371,2,10))&lt;100,"A0"&amp;VALUE(MID(A371,2,10)),IF(VALUE(MID(A371,2,10))&lt;1000,"A"&amp;VALUE(MID(A371,2,10))))),IF(LEFT(A371,1)="B",IF(VALUE(MID(A371,2,10))&lt;10,"B00"&amp;VALUE(MID(A371,2,10)),IF(VALUE(MID(A371,2,10))&lt;100,"B0"&amp;VALUE(MID(A371,2,10)),IF(VALUE(MID(A371,2,10))&lt;1000,"B"&amp;VALUE(MID(A371,2,10))))),A371)),"_",IF(NOT(OR(C371=1000,C371&gt;1000)),MID(TEXT((C371+1000)*1000,0),2,6),"keine Meter in Spalte km!!!"),IF(VALUE(I371)=1,CONCATENATE("_",VLOOKUP(IF(V371&gt;0,V371,J371),[1]Grundlage!$A$20:$B$181,2,0)),CONCATENATE("_",B371))))</f>
        <v>UQ_A095_058500_S</v>
      </c>
      <c r="F371" s="2" t="s">
        <v>270</v>
      </c>
      <c r="G371" s="167">
        <f t="shared" si="71"/>
        <v>37181</v>
      </c>
      <c r="H371">
        <f t="shared" si="72"/>
        <v>4</v>
      </c>
      <c r="I371" s="2">
        <f t="shared" si="65"/>
        <v>3</v>
      </c>
      <c r="J371" s="2">
        <f t="shared" si="66"/>
        <v>11</v>
      </c>
      <c r="K371" s="2">
        <v>207</v>
      </c>
      <c r="L371" s="2">
        <f t="shared" si="67"/>
        <v>4</v>
      </c>
      <c r="M371" s="2">
        <f t="shared" si="68"/>
        <v>1</v>
      </c>
      <c r="N371" s="2">
        <f t="shared" si="69"/>
        <v>2</v>
      </c>
      <c r="P371" s="168">
        <f t="shared" si="70"/>
        <v>70</v>
      </c>
      <c r="AT371" s="19">
        <v>3</v>
      </c>
      <c r="AU371" s="14">
        <v>11</v>
      </c>
      <c r="AV371" s="14" t="s">
        <v>78</v>
      </c>
      <c r="AW371" s="13"/>
      <c r="AX371" s="13"/>
      <c r="AY371" s="19">
        <v>1</v>
      </c>
      <c r="AZ371" s="14">
        <v>2</v>
      </c>
      <c r="BA371" s="14">
        <v>2</v>
      </c>
      <c r="BB371" s="13" t="s">
        <v>270</v>
      </c>
      <c r="BF371" s="2" t="s">
        <v>541</v>
      </c>
    </row>
    <row r="372" spans="1:58" ht="14.25" x14ac:dyDescent="0.2">
      <c r="A372" t="str">
        <f t="shared" si="62"/>
        <v>A95</v>
      </c>
      <c r="B372" s="2" t="s">
        <v>655</v>
      </c>
      <c r="C372">
        <f t="shared" si="63"/>
        <v>58.5</v>
      </c>
      <c r="D372" t="str">
        <f t="shared" si="64"/>
        <v>UFD</v>
      </c>
      <c r="E372" s="169" t="str">
        <f>IF(OR(A372="",B372="",C372=""),"eine der Spalten BAB, FR, km leer?",CONCATENATE(VLOOKUP(VALUE(I372),[1]Grundlage!$A$1:$B$14,2,0),IF(LEFT(A372,1)="A",IF(VALUE(MID(A372,2,10))&lt;10,"A00"&amp;VALUE(MID(A372,2,10)),IF(VALUE(MID(A372,2,10))&lt;100,"A0"&amp;VALUE(MID(A372,2,10)),IF(VALUE(MID(A372,2,10))&lt;1000,"A"&amp;VALUE(MID(A372,2,10))))),IF(LEFT(A372,1)="B",IF(VALUE(MID(A372,2,10))&lt;10,"B00"&amp;VALUE(MID(A372,2,10)),IF(VALUE(MID(A372,2,10))&lt;100,"B0"&amp;VALUE(MID(A372,2,10)),IF(VALUE(MID(A372,2,10))&lt;1000,"B"&amp;VALUE(MID(A372,2,10))))),A372)),"_",IF(NOT(OR(C372=1000,C372&gt;1000)),MID(TEXT((C372+1000)*1000,0),2,6),"keine Meter in Spalte km!!!"),IF(VALUE(I372)=1,CONCATENATE("_",VLOOKUP(IF(V372&gt;0,V372,J372),[1]Grundlage!$A$20:$B$181,2,0)),CONCATENATE("_",B372))))</f>
        <v>UQ_A095_058500_S</v>
      </c>
      <c r="F372" s="2" t="s">
        <v>25</v>
      </c>
      <c r="G372" s="167">
        <f t="shared" si="71"/>
        <v>37181</v>
      </c>
      <c r="H372">
        <f t="shared" si="72"/>
        <v>4</v>
      </c>
      <c r="I372" s="2">
        <f t="shared" si="65"/>
        <v>3</v>
      </c>
      <c r="J372" s="2">
        <f t="shared" si="66"/>
        <v>12</v>
      </c>
      <c r="K372" s="2">
        <v>207</v>
      </c>
      <c r="L372" s="2">
        <f t="shared" si="67"/>
        <v>4</v>
      </c>
      <c r="M372" s="2">
        <f t="shared" si="68"/>
        <v>1</v>
      </c>
      <c r="N372" s="2">
        <f t="shared" si="69"/>
        <v>3</v>
      </c>
      <c r="P372" s="168">
        <f t="shared" si="70"/>
        <v>48</v>
      </c>
      <c r="AT372" s="19">
        <v>3</v>
      </c>
      <c r="AU372" s="14">
        <v>12</v>
      </c>
      <c r="AV372" s="14" t="s">
        <v>79</v>
      </c>
      <c r="AW372" s="13"/>
      <c r="AX372" s="13"/>
      <c r="AY372" s="19">
        <v>1</v>
      </c>
      <c r="AZ372" s="14">
        <v>3</v>
      </c>
      <c r="BA372" s="14">
        <v>3</v>
      </c>
      <c r="BB372" s="13" t="s">
        <v>25</v>
      </c>
      <c r="BF372" s="13" t="s">
        <v>441</v>
      </c>
    </row>
    <row r="373" spans="1:58" ht="14.25" x14ac:dyDescent="0.2">
      <c r="A373" t="str">
        <f t="shared" si="62"/>
        <v>A95</v>
      </c>
      <c r="B373" s="2" t="s">
        <v>655</v>
      </c>
      <c r="C373">
        <f t="shared" si="63"/>
        <v>58.5</v>
      </c>
      <c r="D373" t="str">
        <f t="shared" si="64"/>
        <v>UFD</v>
      </c>
      <c r="E373" s="169" t="str">
        <f>IF(OR(A373="",B373="",C373=""),"eine der Spalten BAB, FR, km leer?",CONCATENATE(VLOOKUP(VALUE(I373),[1]Grundlage!$A$1:$B$14,2,0),IF(LEFT(A373,1)="A",IF(VALUE(MID(A373,2,10))&lt;10,"A00"&amp;VALUE(MID(A373,2,10)),IF(VALUE(MID(A373,2,10))&lt;100,"A0"&amp;VALUE(MID(A373,2,10)),IF(VALUE(MID(A373,2,10))&lt;1000,"A"&amp;VALUE(MID(A373,2,10))))),IF(LEFT(A373,1)="B",IF(VALUE(MID(A373,2,10))&lt;10,"B00"&amp;VALUE(MID(A373,2,10)),IF(VALUE(MID(A373,2,10))&lt;100,"B0"&amp;VALUE(MID(A373,2,10)),IF(VALUE(MID(A373,2,10))&lt;1000,"B"&amp;VALUE(MID(A373,2,10))))),A373)),"_",IF(NOT(OR(C373=1000,C373&gt;1000)),MID(TEXT((C373+1000)*1000,0),2,6),"keine Meter in Spalte km!!!"),IF(VALUE(I373)=1,CONCATENATE("_",VLOOKUP(IF(V373&gt;0,V373,J373),[1]Grundlage!$A$20:$B$181,2,0)),CONCATENATE("_",B373))))</f>
        <v>UQ_A095_058500_S</v>
      </c>
      <c r="F373" s="2" t="s">
        <v>26</v>
      </c>
      <c r="G373" s="167">
        <f t="shared" si="71"/>
        <v>37181</v>
      </c>
      <c r="H373">
        <f t="shared" si="72"/>
        <v>4</v>
      </c>
      <c r="I373" s="2">
        <f t="shared" si="65"/>
        <v>3</v>
      </c>
      <c r="J373" s="2">
        <f t="shared" si="66"/>
        <v>13</v>
      </c>
      <c r="K373" s="2">
        <v>207</v>
      </c>
      <c r="L373" s="2">
        <f t="shared" si="67"/>
        <v>4</v>
      </c>
      <c r="M373" s="2">
        <f t="shared" si="68"/>
        <v>1</v>
      </c>
      <c r="N373" s="2">
        <f t="shared" si="69"/>
        <v>4</v>
      </c>
      <c r="P373" s="168">
        <f t="shared" si="70"/>
        <v>55</v>
      </c>
      <c r="AT373" s="19">
        <v>3</v>
      </c>
      <c r="AU373" s="14">
        <v>13</v>
      </c>
      <c r="AV373" s="14" t="s">
        <v>80</v>
      </c>
      <c r="AW373" s="13"/>
      <c r="AX373" s="13"/>
      <c r="AY373" s="19">
        <v>1</v>
      </c>
      <c r="AZ373" s="14">
        <v>4</v>
      </c>
      <c r="BA373" s="14">
        <v>4</v>
      </c>
      <c r="BB373" s="13" t="s">
        <v>26</v>
      </c>
      <c r="BF373" s="13" t="s">
        <v>442</v>
      </c>
    </row>
    <row r="374" spans="1:58" ht="14.25" x14ac:dyDescent="0.2">
      <c r="A374" t="str">
        <f t="shared" si="62"/>
        <v>A95</v>
      </c>
      <c r="B374" s="2" t="s">
        <v>655</v>
      </c>
      <c r="C374">
        <f t="shared" si="63"/>
        <v>58.5</v>
      </c>
      <c r="D374" t="str">
        <f t="shared" si="64"/>
        <v>UFD</v>
      </c>
      <c r="E374" s="169" t="str">
        <f>IF(OR(A374="",B374="",C374=""),"eine der Spalten BAB, FR, km leer?",CONCATENATE(VLOOKUP(VALUE(I374),[1]Grundlage!$A$1:$B$14,2,0),IF(LEFT(A374,1)="A",IF(VALUE(MID(A374,2,10))&lt;10,"A00"&amp;VALUE(MID(A374,2,10)),IF(VALUE(MID(A374,2,10))&lt;100,"A0"&amp;VALUE(MID(A374,2,10)),IF(VALUE(MID(A374,2,10))&lt;1000,"A"&amp;VALUE(MID(A374,2,10))))),IF(LEFT(A374,1)="B",IF(VALUE(MID(A374,2,10))&lt;10,"B00"&amp;VALUE(MID(A374,2,10)),IF(VALUE(MID(A374,2,10))&lt;100,"B0"&amp;VALUE(MID(A374,2,10)),IF(VALUE(MID(A374,2,10))&lt;1000,"B"&amp;VALUE(MID(A374,2,10))))),A374)),"_",IF(NOT(OR(C374=1000,C374&gt;1000)),MID(TEXT((C374+1000)*1000,0),2,6),"keine Meter in Spalte km!!!"),IF(VALUE(I374)=1,CONCATENATE("_",VLOOKUP(IF(V374&gt;0,V374,J374),[1]Grundlage!$A$20:$B$181,2,0)),CONCATENATE("_",B374))))</f>
        <v>UQ_A095_058500_S</v>
      </c>
      <c r="F374" s="2" t="s">
        <v>27</v>
      </c>
      <c r="G374" s="167">
        <f t="shared" si="71"/>
        <v>37181</v>
      </c>
      <c r="H374">
        <f t="shared" si="72"/>
        <v>4</v>
      </c>
      <c r="I374" s="2">
        <f t="shared" si="65"/>
        <v>3</v>
      </c>
      <c r="J374" s="2">
        <f t="shared" si="66"/>
        <v>14</v>
      </c>
      <c r="K374" s="2">
        <v>207</v>
      </c>
      <c r="L374" s="2">
        <f t="shared" si="67"/>
        <v>4</v>
      </c>
      <c r="M374" s="2">
        <f t="shared" si="68"/>
        <v>1</v>
      </c>
      <c r="N374" s="2">
        <f t="shared" si="69"/>
        <v>5</v>
      </c>
      <c r="P374" s="168">
        <f t="shared" si="70"/>
        <v>66</v>
      </c>
      <c r="AT374" s="19">
        <v>3</v>
      </c>
      <c r="AU374" s="14">
        <v>14</v>
      </c>
      <c r="AV374" s="14" t="s">
        <v>81</v>
      </c>
      <c r="AW374" s="13"/>
      <c r="AX374" s="13"/>
      <c r="AY374" s="19">
        <v>1</v>
      </c>
      <c r="AZ374" s="14">
        <v>5</v>
      </c>
      <c r="BA374" s="14">
        <v>5</v>
      </c>
      <c r="BB374" s="13" t="s">
        <v>27</v>
      </c>
      <c r="BF374" s="13" t="s">
        <v>443</v>
      </c>
    </row>
    <row r="375" spans="1:58" ht="14.25" x14ac:dyDescent="0.2">
      <c r="A375" t="str">
        <f t="shared" si="62"/>
        <v>A95</v>
      </c>
      <c r="B375" s="2" t="s">
        <v>655</v>
      </c>
      <c r="C375">
        <f t="shared" si="63"/>
        <v>58.5</v>
      </c>
      <c r="D375" t="str">
        <f t="shared" si="64"/>
        <v>UFD</v>
      </c>
      <c r="E375" s="169" t="str">
        <f>IF(OR(A375="",B375="",C375=""),"eine der Spalten BAB, FR, km leer?",CONCATENATE(VLOOKUP(VALUE(I375),[1]Grundlage!$A$1:$B$14,2,0),IF(LEFT(A375,1)="A",IF(VALUE(MID(A375,2,10))&lt;10,"A00"&amp;VALUE(MID(A375,2,10)),IF(VALUE(MID(A375,2,10))&lt;100,"A0"&amp;VALUE(MID(A375,2,10)),IF(VALUE(MID(A375,2,10))&lt;1000,"A"&amp;VALUE(MID(A375,2,10))))),IF(LEFT(A375,1)="B",IF(VALUE(MID(A375,2,10))&lt;10,"B00"&amp;VALUE(MID(A375,2,10)),IF(VALUE(MID(A375,2,10))&lt;100,"B0"&amp;VALUE(MID(A375,2,10)),IF(VALUE(MID(A375,2,10))&lt;1000,"B"&amp;VALUE(MID(A375,2,10))))),A375)),"_",IF(NOT(OR(C375=1000,C375&gt;1000)),MID(TEXT((C375+1000)*1000,0),2,6),"keine Meter in Spalte km!!!"),IF(VALUE(I375)=1,CONCATENATE("_",VLOOKUP(IF(V375&gt;0,V375,J375),[1]Grundlage!$A$20:$B$181,2,0)),CONCATENATE("_",B375))))</f>
        <v>UQ_A095_058500_S</v>
      </c>
      <c r="F375" s="2" t="s">
        <v>28</v>
      </c>
      <c r="G375" s="167">
        <f t="shared" si="71"/>
        <v>37181</v>
      </c>
      <c r="H375">
        <f t="shared" si="72"/>
        <v>4</v>
      </c>
      <c r="I375" s="2">
        <f t="shared" si="65"/>
        <v>3</v>
      </c>
      <c r="J375" s="2">
        <f t="shared" si="66"/>
        <v>15</v>
      </c>
      <c r="K375" s="2">
        <v>207</v>
      </c>
      <c r="L375" s="2">
        <f t="shared" si="67"/>
        <v>4</v>
      </c>
      <c r="M375" s="2">
        <f t="shared" si="68"/>
        <v>1</v>
      </c>
      <c r="N375" s="2">
        <f t="shared" si="69"/>
        <v>6</v>
      </c>
      <c r="P375" s="168">
        <f t="shared" si="70"/>
        <v>65</v>
      </c>
      <c r="AT375" s="19">
        <v>3</v>
      </c>
      <c r="AU375" s="14">
        <v>15</v>
      </c>
      <c r="AV375" s="14" t="s">
        <v>82</v>
      </c>
      <c r="AW375" s="13"/>
      <c r="AX375" s="13"/>
      <c r="AY375" s="19">
        <v>1</v>
      </c>
      <c r="AZ375" s="14">
        <v>6</v>
      </c>
      <c r="BA375" s="14">
        <v>6</v>
      </c>
      <c r="BB375" s="13" t="s">
        <v>28</v>
      </c>
      <c r="BF375" s="13" t="s">
        <v>542</v>
      </c>
    </row>
    <row r="376" spans="1:58" ht="14.25" x14ac:dyDescent="0.2">
      <c r="A376" t="str">
        <f t="shared" si="62"/>
        <v>A95</v>
      </c>
      <c r="B376" s="2" t="s">
        <v>655</v>
      </c>
      <c r="C376">
        <f t="shared" si="63"/>
        <v>58.5</v>
      </c>
      <c r="D376" t="str">
        <f t="shared" si="64"/>
        <v>UFD</v>
      </c>
      <c r="E376" s="169" t="str">
        <f>IF(OR(A376="",B376="",C376=""),"eine der Spalten BAB, FR, km leer?",CONCATENATE(VLOOKUP(VALUE(I376),[1]Grundlage!$A$1:$B$14,2,0),IF(LEFT(A376,1)="A",IF(VALUE(MID(A376,2,10))&lt;10,"A00"&amp;VALUE(MID(A376,2,10)),IF(VALUE(MID(A376,2,10))&lt;100,"A0"&amp;VALUE(MID(A376,2,10)),IF(VALUE(MID(A376,2,10))&lt;1000,"A"&amp;VALUE(MID(A376,2,10))))),IF(LEFT(A376,1)="B",IF(VALUE(MID(A376,2,10))&lt;10,"B00"&amp;VALUE(MID(A376,2,10)),IF(VALUE(MID(A376,2,10))&lt;100,"B0"&amp;VALUE(MID(A376,2,10)),IF(VALUE(MID(A376,2,10))&lt;1000,"B"&amp;VALUE(MID(A376,2,10))))),A376)),"_",IF(NOT(OR(C376=1000,C376&gt;1000)),MID(TEXT((C376+1000)*1000,0),2,6),"keine Meter in Spalte km!!!"),IF(VALUE(I376)=1,CONCATENATE("_",VLOOKUP(IF(V376&gt;0,V376,J376),[1]Grundlage!$A$20:$B$181,2,0)),CONCATENATE("_",B376))))</f>
        <v>UQ_A095_058500_S</v>
      </c>
      <c r="F376" s="2" t="s">
        <v>29</v>
      </c>
      <c r="G376" s="167">
        <f t="shared" si="71"/>
        <v>37181</v>
      </c>
      <c r="H376">
        <f t="shared" si="72"/>
        <v>4</v>
      </c>
      <c r="I376" s="2">
        <f t="shared" si="65"/>
        <v>3</v>
      </c>
      <c r="J376" s="2">
        <f t="shared" si="66"/>
        <v>19</v>
      </c>
      <c r="K376" s="2">
        <v>207</v>
      </c>
      <c r="L376" s="2">
        <f t="shared" si="67"/>
        <v>4</v>
      </c>
      <c r="M376" s="2">
        <f t="shared" si="68"/>
        <v>1</v>
      </c>
      <c r="N376" s="2">
        <f t="shared" si="69"/>
        <v>7</v>
      </c>
      <c r="P376" s="168">
        <f t="shared" si="70"/>
        <v>49</v>
      </c>
      <c r="AT376" s="19">
        <v>3</v>
      </c>
      <c r="AU376" s="14">
        <v>19</v>
      </c>
      <c r="AV376" s="14">
        <v>13</v>
      </c>
      <c r="AW376" s="13"/>
      <c r="AX376" s="13"/>
      <c r="AY376" s="19">
        <v>1</v>
      </c>
      <c r="AZ376" s="14">
        <v>7</v>
      </c>
      <c r="BA376" s="14">
        <v>7</v>
      </c>
      <c r="BB376" s="13" t="s">
        <v>29</v>
      </c>
      <c r="BF376" s="13" t="s">
        <v>543</v>
      </c>
    </row>
    <row r="377" spans="1:58" ht="14.25" x14ac:dyDescent="0.2">
      <c r="A377" t="str">
        <f t="shared" si="62"/>
        <v>A95</v>
      </c>
      <c r="B377" s="2" t="s">
        <v>655</v>
      </c>
      <c r="C377">
        <f t="shared" si="63"/>
        <v>58.5</v>
      </c>
      <c r="D377" t="str">
        <f t="shared" si="64"/>
        <v>UFD</v>
      </c>
      <c r="E377" s="169" t="str">
        <f>IF(OR(A377="",B377="",C377=""),"eine der Spalten BAB, FR, km leer?",CONCATENATE(VLOOKUP(VALUE(I377),[1]Grundlage!$A$1:$B$14,2,0),IF(LEFT(A377,1)="A",IF(VALUE(MID(A377,2,10))&lt;10,"A00"&amp;VALUE(MID(A377,2,10)),IF(VALUE(MID(A377,2,10))&lt;100,"A0"&amp;VALUE(MID(A377,2,10)),IF(VALUE(MID(A377,2,10))&lt;1000,"A"&amp;VALUE(MID(A377,2,10))))),IF(LEFT(A377,1)="B",IF(VALUE(MID(A377,2,10))&lt;10,"B00"&amp;VALUE(MID(A377,2,10)),IF(VALUE(MID(A377,2,10))&lt;100,"B0"&amp;VALUE(MID(A377,2,10)),IF(VALUE(MID(A377,2,10))&lt;1000,"B"&amp;VALUE(MID(A377,2,10))))),A377)),"_",IF(NOT(OR(C377=1000,C377&gt;1000)),MID(TEXT((C377+1000)*1000,0),2,6),"keine Meter in Spalte km!!!"),IF(VALUE(I377)=1,CONCATENATE("_",VLOOKUP(IF(V377&gt;0,V377,J377),[1]Grundlage!$A$20:$B$181,2,0)),CONCATENATE("_",B377))))</f>
        <v>UQ_A095_058500_S</v>
      </c>
      <c r="F377" s="2" t="s">
        <v>30</v>
      </c>
      <c r="G377" s="167">
        <f t="shared" si="71"/>
        <v>37181</v>
      </c>
      <c r="H377">
        <f t="shared" si="72"/>
        <v>4</v>
      </c>
      <c r="I377" s="2">
        <f t="shared" si="65"/>
        <v>3</v>
      </c>
      <c r="J377" s="2">
        <f t="shared" si="66"/>
        <v>21</v>
      </c>
      <c r="K377" s="2">
        <v>207</v>
      </c>
      <c r="L377" s="2">
        <f t="shared" si="67"/>
        <v>4</v>
      </c>
      <c r="M377" s="2">
        <f t="shared" si="68"/>
        <v>1</v>
      </c>
      <c r="N377" s="2">
        <f t="shared" si="69"/>
        <v>8</v>
      </c>
      <c r="P377" s="168">
        <f t="shared" si="70"/>
        <v>67</v>
      </c>
      <c r="AT377" s="19">
        <v>3</v>
      </c>
      <c r="AU377" s="14">
        <v>21</v>
      </c>
      <c r="AV377" s="14">
        <v>15</v>
      </c>
      <c r="AW377" s="13"/>
      <c r="AX377" s="13"/>
      <c r="AY377" s="19">
        <v>1</v>
      </c>
      <c r="AZ377" s="14">
        <v>8</v>
      </c>
      <c r="BA377" s="14">
        <v>8</v>
      </c>
      <c r="BB377" s="13" t="s">
        <v>30</v>
      </c>
      <c r="BF377" s="13" t="s">
        <v>544</v>
      </c>
    </row>
    <row r="378" spans="1:58" ht="14.25" x14ac:dyDescent="0.2">
      <c r="A378" t="str">
        <f t="shared" si="62"/>
        <v>A95</v>
      </c>
      <c r="B378" s="2" t="s">
        <v>655</v>
      </c>
      <c r="C378">
        <f t="shared" si="63"/>
        <v>58.5</v>
      </c>
      <c r="D378" t="str">
        <f t="shared" si="64"/>
        <v>UFD</v>
      </c>
      <c r="E378" s="169" t="str">
        <f>IF(OR(A378="",B378="",C378=""),"eine der Spalten BAB, FR, km leer?",CONCATENATE(VLOOKUP(VALUE(I378),[1]Grundlage!$A$1:$B$14,2,0),IF(LEFT(A378,1)="A",IF(VALUE(MID(A378,2,10))&lt;10,"A00"&amp;VALUE(MID(A378,2,10)),IF(VALUE(MID(A378,2,10))&lt;100,"A0"&amp;VALUE(MID(A378,2,10)),IF(VALUE(MID(A378,2,10))&lt;1000,"A"&amp;VALUE(MID(A378,2,10))))),IF(LEFT(A378,1)="B",IF(VALUE(MID(A378,2,10))&lt;10,"B00"&amp;VALUE(MID(A378,2,10)),IF(VALUE(MID(A378,2,10))&lt;100,"B0"&amp;VALUE(MID(A378,2,10)),IF(VALUE(MID(A378,2,10))&lt;1000,"B"&amp;VALUE(MID(A378,2,10))))),A378)),"_",IF(NOT(OR(C378=1000,C378&gt;1000)),MID(TEXT((C378+1000)*1000,0),2,6),"keine Meter in Spalte km!!!"),IF(VALUE(I378)=1,CONCATENATE("_",VLOOKUP(IF(V378&gt;0,V378,J378),[1]Grundlage!$A$20:$B$181,2,0)),CONCATENATE("_",B378))))</f>
        <v>UQ_A095_058500_S</v>
      </c>
      <c r="F378" s="2" t="s">
        <v>42</v>
      </c>
      <c r="G378" s="167">
        <f t="shared" si="71"/>
        <v>37181</v>
      </c>
      <c r="H378">
        <f t="shared" si="72"/>
        <v>4</v>
      </c>
      <c r="I378" s="2">
        <f t="shared" si="65"/>
        <v>3</v>
      </c>
      <c r="J378" s="2">
        <f t="shared" si="66"/>
        <v>25</v>
      </c>
      <c r="K378" s="2">
        <v>207</v>
      </c>
      <c r="L378" s="2">
        <f t="shared" si="67"/>
        <v>4</v>
      </c>
      <c r="M378" s="2">
        <f t="shared" si="68"/>
        <v>1</v>
      </c>
      <c r="N378" s="2">
        <f t="shared" si="69"/>
        <v>9</v>
      </c>
      <c r="P378" s="168">
        <f>IF(AT378&lt;&gt;3,"",IF(BB378="Helligkeitssensor",61,IF(BB378="Helligkeit",61,IF(BB379="Lichtsensor",61,IF(BB378="Lufttemperatur",48,IF(BB378="Niederschlagsart",71,IF(BB378="Niederschlagsintensität",53,IF(BB378="relative Luftfeuchte RLF",55,IF(BB378="Sichtweite",60,IF(BB378="Sichtweite 1",60,IF(BB378="Zustand der Fahrbahnoberfläche FBZ",79,IF(BB378="Wasserfilmdicke WFD",72,IF(BB378="Clusterkanal FG3","",IF(BB378="Gefriertemperatur GT",65,IF(BB378="Fahrbahnoberflächentemperatur FBT",49,IF(BB378="Windrichtung  Typ 56 ",56,VALUE(RIGHT(BB378,2))))))))))))))))))</f>
        <v>56</v>
      </c>
      <c r="AT378" s="19">
        <v>3</v>
      </c>
      <c r="AU378" s="14">
        <v>25</v>
      </c>
      <c r="AV378" s="14">
        <v>19</v>
      </c>
      <c r="AW378" s="13"/>
      <c r="AX378" s="13"/>
      <c r="AY378" s="19">
        <v>1</v>
      </c>
      <c r="AZ378" s="14">
        <v>9</v>
      </c>
      <c r="BA378" s="14">
        <v>9</v>
      </c>
      <c r="BB378" s="13" t="s">
        <v>42</v>
      </c>
      <c r="BF378" s="13" t="s">
        <v>515</v>
      </c>
    </row>
    <row r="379" spans="1:58" ht="14.25" x14ac:dyDescent="0.2">
      <c r="A379" t="str">
        <f t="shared" si="62"/>
        <v>A95</v>
      </c>
      <c r="B379" s="2" t="s">
        <v>655</v>
      </c>
      <c r="C379">
        <f t="shared" si="63"/>
        <v>58.5</v>
      </c>
      <c r="D379" t="str">
        <f t="shared" si="64"/>
        <v>UFD</v>
      </c>
      <c r="E379" s="169" t="str">
        <f>IF(OR(A379="",B379="",C379=""),"eine der Spalten BAB, FR, km leer?",CONCATENATE(VLOOKUP(VALUE(I379),[1]Grundlage!$A$1:$B$14,2,0),IF(LEFT(A379,1)="A",IF(VALUE(MID(A379,2,10))&lt;10,"A00"&amp;VALUE(MID(A379,2,10)),IF(VALUE(MID(A379,2,10))&lt;100,"A0"&amp;VALUE(MID(A379,2,10)),IF(VALUE(MID(A379,2,10))&lt;1000,"A"&amp;VALUE(MID(A379,2,10))))),IF(LEFT(A379,1)="B",IF(VALUE(MID(A379,2,10))&lt;10,"B00"&amp;VALUE(MID(A379,2,10)),IF(VALUE(MID(A379,2,10))&lt;100,"B0"&amp;VALUE(MID(A379,2,10)),IF(VALUE(MID(A379,2,10))&lt;1000,"B"&amp;VALUE(MID(A379,2,10))))),A379)),"_",IF(NOT(OR(C379=1000,C379&gt;1000)),MID(TEXT((C379+1000)*1000,0),2,6),"keine Meter in Spalte km!!!"),IF(VALUE(I379)=1,CONCATENATE("_",VLOOKUP(IF(V379&gt;0,V379,J379),[1]Grundlage!$A$20:$B$181,2,0)),CONCATENATE("_",B379))))</f>
        <v>UQ_A095_058500_S</v>
      </c>
      <c r="F379" s="2" t="s">
        <v>43</v>
      </c>
      <c r="G379" s="167">
        <f t="shared" si="71"/>
        <v>37181</v>
      </c>
      <c r="H379">
        <f t="shared" si="72"/>
        <v>4</v>
      </c>
      <c r="I379" s="2">
        <f t="shared" si="65"/>
        <v>3</v>
      </c>
      <c r="J379" s="2">
        <f t="shared" si="66"/>
        <v>26</v>
      </c>
      <c r="K379" s="2">
        <v>207</v>
      </c>
      <c r="L379" s="2">
        <f t="shared" si="67"/>
        <v>4</v>
      </c>
      <c r="M379" s="2">
        <f t="shared" si="68"/>
        <v>1</v>
      </c>
      <c r="N379" s="2">
        <f t="shared" si="69"/>
        <v>10</v>
      </c>
      <c r="P379" s="168">
        <f t="shared" si="70"/>
        <v>57</v>
      </c>
      <c r="AT379" s="19">
        <v>3</v>
      </c>
      <c r="AU379" s="14">
        <v>26</v>
      </c>
      <c r="AV379" s="14" t="s">
        <v>86</v>
      </c>
      <c r="AW379" s="13"/>
      <c r="AX379" s="13"/>
      <c r="AY379" s="19">
        <v>1</v>
      </c>
      <c r="AZ379" s="14">
        <v>10</v>
      </c>
      <c r="BA379" s="34" t="s">
        <v>95</v>
      </c>
      <c r="BB379" s="13" t="s">
        <v>43</v>
      </c>
      <c r="BF379" s="13" t="s">
        <v>446</v>
      </c>
    </row>
    <row r="380" spans="1:58" ht="14.25" x14ac:dyDescent="0.2">
      <c r="A380" t="str">
        <f t="shared" si="62"/>
        <v>A95</v>
      </c>
      <c r="B380" s="2" t="s">
        <v>655</v>
      </c>
      <c r="C380">
        <f t="shared" si="63"/>
        <v>58.5</v>
      </c>
      <c r="D380" t="str">
        <f t="shared" si="64"/>
        <v>UFD</v>
      </c>
      <c r="E380" s="169" t="str">
        <f>IF(OR(A380="",B380="",C380=""),"eine der Spalten BAB, FR, km leer?",CONCATENATE(VLOOKUP(VALUE(I380),[1]Grundlage!$A$1:$B$14,2,0),IF(LEFT(A380,1)="A",IF(VALUE(MID(A380,2,10))&lt;10,"A00"&amp;VALUE(MID(A380,2,10)),IF(VALUE(MID(A380,2,10))&lt;100,"A0"&amp;VALUE(MID(A380,2,10)),IF(VALUE(MID(A380,2,10))&lt;1000,"A"&amp;VALUE(MID(A380,2,10))))),IF(LEFT(A380,1)="B",IF(VALUE(MID(A380,2,10))&lt;10,"B00"&amp;VALUE(MID(A380,2,10)),IF(VALUE(MID(A380,2,10))&lt;100,"B0"&amp;VALUE(MID(A380,2,10)),IF(VALUE(MID(A380,2,10))&lt;1000,"B"&amp;VALUE(MID(A380,2,10))))),A380)),"_",IF(NOT(OR(C380=1000,C380&gt;1000)),MID(TEXT((C380+1000)*1000,0),2,6),"keine Meter in Spalte km!!!"),IF(VALUE(I380)=1,CONCATENATE("_",VLOOKUP(IF(V380&gt;0,V380,J380),[1]Grundlage!$A$20:$B$181,2,0)),CONCATENATE("_",B380))))</f>
        <v>UQ_A095_058500_S</v>
      </c>
      <c r="F380" s="2" t="s">
        <v>271</v>
      </c>
      <c r="G380" s="167">
        <f t="shared" si="71"/>
        <v>37181</v>
      </c>
      <c r="H380">
        <f t="shared" si="72"/>
        <v>4</v>
      </c>
      <c r="I380" s="2">
        <f t="shared" si="65"/>
        <v>3</v>
      </c>
      <c r="J380" s="2">
        <f t="shared" si="66"/>
        <v>67</v>
      </c>
      <c r="K380" s="2">
        <v>207</v>
      </c>
      <c r="L380" s="2">
        <f t="shared" si="67"/>
        <v>4</v>
      </c>
      <c r="M380" s="2">
        <f t="shared" si="68"/>
        <v>1</v>
      </c>
      <c r="N380" s="2">
        <f t="shared" si="69"/>
        <v>11</v>
      </c>
      <c r="P380" s="168">
        <f t="shared" si="70"/>
        <v>53</v>
      </c>
      <c r="AT380" s="19">
        <v>3</v>
      </c>
      <c r="AU380" s="14">
        <v>67</v>
      </c>
      <c r="AV380" s="14">
        <v>43</v>
      </c>
      <c r="AW380" s="13"/>
      <c r="AX380" s="13"/>
      <c r="AY380" s="19">
        <v>1</v>
      </c>
      <c r="AZ380" s="14">
        <v>11</v>
      </c>
      <c r="BA380" s="34" t="s">
        <v>78</v>
      </c>
      <c r="BB380" s="13" t="s">
        <v>271</v>
      </c>
      <c r="BF380" s="13" t="s">
        <v>444</v>
      </c>
    </row>
    <row r="381" spans="1:58" ht="14.25" x14ac:dyDescent="0.2">
      <c r="A381" t="str">
        <f t="shared" si="62"/>
        <v>A95</v>
      </c>
      <c r="B381" s="2" t="s">
        <v>655</v>
      </c>
      <c r="C381">
        <f t="shared" si="63"/>
        <v>58.5</v>
      </c>
      <c r="D381" t="str">
        <f t="shared" si="64"/>
        <v>UFD</v>
      </c>
      <c r="E381" s="169" t="str">
        <f>IF(OR(A381="",B381="",C381=""),"eine der Spalten BAB, FR, km leer?",CONCATENATE(VLOOKUP(VALUE(I381),[1]Grundlage!$A$1:$B$14,2,0),IF(LEFT(A381,1)="A",IF(VALUE(MID(A381,2,10))&lt;10,"A00"&amp;VALUE(MID(A381,2,10)),IF(VALUE(MID(A381,2,10))&lt;100,"A0"&amp;VALUE(MID(A381,2,10)),IF(VALUE(MID(A381,2,10))&lt;1000,"A"&amp;VALUE(MID(A381,2,10))))),IF(LEFT(A381,1)="B",IF(VALUE(MID(A381,2,10))&lt;10,"B00"&amp;VALUE(MID(A381,2,10)),IF(VALUE(MID(A381,2,10))&lt;100,"B0"&amp;VALUE(MID(A381,2,10)),IF(VALUE(MID(A381,2,10))&lt;1000,"B"&amp;VALUE(MID(A381,2,10))))),A381)),"_",IF(NOT(OR(C381=1000,C381&gt;1000)),MID(TEXT((C381+1000)*1000,0),2,6),"keine Meter in Spalte km!!!"),IF(VALUE(I381)=1,CONCATENATE("_",VLOOKUP(IF(V381&gt;0,V381,J381),[1]Grundlage!$A$20:$B$181,2,0)),CONCATENATE("_",B381))))</f>
        <v>UQ_A095_058500_S</v>
      </c>
      <c r="F381" s="2" t="s">
        <v>272</v>
      </c>
      <c r="G381" s="167">
        <f t="shared" si="71"/>
        <v>37181</v>
      </c>
      <c r="H381">
        <f t="shared" si="72"/>
        <v>4</v>
      </c>
      <c r="I381" s="2">
        <f t="shared" si="65"/>
        <v>3</v>
      </c>
      <c r="J381" s="2">
        <f t="shared" si="66"/>
        <v>82</v>
      </c>
      <c r="K381" s="2">
        <v>207</v>
      </c>
      <c r="L381" s="2">
        <f t="shared" si="67"/>
        <v>4</v>
      </c>
      <c r="M381" s="2">
        <f t="shared" si="68"/>
        <v>1</v>
      </c>
      <c r="N381" s="2">
        <f t="shared" si="69"/>
        <v>12</v>
      </c>
      <c r="P381" s="168">
        <f t="shared" si="70"/>
        <v>72</v>
      </c>
      <c r="AT381" s="19">
        <v>3</v>
      </c>
      <c r="AU381" s="14">
        <v>82</v>
      </c>
      <c r="AV381" s="14">
        <v>52</v>
      </c>
      <c r="AW381" s="13"/>
      <c r="AX381" s="13"/>
      <c r="AY381" s="19">
        <v>1</v>
      </c>
      <c r="AZ381" s="14">
        <v>12</v>
      </c>
      <c r="BA381" s="34" t="s">
        <v>79</v>
      </c>
      <c r="BB381" s="13" t="s">
        <v>272</v>
      </c>
      <c r="BF381" s="13" t="s">
        <v>546</v>
      </c>
    </row>
    <row r="382" spans="1:58" ht="14.25" x14ac:dyDescent="0.2">
      <c r="A382" t="str">
        <f t="shared" si="62"/>
        <v>A95</v>
      </c>
      <c r="C382">
        <f t="shared" si="63"/>
        <v>58.5</v>
      </c>
      <c r="D382" t="str">
        <f t="shared" si="64"/>
        <v/>
      </c>
      <c r="E382" s="169" t="str">
        <f>IF(OR(A382="",B382="",C382=""),"",CONCATENATE(VLOOKUP(VALUE(I382),[1]Grundlage!$A$1:$B$14,2,0),IF(LEFT(A382,1)="A",IF(VALUE(MID(A382,2,10))&lt;10,"A00"&amp;VALUE(MID(A382,2,10)),IF(VALUE(MID(A382,2,10))&lt;100,"A0"&amp;VALUE(MID(A382,2,10)),IF(VALUE(MID(A382,2,10))&lt;1000,"A"&amp;VALUE(MID(A382,2,10))))),IF(LEFT(A382,1)="B",IF(VALUE(MID(A382,2,10))&lt;10,"B00"&amp;VALUE(MID(A382,2,10)),IF(VALUE(MID(A382,2,10))&lt;100,"B0"&amp;VALUE(MID(A382,2,10)),IF(VALUE(MID(A382,2,10))&lt;1000,"B"&amp;VALUE(MID(A382,2,10))))),A382)),"_",IF(NOT(OR(C382=1000,C382&gt;1000)),MID(TEXT((C382+1000)*1000,0),2,6),"keine Meter in Spalte km!!!"),IF(VALUE(I382)=1,CONCATENATE("_",VLOOKUP(IF(V382&gt;0,V382,J382),[1]Grundlage!$A$20:$B$181,2,0)),CONCATENATE("_",B382))))</f>
        <v/>
      </c>
      <c r="F382" s="2" t="s">
        <v>669</v>
      </c>
      <c r="G382" s="167">
        <f t="shared" si="71"/>
        <v>37181</v>
      </c>
      <c r="H382">
        <f t="shared" si="72"/>
        <v>4</v>
      </c>
      <c r="I382" s="2">
        <f t="shared" si="65"/>
        <v>0</v>
      </c>
      <c r="J382" s="2">
        <f t="shared" si="66"/>
        <v>0</v>
      </c>
      <c r="K382" s="2">
        <v>207</v>
      </c>
      <c r="L382" s="2">
        <f t="shared" si="67"/>
        <v>4</v>
      </c>
      <c r="M382" s="2" t="str">
        <f t="shared" si="68"/>
        <v/>
      </c>
      <c r="N382" s="2" t="str">
        <f t="shared" si="69"/>
        <v/>
      </c>
      <c r="P382" s="168" t="str">
        <f t="shared" si="70"/>
        <v/>
      </c>
    </row>
    <row r="383" spans="1:58" ht="14.25" x14ac:dyDescent="0.2">
      <c r="A383" t="str">
        <f t="shared" si="62"/>
        <v>A96</v>
      </c>
      <c r="B383" s="2" t="s">
        <v>657</v>
      </c>
      <c r="C383">
        <f t="shared" si="63"/>
        <v>121.3</v>
      </c>
      <c r="D383" t="str">
        <f t="shared" si="64"/>
        <v>SS</v>
      </c>
      <c r="E383" s="169" t="str">
        <f>IF(OR(A383="",B383="",C383=""),"eine der Spalten BAB, FR, km leer?",CONCATENATE(VLOOKUP(VALUE(I383),[1]Grundlage!$A$1:$B$14,2,0),IF(LEFT(A383,1)="A",IF(VALUE(MID(A383,2,10))&lt;10,"A00"&amp;VALUE(MID(A383,2,10)),IF(VALUE(MID(A383,2,10))&lt;100,"A0"&amp;VALUE(MID(A383,2,10)),IF(VALUE(MID(A383,2,10))&lt;1000,"A"&amp;VALUE(MID(A383,2,10))))),IF(LEFT(A383,1)="B",IF(VALUE(MID(A383,2,10))&lt;10,"B00"&amp;VALUE(MID(A383,2,10)),IF(VALUE(MID(A383,2,10))&lt;100,"B0"&amp;VALUE(MID(A383,2,10)),IF(VALUE(MID(A383,2,10))&lt;1000,"B"&amp;VALUE(MID(A383,2,10))))),A383)),"_",IF(NOT(OR(C383=1000,C383&gt;1000)),MID(TEXT((C383+1000)*1000,0),2,6),"keine Meter in Spalte km!!!"),IF(VALUE(I383)=1,CONCATENATE("_",VLOOKUP(IF(V383&gt;0,V383,J383),[1]Grundlage!$A$20:$B$181,2,0)),CONCATENATE("_",B383))))</f>
        <v>SSt_A096_121300_W</v>
      </c>
      <c r="F383" s="2" t="s">
        <v>102</v>
      </c>
      <c r="G383" s="167">
        <f t="shared" si="71"/>
        <v>37570</v>
      </c>
      <c r="H383">
        <f t="shared" si="72"/>
        <v>21</v>
      </c>
      <c r="I383" s="2">
        <f t="shared" si="65"/>
        <v>254</v>
      </c>
      <c r="J383" s="2">
        <f t="shared" si="66"/>
        <v>0</v>
      </c>
      <c r="K383" s="2">
        <v>207</v>
      </c>
      <c r="L383" s="2">
        <f t="shared" si="67"/>
        <v>5</v>
      </c>
      <c r="M383" s="2" t="str">
        <f t="shared" si="68"/>
        <v/>
      </c>
      <c r="N383" s="2" t="str">
        <f t="shared" si="69"/>
        <v/>
      </c>
      <c r="P383" s="168" t="str">
        <f t="shared" si="70"/>
        <v/>
      </c>
      <c r="AI383" s="35">
        <v>121.3</v>
      </c>
      <c r="AJ383" s="36" t="s">
        <v>19</v>
      </c>
      <c r="AK383" s="36" t="s">
        <v>51</v>
      </c>
      <c r="AL383" s="36"/>
      <c r="AM383" s="36"/>
      <c r="AN383" s="36"/>
      <c r="AO383" s="36"/>
      <c r="AP383" s="36">
        <v>9617941</v>
      </c>
      <c r="AQ383" s="36">
        <v>92</v>
      </c>
      <c r="AR383" s="45" t="s">
        <v>236</v>
      </c>
      <c r="AS383" s="36">
        <v>15</v>
      </c>
      <c r="AT383" s="36"/>
      <c r="AU383" s="36"/>
      <c r="AV383" s="36"/>
      <c r="AW383" s="36"/>
      <c r="AX383" s="36">
        <v>5</v>
      </c>
      <c r="AY383" s="36"/>
      <c r="AZ383" s="36"/>
      <c r="BA383" s="36"/>
      <c r="BB383" s="37" t="s">
        <v>102</v>
      </c>
      <c r="BC383" s="38"/>
      <c r="BD383" s="99" t="s">
        <v>163</v>
      </c>
      <c r="BE383" s="39" t="s">
        <v>103</v>
      </c>
      <c r="BF383" s="2" t="s">
        <v>455</v>
      </c>
    </row>
    <row r="384" spans="1:58" ht="14.25" x14ac:dyDescent="0.2">
      <c r="A384" t="str">
        <f t="shared" si="62"/>
        <v>A96</v>
      </c>
      <c r="B384" s="2" t="s">
        <v>657</v>
      </c>
      <c r="C384">
        <f t="shared" si="63"/>
        <v>121.3</v>
      </c>
      <c r="D384" t="str">
        <f t="shared" si="64"/>
        <v>UFD</v>
      </c>
      <c r="E384" s="169" t="str">
        <f>IF(OR(A384="",B384="",C384=""),"eine der Spalten BAB, FR, km leer?",CONCATENATE(VLOOKUP(VALUE(I384),[1]Grundlage!$A$1:$B$14,2,0),IF(LEFT(A384,1)="A",IF(VALUE(MID(A384,2,10))&lt;10,"A00"&amp;VALUE(MID(A384,2,10)),IF(VALUE(MID(A384,2,10))&lt;100,"A0"&amp;VALUE(MID(A384,2,10)),IF(VALUE(MID(A384,2,10))&lt;1000,"A"&amp;VALUE(MID(A384,2,10))))),IF(LEFT(A384,1)="B",IF(VALUE(MID(A384,2,10))&lt;10,"B00"&amp;VALUE(MID(A384,2,10)),IF(VALUE(MID(A384,2,10))&lt;100,"B0"&amp;VALUE(MID(A384,2,10)),IF(VALUE(MID(A384,2,10))&lt;1000,"B"&amp;VALUE(MID(A384,2,10))))),A384)),"_",IF(NOT(OR(C384=1000,C384&gt;1000)),MID(TEXT((C384+1000)*1000,0),2,6),"keine Meter in Spalte km!!!"),IF(VALUE(I384)=1,CONCATENATE("_",VLOOKUP(IF(V384&gt;0,V384,J384),[1]Grundlage!$A$20:$B$181,2,0)),CONCATENATE("_",B384))))</f>
        <v>UQ_A096_121300_W</v>
      </c>
      <c r="F384" s="2" t="s">
        <v>269</v>
      </c>
      <c r="G384" s="167">
        <f t="shared" si="71"/>
        <v>37570</v>
      </c>
      <c r="H384">
        <f t="shared" si="72"/>
        <v>21</v>
      </c>
      <c r="I384" s="2">
        <f t="shared" si="65"/>
        <v>3</v>
      </c>
      <c r="J384" s="2">
        <f t="shared" si="66"/>
        <v>6</v>
      </c>
      <c r="K384" s="2">
        <v>207</v>
      </c>
      <c r="L384" s="2">
        <f t="shared" si="67"/>
        <v>5</v>
      </c>
      <c r="M384" s="2">
        <f t="shared" si="68"/>
        <v>1</v>
      </c>
      <c r="N384" s="2">
        <f t="shared" si="69"/>
        <v>1</v>
      </c>
      <c r="P384" s="168">
        <f t="shared" si="70"/>
        <v>71</v>
      </c>
      <c r="AT384" s="19">
        <v>3</v>
      </c>
      <c r="AU384" s="14">
        <v>6</v>
      </c>
      <c r="AV384" s="27">
        <v>6</v>
      </c>
      <c r="AW384" s="19"/>
      <c r="AX384" s="19"/>
      <c r="AY384" s="19">
        <v>1</v>
      </c>
      <c r="AZ384" s="14">
        <v>1</v>
      </c>
      <c r="BA384" s="100">
        <v>1</v>
      </c>
      <c r="BB384" s="13" t="s">
        <v>269</v>
      </c>
      <c r="BF384" s="2" t="s">
        <v>440</v>
      </c>
    </row>
    <row r="385" spans="1:66" ht="14.25" x14ac:dyDescent="0.2">
      <c r="A385" t="str">
        <f t="shared" si="62"/>
        <v>A96</v>
      </c>
      <c r="B385" s="2" t="s">
        <v>657</v>
      </c>
      <c r="C385">
        <f t="shared" si="63"/>
        <v>121.3</v>
      </c>
      <c r="D385" t="str">
        <f t="shared" si="64"/>
        <v>UFD</v>
      </c>
      <c r="E385" s="169" t="str">
        <f>IF(OR(A385="",B385="",C385=""),"eine der Spalten BAB, FR, km leer?",CONCATENATE(VLOOKUP(VALUE(I385),[1]Grundlage!$A$1:$B$14,2,0),IF(LEFT(A385,1)="A",IF(VALUE(MID(A385,2,10))&lt;10,"A00"&amp;VALUE(MID(A385,2,10)),IF(VALUE(MID(A385,2,10))&lt;100,"A0"&amp;VALUE(MID(A385,2,10)),IF(VALUE(MID(A385,2,10))&lt;1000,"A"&amp;VALUE(MID(A385,2,10))))),IF(LEFT(A385,1)="B",IF(VALUE(MID(A385,2,10))&lt;10,"B00"&amp;VALUE(MID(A385,2,10)),IF(VALUE(MID(A385,2,10))&lt;100,"B0"&amp;VALUE(MID(A385,2,10)),IF(VALUE(MID(A385,2,10))&lt;1000,"B"&amp;VALUE(MID(A385,2,10))))),A385)),"_",IF(NOT(OR(C385=1000,C385&gt;1000)),MID(TEXT((C385+1000)*1000,0),2,6),"keine Meter in Spalte km!!!"),IF(VALUE(I385)=1,CONCATENATE("_",VLOOKUP(IF(V385&gt;0,V385,J385),[1]Grundlage!$A$20:$B$181,2,0)),CONCATENATE("_",B385))))</f>
        <v>UQ_A096_121300_W</v>
      </c>
      <c r="F385" s="2" t="s">
        <v>270</v>
      </c>
      <c r="G385" s="167">
        <f t="shared" si="71"/>
        <v>37570</v>
      </c>
      <c r="H385">
        <f t="shared" si="72"/>
        <v>21</v>
      </c>
      <c r="I385" s="2">
        <f t="shared" si="65"/>
        <v>3</v>
      </c>
      <c r="J385" s="2">
        <f t="shared" si="66"/>
        <v>11</v>
      </c>
      <c r="K385" s="2">
        <v>207</v>
      </c>
      <c r="L385" s="2">
        <f t="shared" si="67"/>
        <v>5</v>
      </c>
      <c r="M385" s="2">
        <f t="shared" si="68"/>
        <v>1</v>
      </c>
      <c r="N385" s="2">
        <f t="shared" si="69"/>
        <v>2</v>
      </c>
      <c r="P385" s="168">
        <f t="shared" si="70"/>
        <v>70</v>
      </c>
      <c r="AT385" s="19">
        <v>3</v>
      </c>
      <c r="AU385" s="14">
        <v>11</v>
      </c>
      <c r="AV385" s="14" t="s">
        <v>78</v>
      </c>
      <c r="AW385" s="13"/>
      <c r="AX385" s="13"/>
      <c r="AY385" s="19">
        <f>AY384</f>
        <v>1</v>
      </c>
      <c r="AZ385" s="14">
        <f>AZ384+1</f>
        <v>2</v>
      </c>
      <c r="BA385" s="14">
        <f t="shared" ref="BA385:BA392" si="73">BA384+1</f>
        <v>2</v>
      </c>
      <c r="BB385" s="13" t="s">
        <v>270</v>
      </c>
      <c r="BF385" s="2" t="s">
        <v>520</v>
      </c>
    </row>
    <row r="386" spans="1:66" ht="14.25" x14ac:dyDescent="0.2">
      <c r="A386" t="str">
        <f t="shared" si="62"/>
        <v>A96</v>
      </c>
      <c r="B386" s="2" t="s">
        <v>657</v>
      </c>
      <c r="C386">
        <f t="shared" si="63"/>
        <v>121.3</v>
      </c>
      <c r="D386" t="str">
        <f t="shared" si="64"/>
        <v>UFD</v>
      </c>
      <c r="E386" s="169" t="str">
        <f>IF(OR(A386="",B386="",C386=""),"eine der Spalten BAB, FR, km leer?",CONCATENATE(VLOOKUP(VALUE(I386),[1]Grundlage!$A$1:$B$14,2,0),IF(LEFT(A386,1)="A",IF(VALUE(MID(A386,2,10))&lt;10,"A00"&amp;VALUE(MID(A386,2,10)),IF(VALUE(MID(A386,2,10))&lt;100,"A0"&amp;VALUE(MID(A386,2,10)),IF(VALUE(MID(A386,2,10))&lt;1000,"A"&amp;VALUE(MID(A386,2,10))))),IF(LEFT(A386,1)="B",IF(VALUE(MID(A386,2,10))&lt;10,"B00"&amp;VALUE(MID(A386,2,10)),IF(VALUE(MID(A386,2,10))&lt;100,"B0"&amp;VALUE(MID(A386,2,10)),IF(VALUE(MID(A386,2,10))&lt;1000,"B"&amp;VALUE(MID(A386,2,10))))),A386)),"_",IF(NOT(OR(C386=1000,C386&gt;1000)),MID(TEXT((C386+1000)*1000,0),2,6),"keine Meter in Spalte km!!!"),IF(VALUE(I386)=1,CONCATENATE("_",VLOOKUP(IF(V386&gt;0,V386,J386),[1]Grundlage!$A$20:$B$181,2,0)),CONCATENATE("_",B386))))</f>
        <v>UQ_A096_121300_W</v>
      </c>
      <c r="F386" s="2" t="s">
        <v>25</v>
      </c>
      <c r="G386" s="167">
        <f t="shared" si="71"/>
        <v>37570</v>
      </c>
      <c r="H386">
        <f t="shared" si="72"/>
        <v>21</v>
      </c>
      <c r="I386" s="2">
        <f t="shared" si="65"/>
        <v>3</v>
      </c>
      <c r="J386" s="2">
        <f t="shared" si="66"/>
        <v>12</v>
      </c>
      <c r="K386" s="2">
        <v>207</v>
      </c>
      <c r="L386" s="2">
        <f t="shared" si="67"/>
        <v>5</v>
      </c>
      <c r="M386" s="2">
        <f t="shared" si="68"/>
        <v>1</v>
      </c>
      <c r="N386" s="2">
        <f t="shared" si="69"/>
        <v>3</v>
      </c>
      <c r="P386" s="168">
        <f t="shared" si="70"/>
        <v>48</v>
      </c>
      <c r="AT386" s="19">
        <v>3</v>
      </c>
      <c r="AU386" s="14">
        <v>12</v>
      </c>
      <c r="AV386" s="14" t="s">
        <v>79</v>
      </c>
      <c r="AW386" s="13"/>
      <c r="AX386" s="13"/>
      <c r="AY386" s="19">
        <f t="shared" ref="AY386:AY395" si="74">AY385</f>
        <v>1</v>
      </c>
      <c r="AZ386" s="14">
        <f t="shared" ref="AZ386:AZ395" si="75">AZ385+1</f>
        <v>3</v>
      </c>
      <c r="BA386" s="14">
        <f t="shared" si="73"/>
        <v>3</v>
      </c>
      <c r="BB386" s="13" t="s">
        <v>25</v>
      </c>
      <c r="BF386" s="13" t="s">
        <v>441</v>
      </c>
    </row>
    <row r="387" spans="1:66" ht="14.25" x14ac:dyDescent="0.2">
      <c r="A387" t="str">
        <f t="shared" si="62"/>
        <v>A96</v>
      </c>
      <c r="B387" s="2" t="s">
        <v>657</v>
      </c>
      <c r="C387">
        <f t="shared" si="63"/>
        <v>121.3</v>
      </c>
      <c r="D387" t="str">
        <f t="shared" si="64"/>
        <v>UFD</v>
      </c>
      <c r="E387" s="169" t="str">
        <f>IF(OR(A387="",B387="",C387=""),"eine der Spalten BAB, FR, km leer?",CONCATENATE(VLOOKUP(VALUE(I387),[1]Grundlage!$A$1:$B$14,2,0),IF(LEFT(A387,1)="A",IF(VALUE(MID(A387,2,10))&lt;10,"A00"&amp;VALUE(MID(A387,2,10)),IF(VALUE(MID(A387,2,10))&lt;100,"A0"&amp;VALUE(MID(A387,2,10)),IF(VALUE(MID(A387,2,10))&lt;1000,"A"&amp;VALUE(MID(A387,2,10))))),IF(LEFT(A387,1)="B",IF(VALUE(MID(A387,2,10))&lt;10,"B00"&amp;VALUE(MID(A387,2,10)),IF(VALUE(MID(A387,2,10))&lt;100,"B0"&amp;VALUE(MID(A387,2,10)),IF(VALUE(MID(A387,2,10))&lt;1000,"B"&amp;VALUE(MID(A387,2,10))))),A387)),"_",IF(NOT(OR(C387=1000,C387&gt;1000)),MID(TEXT((C387+1000)*1000,0),2,6),"keine Meter in Spalte km!!!"),IF(VALUE(I387)=1,CONCATENATE("_",VLOOKUP(IF(V387&gt;0,V387,J387),[1]Grundlage!$A$20:$B$181,2,0)),CONCATENATE("_",B387))))</f>
        <v>UQ_A096_121300_W</v>
      </c>
      <c r="F387" s="2" t="s">
        <v>26</v>
      </c>
      <c r="G387" s="167">
        <f t="shared" si="71"/>
        <v>37570</v>
      </c>
      <c r="H387">
        <f t="shared" si="72"/>
        <v>21</v>
      </c>
      <c r="I387" s="2">
        <f t="shared" si="65"/>
        <v>3</v>
      </c>
      <c r="J387" s="2">
        <f t="shared" si="66"/>
        <v>13</v>
      </c>
      <c r="K387" s="2">
        <v>207</v>
      </c>
      <c r="L387" s="2">
        <f t="shared" si="67"/>
        <v>5</v>
      </c>
      <c r="M387" s="2">
        <f t="shared" si="68"/>
        <v>1</v>
      </c>
      <c r="N387" s="2">
        <f t="shared" si="69"/>
        <v>4</v>
      </c>
      <c r="P387" s="168">
        <f t="shared" si="70"/>
        <v>55</v>
      </c>
      <c r="AT387" s="19">
        <v>3</v>
      </c>
      <c r="AU387" s="14">
        <v>13</v>
      </c>
      <c r="AV387" s="14" t="s">
        <v>80</v>
      </c>
      <c r="AW387" s="13"/>
      <c r="AX387" s="13"/>
      <c r="AY387" s="19">
        <f t="shared" si="74"/>
        <v>1</v>
      </c>
      <c r="AZ387" s="14">
        <f t="shared" si="75"/>
        <v>4</v>
      </c>
      <c r="BA387" s="14">
        <f t="shared" si="73"/>
        <v>4</v>
      </c>
      <c r="BB387" s="13" t="s">
        <v>26</v>
      </c>
      <c r="BF387" s="13" t="s">
        <v>442</v>
      </c>
    </row>
    <row r="388" spans="1:66" ht="14.25" x14ac:dyDescent="0.2">
      <c r="A388" t="str">
        <f t="shared" si="62"/>
        <v>A96</v>
      </c>
      <c r="B388" s="2" t="s">
        <v>657</v>
      </c>
      <c r="C388">
        <f t="shared" si="63"/>
        <v>121.3</v>
      </c>
      <c r="D388" t="str">
        <f t="shared" si="64"/>
        <v>UFD</v>
      </c>
      <c r="E388" s="169" t="str">
        <f>IF(OR(A388="",B388="",C388=""),"eine der Spalten BAB, FR, km leer?",CONCATENATE(VLOOKUP(VALUE(I388),[1]Grundlage!$A$1:$B$14,2,0),IF(LEFT(A388,1)="A",IF(VALUE(MID(A388,2,10))&lt;10,"A00"&amp;VALUE(MID(A388,2,10)),IF(VALUE(MID(A388,2,10))&lt;100,"A0"&amp;VALUE(MID(A388,2,10)),IF(VALUE(MID(A388,2,10))&lt;1000,"A"&amp;VALUE(MID(A388,2,10))))),IF(LEFT(A388,1)="B",IF(VALUE(MID(A388,2,10))&lt;10,"B00"&amp;VALUE(MID(A388,2,10)),IF(VALUE(MID(A388,2,10))&lt;100,"B0"&amp;VALUE(MID(A388,2,10)),IF(VALUE(MID(A388,2,10))&lt;1000,"B"&amp;VALUE(MID(A388,2,10))))),A388)),"_",IF(NOT(OR(C388=1000,C388&gt;1000)),MID(TEXT((C388+1000)*1000,0),2,6),"keine Meter in Spalte km!!!"),IF(VALUE(I388)=1,CONCATENATE("_",VLOOKUP(IF(V388&gt;0,V388,J388),[1]Grundlage!$A$20:$B$181,2,0)),CONCATENATE("_",B388))))</f>
        <v>UQ_A096_121300_W</v>
      </c>
      <c r="F388" s="2" t="s">
        <v>27</v>
      </c>
      <c r="G388" s="167">
        <f t="shared" si="71"/>
        <v>37570</v>
      </c>
      <c r="H388">
        <f t="shared" si="72"/>
        <v>21</v>
      </c>
      <c r="I388" s="2">
        <f t="shared" si="65"/>
        <v>3</v>
      </c>
      <c r="J388" s="2">
        <f t="shared" si="66"/>
        <v>14</v>
      </c>
      <c r="K388" s="2">
        <v>207</v>
      </c>
      <c r="L388" s="2">
        <f t="shared" si="67"/>
        <v>5</v>
      </c>
      <c r="M388" s="2">
        <f t="shared" si="68"/>
        <v>1</v>
      </c>
      <c r="N388" s="2">
        <f t="shared" si="69"/>
        <v>5</v>
      </c>
      <c r="P388" s="168">
        <f t="shared" si="70"/>
        <v>66</v>
      </c>
      <c r="AT388" s="19">
        <v>3</v>
      </c>
      <c r="AU388" s="14">
        <v>14</v>
      </c>
      <c r="AV388" s="14" t="s">
        <v>81</v>
      </c>
      <c r="AW388" s="13"/>
      <c r="AX388" s="13"/>
      <c r="AY388" s="19">
        <f t="shared" si="74"/>
        <v>1</v>
      </c>
      <c r="AZ388" s="14">
        <f t="shared" si="75"/>
        <v>5</v>
      </c>
      <c r="BA388" s="14">
        <f t="shared" si="73"/>
        <v>5</v>
      </c>
      <c r="BB388" s="13" t="s">
        <v>27</v>
      </c>
      <c r="BF388" s="13" t="s">
        <v>443</v>
      </c>
    </row>
    <row r="389" spans="1:66" ht="14.25" x14ac:dyDescent="0.2">
      <c r="A389" t="str">
        <f t="shared" si="62"/>
        <v>A96</v>
      </c>
      <c r="B389" s="2" t="s">
        <v>657</v>
      </c>
      <c r="C389">
        <f t="shared" si="63"/>
        <v>121.3</v>
      </c>
      <c r="D389" t="str">
        <f t="shared" si="64"/>
        <v>UFD</v>
      </c>
      <c r="E389" s="169" t="str">
        <f>IF(OR(A389="",B389="",C389=""),"eine der Spalten BAB, FR, km leer?",CONCATENATE(VLOOKUP(VALUE(I389),[1]Grundlage!$A$1:$B$14,2,0),IF(LEFT(A389,1)="A",IF(VALUE(MID(A389,2,10))&lt;10,"A00"&amp;VALUE(MID(A389,2,10)),IF(VALUE(MID(A389,2,10))&lt;100,"A0"&amp;VALUE(MID(A389,2,10)),IF(VALUE(MID(A389,2,10))&lt;1000,"A"&amp;VALUE(MID(A389,2,10))))),IF(LEFT(A389,1)="B",IF(VALUE(MID(A389,2,10))&lt;10,"B00"&amp;VALUE(MID(A389,2,10)),IF(VALUE(MID(A389,2,10))&lt;100,"B0"&amp;VALUE(MID(A389,2,10)),IF(VALUE(MID(A389,2,10))&lt;1000,"B"&amp;VALUE(MID(A389,2,10))))),A389)),"_",IF(NOT(OR(C389=1000,C389&gt;1000)),MID(TEXT((C389+1000)*1000,0),2,6),"keine Meter in Spalte km!!!"),IF(VALUE(I389)=1,CONCATENATE("_",VLOOKUP(IF(V389&gt;0,V389,J389),[1]Grundlage!$A$20:$B$181,2,0)),CONCATENATE("_",B389))))</f>
        <v>UQ_A096_121300_W</v>
      </c>
      <c r="F389" s="2" t="s">
        <v>28</v>
      </c>
      <c r="G389" s="167">
        <f t="shared" si="71"/>
        <v>37570</v>
      </c>
      <c r="H389">
        <f t="shared" si="72"/>
        <v>21</v>
      </c>
      <c r="I389" s="2">
        <f t="shared" si="65"/>
        <v>3</v>
      </c>
      <c r="J389" s="2">
        <f t="shared" si="66"/>
        <v>15</v>
      </c>
      <c r="K389" s="2">
        <v>207</v>
      </c>
      <c r="L389" s="2">
        <f t="shared" si="67"/>
        <v>5</v>
      </c>
      <c r="M389" s="2">
        <f t="shared" si="68"/>
        <v>1</v>
      </c>
      <c r="N389" s="2">
        <f t="shared" si="69"/>
        <v>6</v>
      </c>
      <c r="P389" s="168">
        <f t="shared" si="70"/>
        <v>65</v>
      </c>
      <c r="AT389" s="19">
        <v>3</v>
      </c>
      <c r="AU389" s="14">
        <v>15</v>
      </c>
      <c r="AV389" s="14" t="s">
        <v>82</v>
      </c>
      <c r="AW389" s="13"/>
      <c r="AX389" s="13"/>
      <c r="AY389" s="19">
        <f t="shared" si="74"/>
        <v>1</v>
      </c>
      <c r="AZ389" s="14">
        <f t="shared" si="75"/>
        <v>6</v>
      </c>
      <c r="BA389" s="14">
        <f t="shared" si="73"/>
        <v>6</v>
      </c>
      <c r="BB389" s="13" t="s">
        <v>28</v>
      </c>
      <c r="BF389" s="13" t="s">
        <v>516</v>
      </c>
    </row>
    <row r="390" spans="1:66" ht="14.25" x14ac:dyDescent="0.2">
      <c r="A390" t="str">
        <f t="shared" si="62"/>
        <v>A96</v>
      </c>
      <c r="B390" s="2" t="s">
        <v>657</v>
      </c>
      <c r="C390">
        <f t="shared" si="63"/>
        <v>121.3</v>
      </c>
      <c r="D390" t="str">
        <f t="shared" si="64"/>
        <v>UFD</v>
      </c>
      <c r="E390" s="169" t="str">
        <f>IF(OR(A390="",B390="",C390=""),"eine der Spalten BAB, FR, km leer?",CONCATENATE(VLOOKUP(VALUE(I390),[1]Grundlage!$A$1:$B$14,2,0),IF(LEFT(A390,1)="A",IF(VALUE(MID(A390,2,10))&lt;10,"A00"&amp;VALUE(MID(A390,2,10)),IF(VALUE(MID(A390,2,10))&lt;100,"A0"&amp;VALUE(MID(A390,2,10)),IF(VALUE(MID(A390,2,10))&lt;1000,"A"&amp;VALUE(MID(A390,2,10))))),IF(LEFT(A390,1)="B",IF(VALUE(MID(A390,2,10))&lt;10,"B00"&amp;VALUE(MID(A390,2,10)),IF(VALUE(MID(A390,2,10))&lt;100,"B0"&amp;VALUE(MID(A390,2,10)),IF(VALUE(MID(A390,2,10))&lt;1000,"B"&amp;VALUE(MID(A390,2,10))))),A390)),"_",IF(NOT(OR(C390=1000,C390&gt;1000)),MID(TEXT((C390+1000)*1000,0),2,6),"keine Meter in Spalte km!!!"),IF(VALUE(I390)=1,CONCATENATE("_",VLOOKUP(IF(V390&gt;0,V390,J390),[1]Grundlage!$A$20:$B$181,2,0)),CONCATENATE("_",B390))))</f>
        <v>UQ_A096_121300_W</v>
      </c>
      <c r="F390" s="2" t="s">
        <v>29</v>
      </c>
      <c r="G390" s="167">
        <f t="shared" si="71"/>
        <v>37570</v>
      </c>
      <c r="H390">
        <f t="shared" si="72"/>
        <v>21</v>
      </c>
      <c r="I390" s="2">
        <f t="shared" si="65"/>
        <v>3</v>
      </c>
      <c r="J390" s="2">
        <f t="shared" si="66"/>
        <v>19</v>
      </c>
      <c r="K390" s="2">
        <v>207</v>
      </c>
      <c r="L390" s="2">
        <f t="shared" si="67"/>
        <v>5</v>
      </c>
      <c r="M390" s="2">
        <f t="shared" si="68"/>
        <v>1</v>
      </c>
      <c r="N390" s="2">
        <f t="shared" si="69"/>
        <v>7</v>
      </c>
      <c r="P390" s="168">
        <f t="shared" si="70"/>
        <v>49</v>
      </c>
      <c r="AT390" s="19">
        <v>3</v>
      </c>
      <c r="AU390" s="14">
        <v>19</v>
      </c>
      <c r="AV390" s="14">
        <v>13</v>
      </c>
      <c r="AW390" s="13"/>
      <c r="AX390" s="13"/>
      <c r="AY390" s="19">
        <f t="shared" si="74"/>
        <v>1</v>
      </c>
      <c r="AZ390" s="14">
        <f t="shared" si="75"/>
        <v>7</v>
      </c>
      <c r="BA390" s="14">
        <f t="shared" si="73"/>
        <v>7</v>
      </c>
      <c r="BB390" s="13" t="s">
        <v>29</v>
      </c>
      <c r="BF390" s="13" t="s">
        <v>517</v>
      </c>
    </row>
    <row r="391" spans="1:66" ht="14.25" x14ac:dyDescent="0.2">
      <c r="A391" t="str">
        <f t="shared" si="62"/>
        <v>A96</v>
      </c>
      <c r="B391" s="2" t="s">
        <v>657</v>
      </c>
      <c r="C391">
        <f t="shared" si="63"/>
        <v>121.3</v>
      </c>
      <c r="D391" t="str">
        <f t="shared" si="64"/>
        <v>UFD</v>
      </c>
      <c r="E391" s="169" t="str">
        <f>IF(OR(A391="",B391="",C391=""),"eine der Spalten BAB, FR, km leer?",CONCATENATE(VLOOKUP(VALUE(I391),[1]Grundlage!$A$1:$B$14,2,0),IF(LEFT(A391,1)="A",IF(VALUE(MID(A391,2,10))&lt;10,"A00"&amp;VALUE(MID(A391,2,10)),IF(VALUE(MID(A391,2,10))&lt;100,"A0"&amp;VALUE(MID(A391,2,10)),IF(VALUE(MID(A391,2,10))&lt;1000,"A"&amp;VALUE(MID(A391,2,10))))),IF(LEFT(A391,1)="B",IF(VALUE(MID(A391,2,10))&lt;10,"B00"&amp;VALUE(MID(A391,2,10)),IF(VALUE(MID(A391,2,10))&lt;100,"B0"&amp;VALUE(MID(A391,2,10)),IF(VALUE(MID(A391,2,10))&lt;1000,"B"&amp;VALUE(MID(A391,2,10))))),A391)),"_",IF(NOT(OR(C391=1000,C391&gt;1000)),MID(TEXT((C391+1000)*1000,0),2,6),"keine Meter in Spalte km!!!"),IF(VALUE(I391)=1,CONCATENATE("_",VLOOKUP(IF(V391&gt;0,V391,J391),[1]Grundlage!$A$20:$B$181,2,0)),CONCATENATE("_",B391))))</f>
        <v>UQ_A096_121300_W</v>
      </c>
      <c r="F391" s="2" t="s">
        <v>30</v>
      </c>
      <c r="G391" s="167">
        <f t="shared" si="71"/>
        <v>37570</v>
      </c>
      <c r="H391">
        <f t="shared" si="72"/>
        <v>21</v>
      </c>
      <c r="I391" s="2">
        <f t="shared" si="65"/>
        <v>3</v>
      </c>
      <c r="J391" s="2">
        <f t="shared" si="66"/>
        <v>21</v>
      </c>
      <c r="K391" s="2">
        <v>207</v>
      </c>
      <c r="L391" s="2">
        <f t="shared" si="67"/>
        <v>5</v>
      </c>
      <c r="M391" s="2">
        <f t="shared" si="68"/>
        <v>1</v>
      </c>
      <c r="N391" s="2">
        <f t="shared" si="69"/>
        <v>8</v>
      </c>
      <c r="P391" s="168">
        <f t="shared" si="70"/>
        <v>67</v>
      </c>
      <c r="AT391" s="19">
        <v>3</v>
      </c>
      <c r="AU391" s="14">
        <v>21</v>
      </c>
      <c r="AV391" s="14">
        <v>15</v>
      </c>
      <c r="AW391" s="13"/>
      <c r="AX391" s="13"/>
      <c r="AY391" s="19">
        <f t="shared" si="74"/>
        <v>1</v>
      </c>
      <c r="AZ391" s="14">
        <f t="shared" si="75"/>
        <v>8</v>
      </c>
      <c r="BA391" s="14">
        <f t="shared" si="73"/>
        <v>8</v>
      </c>
      <c r="BB391" s="13" t="s">
        <v>30</v>
      </c>
      <c r="BF391" s="13" t="s">
        <v>518</v>
      </c>
    </row>
    <row r="392" spans="1:66" s="29" customFormat="1" ht="14.25" x14ac:dyDescent="0.2">
      <c r="A392" t="str">
        <f t="shared" si="62"/>
        <v>A96</v>
      </c>
      <c r="B392" s="2" t="s">
        <v>657</v>
      </c>
      <c r="C392">
        <f t="shared" si="63"/>
        <v>121.3</v>
      </c>
      <c r="D392" t="str">
        <f t="shared" si="64"/>
        <v>UFD</v>
      </c>
      <c r="E392" s="169" t="str">
        <f>IF(OR(A392="",B392="",C392=""),"eine der Spalten BAB, FR, km leer?",CONCATENATE(VLOOKUP(VALUE(I392),[1]Grundlage!$A$1:$B$14,2,0),IF(LEFT(A392,1)="A",IF(VALUE(MID(A392,2,10))&lt;10,"A00"&amp;VALUE(MID(A392,2,10)),IF(VALUE(MID(A392,2,10))&lt;100,"A0"&amp;VALUE(MID(A392,2,10)),IF(VALUE(MID(A392,2,10))&lt;1000,"A"&amp;VALUE(MID(A392,2,10))))),IF(LEFT(A392,1)="B",IF(VALUE(MID(A392,2,10))&lt;10,"B00"&amp;VALUE(MID(A392,2,10)),IF(VALUE(MID(A392,2,10))&lt;100,"B0"&amp;VALUE(MID(A392,2,10)),IF(VALUE(MID(A392,2,10))&lt;1000,"B"&amp;VALUE(MID(A392,2,10))))),A392)),"_",IF(NOT(OR(C392=1000,C392&gt;1000)),MID(TEXT((C392+1000)*1000,0),2,6),"keine Meter in Spalte km!!!"),IF(VALUE(I392)=1,CONCATENATE("_",VLOOKUP(IF(V392&gt;0,V392,J392),[1]Grundlage!$A$20:$B$181,2,0)),CONCATENATE("_",B392))))</f>
        <v>UQ_A096_121300_W</v>
      </c>
      <c r="F392" s="2" t="s">
        <v>42</v>
      </c>
      <c r="G392" s="167">
        <f t="shared" si="71"/>
        <v>37570</v>
      </c>
      <c r="H392">
        <f t="shared" si="72"/>
        <v>21</v>
      </c>
      <c r="I392" s="2">
        <f t="shared" si="65"/>
        <v>3</v>
      </c>
      <c r="J392" s="2">
        <f t="shared" si="66"/>
        <v>25</v>
      </c>
      <c r="K392" s="2">
        <v>207</v>
      </c>
      <c r="L392" s="2">
        <f t="shared" si="67"/>
        <v>5</v>
      </c>
      <c r="M392" s="2">
        <f t="shared" si="68"/>
        <v>1</v>
      </c>
      <c r="N392" s="2">
        <f t="shared" si="69"/>
        <v>9</v>
      </c>
      <c r="O392" s="2"/>
      <c r="P392" s="168">
        <f>IF(AT392&lt;&gt;3,"",IF(BB392="Helligkeitssensor",61,IF(BB392="Helligkeit",61,IF(BB393="Lichtsensor",61,IF(BB392="Lufttemperatur",48,IF(BB392="Niederschlagsart",71,IF(BB392="Niederschlagsintensität",53,IF(BB392="relative Luftfeuchte RLF",55,IF(BB392="Sichtweite",60,IF(BB392="Sichtweite 1",60,IF(BB392="Zustand der Fahrbahnoberfläche FBZ",79,IF(BB392="Wasserfilmdicke WFD",72,IF(BB392="Clusterkanal FG3","",IF(BB392="Gefriertemperatur GT",65,IF(BB392="Fahrbahnoberflächentemperatur FBT",49,IF(BB392="Windrichtung  Typ 56 ",56,VALUE(RIGHT(BB392,2))))))))))))))))))</f>
        <v>56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8"/>
      <c r="AT392" s="91">
        <v>3</v>
      </c>
      <c r="AU392" s="34">
        <v>25</v>
      </c>
      <c r="AV392" s="34">
        <v>19</v>
      </c>
      <c r="AW392" s="101"/>
      <c r="AX392" s="101"/>
      <c r="AY392" s="19">
        <f t="shared" si="74"/>
        <v>1</v>
      </c>
      <c r="AZ392" s="14">
        <f t="shared" si="75"/>
        <v>9</v>
      </c>
      <c r="BA392" s="14">
        <f t="shared" si="73"/>
        <v>9</v>
      </c>
      <c r="BB392" s="101" t="s">
        <v>42</v>
      </c>
      <c r="BC392" s="30"/>
      <c r="BD392" s="30"/>
      <c r="BF392" s="13" t="s">
        <v>515</v>
      </c>
    </row>
    <row r="393" spans="1:66" s="29" customFormat="1" ht="14.25" x14ac:dyDescent="0.2">
      <c r="A393" t="str">
        <f t="shared" si="62"/>
        <v>A96</v>
      </c>
      <c r="B393" s="2" t="s">
        <v>657</v>
      </c>
      <c r="C393">
        <f t="shared" si="63"/>
        <v>121.3</v>
      </c>
      <c r="D393" t="str">
        <f t="shared" si="64"/>
        <v>UFD</v>
      </c>
      <c r="E393" s="169" t="str">
        <f>IF(OR(A393="",B393="",C393=""),"eine der Spalten BAB, FR, km leer?",CONCATENATE(VLOOKUP(VALUE(I393),[1]Grundlage!$A$1:$B$14,2,0),IF(LEFT(A393,1)="A",IF(VALUE(MID(A393,2,10))&lt;10,"A00"&amp;VALUE(MID(A393,2,10)),IF(VALUE(MID(A393,2,10))&lt;100,"A0"&amp;VALUE(MID(A393,2,10)),IF(VALUE(MID(A393,2,10))&lt;1000,"A"&amp;VALUE(MID(A393,2,10))))),IF(LEFT(A393,1)="B",IF(VALUE(MID(A393,2,10))&lt;10,"B00"&amp;VALUE(MID(A393,2,10)),IF(VALUE(MID(A393,2,10))&lt;100,"B0"&amp;VALUE(MID(A393,2,10)),IF(VALUE(MID(A393,2,10))&lt;1000,"B"&amp;VALUE(MID(A393,2,10))))),A393)),"_",IF(NOT(OR(C393=1000,C393&gt;1000)),MID(TEXT((C393+1000)*1000,0),2,6),"keine Meter in Spalte km!!!"),IF(VALUE(I393)=1,CONCATENATE("_",VLOOKUP(IF(V393&gt;0,V393,J393),[1]Grundlage!$A$20:$B$181,2,0)),CONCATENATE("_",B393))))</f>
        <v>UQ_A096_121300_W</v>
      </c>
      <c r="F393" s="2" t="s">
        <v>43</v>
      </c>
      <c r="G393" s="167">
        <f t="shared" si="71"/>
        <v>37570</v>
      </c>
      <c r="H393">
        <f t="shared" si="72"/>
        <v>21</v>
      </c>
      <c r="I393" s="2">
        <f t="shared" si="65"/>
        <v>3</v>
      </c>
      <c r="J393" s="2">
        <f t="shared" si="66"/>
        <v>26</v>
      </c>
      <c r="K393" s="2">
        <v>207</v>
      </c>
      <c r="L393" s="2">
        <f t="shared" si="67"/>
        <v>5</v>
      </c>
      <c r="M393" s="2">
        <f t="shared" si="68"/>
        <v>1</v>
      </c>
      <c r="N393" s="2">
        <f t="shared" si="69"/>
        <v>10</v>
      </c>
      <c r="O393" s="2"/>
      <c r="P393" s="168">
        <f t="shared" si="70"/>
        <v>57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8"/>
      <c r="AT393" s="91">
        <v>3</v>
      </c>
      <c r="AU393" s="34">
        <v>26</v>
      </c>
      <c r="AV393" s="34" t="s">
        <v>86</v>
      </c>
      <c r="AW393" s="101"/>
      <c r="AX393" s="101"/>
      <c r="AY393" s="19">
        <f t="shared" si="74"/>
        <v>1</v>
      </c>
      <c r="AZ393" s="14">
        <f t="shared" si="75"/>
        <v>10</v>
      </c>
      <c r="BA393" s="34" t="s">
        <v>95</v>
      </c>
      <c r="BB393" s="101" t="s">
        <v>43</v>
      </c>
      <c r="BC393" s="30"/>
      <c r="BD393" s="30"/>
      <c r="BF393" s="13" t="s">
        <v>446</v>
      </c>
    </row>
    <row r="394" spans="1:66" ht="14.25" x14ac:dyDescent="0.2">
      <c r="A394" t="str">
        <f t="shared" ref="A394:A457" si="76">IF(ISBLANK(AK394),A393,AK394)</f>
        <v>A96</v>
      </c>
      <c r="B394" s="2" t="s">
        <v>657</v>
      </c>
      <c r="C394">
        <f t="shared" ref="C394:C457" si="77">IF(ISBLANK(AI394),C393,AI394)</f>
        <v>121.3</v>
      </c>
      <c r="D394" t="str">
        <f t="shared" ref="D394:D414" si="78">IF(AJ394="SST","SS",IF(AND(AJ394="",ISTEXT(BB394)),"UFD",""))</f>
        <v>UFD</v>
      </c>
      <c r="E394" s="169" t="str">
        <f>IF(OR(A394="",B394="",C394=""),"eine der Spalten BAB, FR, km leer?",CONCATENATE(VLOOKUP(VALUE(I394),[1]Grundlage!$A$1:$B$14,2,0),IF(LEFT(A394,1)="A",IF(VALUE(MID(A394,2,10))&lt;10,"A00"&amp;VALUE(MID(A394,2,10)),IF(VALUE(MID(A394,2,10))&lt;100,"A0"&amp;VALUE(MID(A394,2,10)),IF(VALUE(MID(A394,2,10))&lt;1000,"A"&amp;VALUE(MID(A394,2,10))))),IF(LEFT(A394,1)="B",IF(VALUE(MID(A394,2,10))&lt;10,"B00"&amp;VALUE(MID(A394,2,10)),IF(VALUE(MID(A394,2,10))&lt;100,"B0"&amp;VALUE(MID(A394,2,10)),IF(VALUE(MID(A394,2,10))&lt;1000,"B"&amp;VALUE(MID(A394,2,10))))),A394)),"_",IF(NOT(OR(C394=1000,C394&gt;1000)),MID(TEXT((C394+1000)*1000,0),2,6),"keine Meter in Spalte km!!!"),IF(VALUE(I394)=1,CONCATENATE("_",VLOOKUP(IF(V394&gt;0,V394,J394),[1]Grundlage!$A$20:$B$181,2,0)),CONCATENATE("_",B394))))</f>
        <v>UQ_A096_121300_W</v>
      </c>
      <c r="F394" s="2" t="s">
        <v>271</v>
      </c>
      <c r="G394" s="167">
        <f t="shared" si="71"/>
        <v>37570</v>
      </c>
      <c r="H394">
        <f t="shared" si="72"/>
        <v>21</v>
      </c>
      <c r="I394" s="2">
        <f t="shared" ref="I394:I457" si="79">IF(D394="SS",254,AT394)</f>
        <v>3</v>
      </c>
      <c r="J394" s="2">
        <f t="shared" ref="J394:J457" si="80">IF(D394="SS",0,AU394)</f>
        <v>67</v>
      </c>
      <c r="K394" s="2">
        <v>207</v>
      </c>
      <c r="L394" s="2">
        <f t="shared" ref="L394:L457" si="81">IF(ISBLANK(AX394),L393,AX394)</f>
        <v>5</v>
      </c>
      <c r="M394" s="2">
        <f t="shared" ref="M394:M457" si="82">IF(ISBLANK(AY394),"",AY394)</f>
        <v>1</v>
      </c>
      <c r="N394" s="2">
        <f t="shared" ref="N394:N457" si="83">IF(ISBLANK(AZ394),"",AZ394)</f>
        <v>11</v>
      </c>
      <c r="P394" s="168">
        <f t="shared" si="70"/>
        <v>53</v>
      </c>
      <c r="AT394" s="19">
        <v>3</v>
      </c>
      <c r="AU394" s="14">
        <v>67</v>
      </c>
      <c r="AV394" s="14">
        <v>43</v>
      </c>
      <c r="AW394" s="13"/>
      <c r="AX394" s="13"/>
      <c r="AY394" s="19">
        <f t="shared" si="74"/>
        <v>1</v>
      </c>
      <c r="AZ394" s="14">
        <f t="shared" si="75"/>
        <v>11</v>
      </c>
      <c r="BA394" s="34" t="s">
        <v>78</v>
      </c>
      <c r="BB394" s="13" t="s">
        <v>271</v>
      </c>
      <c r="BF394" s="13" t="s">
        <v>444</v>
      </c>
    </row>
    <row r="395" spans="1:66" ht="14.25" x14ac:dyDescent="0.2">
      <c r="A395" t="str">
        <f t="shared" si="76"/>
        <v>A96</v>
      </c>
      <c r="B395" s="2" t="s">
        <v>657</v>
      </c>
      <c r="C395">
        <f t="shared" si="77"/>
        <v>121.3</v>
      </c>
      <c r="D395" t="str">
        <f t="shared" si="78"/>
        <v>UFD</v>
      </c>
      <c r="E395" s="169" t="str">
        <f>IF(OR(A395="",B395="",C395=""),"eine der Spalten BAB, FR, km leer?",CONCATENATE(VLOOKUP(VALUE(I395),[1]Grundlage!$A$1:$B$14,2,0),IF(LEFT(A395,1)="A",IF(VALUE(MID(A395,2,10))&lt;10,"A00"&amp;VALUE(MID(A395,2,10)),IF(VALUE(MID(A395,2,10))&lt;100,"A0"&amp;VALUE(MID(A395,2,10)),IF(VALUE(MID(A395,2,10))&lt;1000,"A"&amp;VALUE(MID(A395,2,10))))),IF(LEFT(A395,1)="B",IF(VALUE(MID(A395,2,10))&lt;10,"B00"&amp;VALUE(MID(A395,2,10)),IF(VALUE(MID(A395,2,10))&lt;100,"B0"&amp;VALUE(MID(A395,2,10)),IF(VALUE(MID(A395,2,10))&lt;1000,"B"&amp;VALUE(MID(A395,2,10))))),A395)),"_",IF(NOT(OR(C395=1000,C395&gt;1000)),MID(TEXT((C395+1000)*1000,0),2,6),"keine Meter in Spalte km!!!"),IF(VALUE(I395)=1,CONCATENATE("_",VLOOKUP(IF(V395&gt;0,V395,J395),[1]Grundlage!$A$20:$B$181,2,0)),CONCATENATE("_",B395))))</f>
        <v>UQ_A096_121300_W</v>
      </c>
      <c r="F395" s="2" t="s">
        <v>272</v>
      </c>
      <c r="G395" s="167">
        <f t="shared" si="71"/>
        <v>37570</v>
      </c>
      <c r="H395">
        <f t="shared" si="72"/>
        <v>21</v>
      </c>
      <c r="I395" s="2">
        <f t="shared" si="79"/>
        <v>3</v>
      </c>
      <c r="J395" s="2">
        <f t="shared" si="80"/>
        <v>82</v>
      </c>
      <c r="K395" s="2">
        <v>207</v>
      </c>
      <c r="L395" s="2">
        <f t="shared" si="81"/>
        <v>5</v>
      </c>
      <c r="M395" s="2">
        <f t="shared" si="82"/>
        <v>1</v>
      </c>
      <c r="N395" s="2">
        <f t="shared" si="83"/>
        <v>12</v>
      </c>
      <c r="P395" s="168">
        <f t="shared" ref="P395:P458" si="84">IF(AT395&lt;&gt;3,"",IF(BB395="Helligkeitssensor",61,IF(BB395="Helligkeit",61,IF(BB396="Lichtsensor",61,IF(BB395="Lufttemperatur",48,IF(BB395="Niederschlagsart",71,IF(BB395="Niederschlagsintensität",53,IF(BB395="relative Luftfeuchte RLF",55,IF(BB395="Sichtweite",60,IF(BB395="Sichtweite 1",60,IF(BB395="Zustand der Fahrbahnoberfläche FBZ",79,IF(BB395="Wasserfilmdicke WFD",72,IF(BB395="Clusterkanal FG3","",IF(BB395="Gefriertemperatur GT",65,IF(BB395="Fahrbahnoberflächentemperatur FBT",49,VALUE(RIGHT(BB395,2)))))))))))))))))</f>
        <v>72</v>
      </c>
      <c r="AT395" s="19">
        <v>3</v>
      </c>
      <c r="AU395" s="14">
        <v>82</v>
      </c>
      <c r="AV395" s="14">
        <v>52</v>
      </c>
      <c r="AW395" s="13"/>
      <c r="AX395" s="13"/>
      <c r="AY395" s="19">
        <f t="shared" si="74"/>
        <v>1</v>
      </c>
      <c r="AZ395" s="14">
        <f t="shared" si="75"/>
        <v>12</v>
      </c>
      <c r="BA395" s="34" t="s">
        <v>79</v>
      </c>
      <c r="BB395" s="13" t="s">
        <v>272</v>
      </c>
      <c r="BF395" s="13" t="s">
        <v>519</v>
      </c>
    </row>
    <row r="396" spans="1:66" ht="14.25" x14ac:dyDescent="0.2">
      <c r="A396" t="str">
        <f t="shared" si="76"/>
        <v>A96</v>
      </c>
      <c r="C396">
        <f t="shared" si="77"/>
        <v>121.3</v>
      </c>
      <c r="D396" t="str">
        <f t="shared" si="78"/>
        <v/>
      </c>
      <c r="E396" s="169" t="str">
        <f>IF(OR(A396="",B396="",C396=""),"",CONCATENATE(VLOOKUP(VALUE(I396),[1]Grundlage!$A$1:$B$14,2,0),IF(LEFT(A396,1)="A",IF(VALUE(MID(A396,2,10))&lt;10,"A00"&amp;VALUE(MID(A396,2,10)),IF(VALUE(MID(A396,2,10))&lt;100,"A0"&amp;VALUE(MID(A396,2,10)),IF(VALUE(MID(A396,2,10))&lt;1000,"A"&amp;VALUE(MID(A396,2,10))))),IF(LEFT(A396,1)="B",IF(VALUE(MID(A396,2,10))&lt;10,"B00"&amp;VALUE(MID(A396,2,10)),IF(VALUE(MID(A396,2,10))&lt;100,"B0"&amp;VALUE(MID(A396,2,10)),IF(VALUE(MID(A396,2,10))&lt;1000,"B"&amp;VALUE(MID(A396,2,10))))),A396)),"_",IF(NOT(OR(C396=1000,C396&gt;1000)),MID(TEXT((C396+1000)*1000,0),2,6),"keine Meter in Spalte km!!!"),IF(VALUE(I396)=1,CONCATENATE("_",VLOOKUP(IF(V396&gt;0,V396,J396),[1]Grundlage!$A$20:$B$181,2,0)),CONCATENATE("_",B396))))</f>
        <v/>
      </c>
      <c r="F396" s="2" t="s">
        <v>669</v>
      </c>
      <c r="G396" s="167">
        <f t="shared" si="71"/>
        <v>37570</v>
      </c>
      <c r="H396">
        <f t="shared" si="72"/>
        <v>21</v>
      </c>
      <c r="I396" s="2">
        <f t="shared" si="79"/>
        <v>0</v>
      </c>
      <c r="J396" s="2">
        <f t="shared" si="80"/>
        <v>0</v>
      </c>
      <c r="K396" s="2">
        <v>207</v>
      </c>
      <c r="L396" s="2">
        <f t="shared" si="81"/>
        <v>5</v>
      </c>
      <c r="M396" s="2" t="str">
        <f t="shared" si="82"/>
        <v/>
      </c>
      <c r="N396" s="2" t="str">
        <f t="shared" si="83"/>
        <v/>
      </c>
      <c r="P396" s="168" t="str">
        <f t="shared" si="84"/>
        <v/>
      </c>
      <c r="AT396" s="1"/>
      <c r="AU396" s="11"/>
      <c r="AV396" s="11"/>
      <c r="AY396" s="1"/>
      <c r="AZ396" s="14"/>
      <c r="BA396" s="11"/>
      <c r="BB396" s="13"/>
    </row>
    <row r="397" spans="1:66" ht="14.25" x14ac:dyDescent="0.2">
      <c r="A397" t="str">
        <f t="shared" si="76"/>
        <v>A96</v>
      </c>
      <c r="B397" s="2" t="s">
        <v>658</v>
      </c>
      <c r="C397">
        <f t="shared" si="77"/>
        <v>129.5</v>
      </c>
      <c r="D397" t="str">
        <f t="shared" si="78"/>
        <v>SS</v>
      </c>
      <c r="E397" s="169" t="str">
        <f>IF(OR(A397="",B397="",C397=""),"eine der Spalten BAB, FR, km leer?",CONCATENATE(VLOOKUP(VALUE(I397),[1]Grundlage!$A$1:$B$14,2,0),IF(LEFT(A397,1)="A",IF(VALUE(MID(A397,2,10))&lt;10,"A00"&amp;VALUE(MID(A397,2,10)),IF(VALUE(MID(A397,2,10))&lt;100,"A0"&amp;VALUE(MID(A397,2,10)),IF(VALUE(MID(A397,2,10))&lt;1000,"A"&amp;VALUE(MID(A397,2,10))))),IF(LEFT(A397,1)="B",IF(VALUE(MID(A397,2,10))&lt;10,"B00"&amp;VALUE(MID(A397,2,10)),IF(VALUE(MID(A397,2,10))&lt;100,"B0"&amp;VALUE(MID(A397,2,10)),IF(VALUE(MID(A397,2,10))&lt;1000,"B"&amp;VALUE(MID(A397,2,10))))),A397)),"_",IF(NOT(OR(C397=1000,C397&gt;1000)),MID(TEXT((C397+1000)*1000,0),2,6),"keine Meter in Spalte km!!!"),IF(VALUE(I397)=1,CONCATENATE("_",VLOOKUP(IF(V397&gt;0,V397,J397),[1]Grundlage!$A$20:$B$181,2,0)),CONCATENATE("_",B397))))</f>
        <v>SSt_A096_129500_O</v>
      </c>
      <c r="F397" s="2" t="s">
        <v>104</v>
      </c>
      <c r="G397" s="167">
        <f t="shared" si="71"/>
        <v>37531</v>
      </c>
      <c r="H397">
        <f t="shared" si="72"/>
        <v>136</v>
      </c>
      <c r="I397" s="2">
        <f t="shared" si="79"/>
        <v>254</v>
      </c>
      <c r="J397" s="2">
        <f t="shared" si="80"/>
        <v>0</v>
      </c>
      <c r="K397" s="2">
        <v>207</v>
      </c>
      <c r="L397" s="2">
        <f t="shared" si="81"/>
        <v>6</v>
      </c>
      <c r="M397" s="2" t="str">
        <f t="shared" si="82"/>
        <v/>
      </c>
      <c r="N397" s="2" t="str">
        <f t="shared" si="83"/>
        <v/>
      </c>
      <c r="P397" s="168" t="str">
        <f t="shared" si="84"/>
        <v/>
      </c>
      <c r="AI397" s="35">
        <v>129.5</v>
      </c>
      <c r="AJ397" s="36" t="s">
        <v>19</v>
      </c>
      <c r="AK397" s="36" t="s">
        <v>51</v>
      </c>
      <c r="AL397" s="36"/>
      <c r="AM397" s="36"/>
      <c r="AN397" s="36"/>
      <c r="AO397" s="36"/>
      <c r="AP397" s="36">
        <v>9608072</v>
      </c>
      <c r="AQ397" s="36">
        <v>92</v>
      </c>
      <c r="AR397" s="45" t="s">
        <v>237</v>
      </c>
      <c r="AS397" s="36">
        <v>88</v>
      </c>
      <c r="AT397" s="36"/>
      <c r="AU397" s="36"/>
      <c r="AV397" s="36"/>
      <c r="AW397" s="36"/>
      <c r="AX397" s="36">
        <v>6</v>
      </c>
      <c r="AY397" s="36"/>
      <c r="AZ397" s="36"/>
      <c r="BA397" s="36"/>
      <c r="BB397" s="37" t="s">
        <v>104</v>
      </c>
      <c r="BC397" s="38"/>
      <c r="BD397" s="99" t="s">
        <v>163</v>
      </c>
      <c r="BE397" s="39" t="s">
        <v>103</v>
      </c>
      <c r="BF397" s="2" t="s">
        <v>451</v>
      </c>
    </row>
    <row r="398" spans="1:66" ht="14.25" x14ac:dyDescent="0.2">
      <c r="A398" t="str">
        <f t="shared" si="76"/>
        <v>A96</v>
      </c>
      <c r="B398" s="2" t="s">
        <v>658</v>
      </c>
      <c r="C398">
        <f t="shared" si="77"/>
        <v>129.5</v>
      </c>
      <c r="D398" t="str">
        <f t="shared" si="78"/>
        <v>UFD</v>
      </c>
      <c r="E398" s="169" t="str">
        <f>IF(OR(A398="",B398="",C398=""),"eine der Spalten BAB, FR, km leer?",CONCATENATE(VLOOKUP(VALUE(I398),[1]Grundlage!$A$1:$B$14,2,0),IF(LEFT(A398,1)="A",IF(VALUE(MID(A398,2,10))&lt;10,"A00"&amp;VALUE(MID(A398,2,10)),IF(VALUE(MID(A398,2,10))&lt;100,"A0"&amp;VALUE(MID(A398,2,10)),IF(VALUE(MID(A398,2,10))&lt;1000,"A"&amp;VALUE(MID(A398,2,10))))),IF(LEFT(A398,1)="B",IF(VALUE(MID(A398,2,10))&lt;10,"B00"&amp;VALUE(MID(A398,2,10)),IF(VALUE(MID(A398,2,10))&lt;100,"B0"&amp;VALUE(MID(A398,2,10)),IF(VALUE(MID(A398,2,10))&lt;1000,"B"&amp;VALUE(MID(A398,2,10))))),A398)),"_",IF(NOT(OR(C398=1000,C398&gt;1000)),MID(TEXT((C398+1000)*1000,0),2,6),"keine Meter in Spalte km!!!"),IF(VALUE(I398)=1,CONCATENATE("_",VLOOKUP(IF(V398&gt;0,V398,J398),[1]Grundlage!$A$20:$B$181,2,0)),CONCATENATE("_",B398))))</f>
        <v>UQ_A096_129500_O</v>
      </c>
      <c r="F398" s="2" t="s">
        <v>269</v>
      </c>
      <c r="G398" s="167">
        <f t="shared" si="71"/>
        <v>37531</v>
      </c>
      <c r="H398">
        <f t="shared" si="72"/>
        <v>136</v>
      </c>
      <c r="I398" s="2">
        <f t="shared" si="79"/>
        <v>3</v>
      </c>
      <c r="J398" s="2">
        <f t="shared" si="80"/>
        <v>6</v>
      </c>
      <c r="K398" s="2">
        <v>207</v>
      </c>
      <c r="L398" s="2">
        <f t="shared" si="81"/>
        <v>6</v>
      </c>
      <c r="M398" s="2">
        <f t="shared" si="82"/>
        <v>1</v>
      </c>
      <c r="N398" s="2">
        <f t="shared" si="83"/>
        <v>1</v>
      </c>
      <c r="P398" s="168">
        <f t="shared" si="84"/>
        <v>71</v>
      </c>
      <c r="AS398" s="13"/>
      <c r="AT398" s="19">
        <v>3</v>
      </c>
      <c r="AU398" s="14">
        <v>6</v>
      </c>
      <c r="AV398" s="27"/>
      <c r="AW398" s="19"/>
      <c r="AX398" s="19"/>
      <c r="AY398" s="19">
        <v>1</v>
      </c>
      <c r="AZ398" s="14">
        <v>1</v>
      </c>
      <c r="BA398" s="27">
        <v>1</v>
      </c>
      <c r="BB398" s="13" t="s">
        <v>269</v>
      </c>
      <c r="BF398" s="19" t="s">
        <v>440</v>
      </c>
      <c r="BG398" s="14"/>
      <c r="BH398" s="27"/>
      <c r="BI398" s="19"/>
      <c r="BJ398" s="19"/>
      <c r="BK398" s="19"/>
      <c r="BL398" s="14"/>
      <c r="BM398" s="27"/>
      <c r="BN398" s="13"/>
    </row>
    <row r="399" spans="1:66" ht="14.25" x14ac:dyDescent="0.2">
      <c r="A399" t="str">
        <f t="shared" si="76"/>
        <v>A96</v>
      </c>
      <c r="B399" s="2" t="s">
        <v>658</v>
      </c>
      <c r="C399">
        <f t="shared" si="77"/>
        <v>129.5</v>
      </c>
      <c r="D399" t="str">
        <f t="shared" si="78"/>
        <v>UFD</v>
      </c>
      <c r="E399" s="169" t="str">
        <f>IF(OR(A399="",B399="",C399=""),"eine der Spalten BAB, FR, km leer?",CONCATENATE(VLOOKUP(VALUE(I399),[1]Grundlage!$A$1:$B$14,2,0),IF(LEFT(A399,1)="A",IF(VALUE(MID(A399,2,10))&lt;10,"A00"&amp;VALUE(MID(A399,2,10)),IF(VALUE(MID(A399,2,10))&lt;100,"A0"&amp;VALUE(MID(A399,2,10)),IF(VALUE(MID(A399,2,10))&lt;1000,"A"&amp;VALUE(MID(A399,2,10))))),IF(LEFT(A399,1)="B",IF(VALUE(MID(A399,2,10))&lt;10,"B00"&amp;VALUE(MID(A399,2,10)),IF(VALUE(MID(A399,2,10))&lt;100,"B0"&amp;VALUE(MID(A399,2,10)),IF(VALUE(MID(A399,2,10))&lt;1000,"B"&amp;VALUE(MID(A399,2,10))))),A399)),"_",IF(NOT(OR(C399=1000,C399&gt;1000)),MID(TEXT((C399+1000)*1000,0),2,6),"keine Meter in Spalte km!!!"),IF(VALUE(I399)=1,CONCATENATE("_",VLOOKUP(IF(V399&gt;0,V399,J399),[1]Grundlage!$A$20:$B$181,2,0)),CONCATENATE("_",B399))))</f>
        <v>UQ_A096_129500_O</v>
      </c>
      <c r="F399" s="2" t="s">
        <v>270</v>
      </c>
      <c r="G399" s="167">
        <f t="shared" si="71"/>
        <v>37531</v>
      </c>
      <c r="H399">
        <f t="shared" si="72"/>
        <v>136</v>
      </c>
      <c r="I399" s="2">
        <f t="shared" si="79"/>
        <v>3</v>
      </c>
      <c r="J399" s="2">
        <f t="shared" si="80"/>
        <v>11</v>
      </c>
      <c r="K399" s="2">
        <v>207</v>
      </c>
      <c r="L399" s="2">
        <f t="shared" si="81"/>
        <v>6</v>
      </c>
      <c r="M399" s="2">
        <f t="shared" si="82"/>
        <v>1</v>
      </c>
      <c r="N399" s="2">
        <f t="shared" si="83"/>
        <v>2</v>
      </c>
      <c r="P399" s="168">
        <f t="shared" si="84"/>
        <v>70</v>
      </c>
      <c r="AS399" s="13"/>
      <c r="AT399" s="19">
        <v>3</v>
      </c>
      <c r="AU399" s="14">
        <v>11</v>
      </c>
      <c r="AV399" s="14"/>
      <c r="AW399" s="13"/>
      <c r="AX399" s="13"/>
      <c r="AY399" s="19">
        <v>1</v>
      </c>
      <c r="AZ399" s="14">
        <f>AZ398+1</f>
        <v>2</v>
      </c>
      <c r="BA399" s="14">
        <v>2</v>
      </c>
      <c r="BB399" s="13" t="s">
        <v>270</v>
      </c>
      <c r="BF399" s="19" t="s">
        <v>462</v>
      </c>
      <c r="BG399" s="14"/>
      <c r="BH399" s="14"/>
      <c r="BI399" s="13"/>
      <c r="BJ399" s="13"/>
      <c r="BK399" s="19"/>
      <c r="BL399" s="14"/>
      <c r="BM399" s="14"/>
      <c r="BN399" s="13"/>
    </row>
    <row r="400" spans="1:66" ht="14.25" x14ac:dyDescent="0.2">
      <c r="A400" t="str">
        <f t="shared" si="76"/>
        <v>A96</v>
      </c>
      <c r="B400" s="2" t="s">
        <v>658</v>
      </c>
      <c r="C400">
        <f t="shared" si="77"/>
        <v>129.5</v>
      </c>
      <c r="D400" t="str">
        <f t="shared" si="78"/>
        <v>UFD</v>
      </c>
      <c r="E400" s="169" t="str">
        <f>IF(OR(A400="",B400="",C400=""),"eine der Spalten BAB, FR, km leer?",CONCATENATE(VLOOKUP(VALUE(I400),[1]Grundlage!$A$1:$B$14,2,0),IF(LEFT(A400,1)="A",IF(VALUE(MID(A400,2,10))&lt;10,"A00"&amp;VALUE(MID(A400,2,10)),IF(VALUE(MID(A400,2,10))&lt;100,"A0"&amp;VALUE(MID(A400,2,10)),IF(VALUE(MID(A400,2,10))&lt;1000,"A"&amp;VALUE(MID(A400,2,10))))),IF(LEFT(A400,1)="B",IF(VALUE(MID(A400,2,10))&lt;10,"B00"&amp;VALUE(MID(A400,2,10)),IF(VALUE(MID(A400,2,10))&lt;100,"B0"&amp;VALUE(MID(A400,2,10)),IF(VALUE(MID(A400,2,10))&lt;1000,"B"&amp;VALUE(MID(A400,2,10))))),A400)),"_",IF(NOT(OR(C400=1000,C400&gt;1000)),MID(TEXT((C400+1000)*1000,0),2,6),"keine Meter in Spalte km!!!"),IF(VALUE(I400)=1,CONCATENATE("_",VLOOKUP(IF(V400&gt;0,V400,J400),[1]Grundlage!$A$20:$B$181,2,0)),CONCATENATE("_",B400))))</f>
        <v>UQ_A096_129500_O</v>
      </c>
      <c r="F400" s="2" t="s">
        <v>25</v>
      </c>
      <c r="G400" s="167">
        <f t="shared" si="71"/>
        <v>37531</v>
      </c>
      <c r="H400">
        <f t="shared" si="72"/>
        <v>136</v>
      </c>
      <c r="I400" s="2">
        <f t="shared" si="79"/>
        <v>3</v>
      </c>
      <c r="J400" s="2">
        <f t="shared" si="80"/>
        <v>12</v>
      </c>
      <c r="K400" s="2">
        <v>207</v>
      </c>
      <c r="L400" s="2">
        <f t="shared" si="81"/>
        <v>6</v>
      </c>
      <c r="M400" s="2">
        <f t="shared" si="82"/>
        <v>1</v>
      </c>
      <c r="N400" s="2">
        <f t="shared" si="83"/>
        <v>3</v>
      </c>
      <c r="P400" s="168">
        <f t="shared" si="84"/>
        <v>48</v>
      </c>
      <c r="AS400" s="13"/>
      <c r="AT400" s="19">
        <v>3</v>
      </c>
      <c r="AU400" s="14">
        <v>12</v>
      </c>
      <c r="AV400" s="14"/>
      <c r="AW400" s="13"/>
      <c r="AX400" s="13"/>
      <c r="AY400" s="19">
        <v>1</v>
      </c>
      <c r="AZ400" s="14">
        <f t="shared" ref="AZ400:AZ412" si="85">AZ399+1</f>
        <v>3</v>
      </c>
      <c r="BA400" s="14">
        <v>3</v>
      </c>
      <c r="BB400" s="13" t="s">
        <v>25</v>
      </c>
      <c r="BF400" s="19" t="s">
        <v>441</v>
      </c>
      <c r="BG400" s="14"/>
      <c r="BH400" s="14"/>
      <c r="BI400" s="13"/>
      <c r="BJ400" s="13"/>
      <c r="BK400" s="19"/>
      <c r="BL400" s="14"/>
      <c r="BM400" s="14"/>
      <c r="BN400" s="13"/>
    </row>
    <row r="401" spans="1:66" ht="14.25" x14ac:dyDescent="0.2">
      <c r="A401" t="str">
        <f t="shared" si="76"/>
        <v>A96</v>
      </c>
      <c r="B401" s="2" t="s">
        <v>658</v>
      </c>
      <c r="C401">
        <f t="shared" si="77"/>
        <v>129.5</v>
      </c>
      <c r="D401" t="str">
        <f t="shared" si="78"/>
        <v>UFD</v>
      </c>
      <c r="E401" s="169" t="str">
        <f>IF(OR(A401="",B401="",C401=""),"eine der Spalten BAB, FR, km leer?",CONCATENATE(VLOOKUP(VALUE(I401),[1]Grundlage!$A$1:$B$14,2,0),IF(LEFT(A401,1)="A",IF(VALUE(MID(A401,2,10))&lt;10,"A00"&amp;VALUE(MID(A401,2,10)),IF(VALUE(MID(A401,2,10))&lt;100,"A0"&amp;VALUE(MID(A401,2,10)),IF(VALUE(MID(A401,2,10))&lt;1000,"A"&amp;VALUE(MID(A401,2,10))))),IF(LEFT(A401,1)="B",IF(VALUE(MID(A401,2,10))&lt;10,"B00"&amp;VALUE(MID(A401,2,10)),IF(VALUE(MID(A401,2,10))&lt;100,"B0"&amp;VALUE(MID(A401,2,10)),IF(VALUE(MID(A401,2,10))&lt;1000,"B"&amp;VALUE(MID(A401,2,10))))),A401)),"_",IF(NOT(OR(C401=1000,C401&gt;1000)),MID(TEXT((C401+1000)*1000,0),2,6),"keine Meter in Spalte km!!!"),IF(VALUE(I401)=1,CONCATENATE("_",VLOOKUP(IF(V401&gt;0,V401,J401),[1]Grundlage!$A$20:$B$181,2,0)),CONCATENATE("_",B401))))</f>
        <v>UQ_A096_129500_O</v>
      </c>
      <c r="F401" s="2" t="s">
        <v>26</v>
      </c>
      <c r="G401" s="167">
        <f t="shared" si="71"/>
        <v>37531</v>
      </c>
      <c r="H401">
        <f t="shared" si="72"/>
        <v>136</v>
      </c>
      <c r="I401" s="2">
        <f t="shared" si="79"/>
        <v>3</v>
      </c>
      <c r="J401" s="2">
        <f t="shared" si="80"/>
        <v>13</v>
      </c>
      <c r="K401" s="2">
        <v>207</v>
      </c>
      <c r="L401" s="2">
        <f t="shared" si="81"/>
        <v>6</v>
      </c>
      <c r="M401" s="2">
        <f t="shared" si="82"/>
        <v>1</v>
      </c>
      <c r="N401" s="2">
        <f t="shared" si="83"/>
        <v>4</v>
      </c>
      <c r="P401" s="168">
        <f t="shared" si="84"/>
        <v>55</v>
      </c>
      <c r="AS401" s="13"/>
      <c r="AT401" s="19">
        <v>3</v>
      </c>
      <c r="AU401" s="14">
        <v>13</v>
      </c>
      <c r="AV401" s="14"/>
      <c r="AW401" s="13"/>
      <c r="AX401" s="13"/>
      <c r="AY401" s="19">
        <v>1</v>
      </c>
      <c r="AZ401" s="14">
        <f t="shared" si="85"/>
        <v>4</v>
      </c>
      <c r="BA401" s="14">
        <v>4</v>
      </c>
      <c r="BB401" s="13" t="s">
        <v>26</v>
      </c>
      <c r="BF401" s="19" t="s">
        <v>442</v>
      </c>
      <c r="BG401" s="14"/>
      <c r="BH401" s="14"/>
      <c r="BI401" s="13"/>
      <c r="BJ401" s="13"/>
      <c r="BK401" s="19"/>
      <c r="BL401" s="14"/>
      <c r="BM401" s="14"/>
      <c r="BN401" s="13"/>
    </row>
    <row r="402" spans="1:66" ht="14.25" x14ac:dyDescent="0.2">
      <c r="A402" t="str">
        <f t="shared" si="76"/>
        <v>A96</v>
      </c>
      <c r="B402" s="2" t="s">
        <v>658</v>
      </c>
      <c r="C402">
        <f t="shared" si="77"/>
        <v>129.5</v>
      </c>
      <c r="D402" t="str">
        <f t="shared" si="78"/>
        <v>UFD</v>
      </c>
      <c r="E402" s="169" t="str">
        <f>IF(OR(A402="",B402="",C402=""),"eine der Spalten BAB, FR, km leer?",CONCATENATE(VLOOKUP(VALUE(I402),[1]Grundlage!$A$1:$B$14,2,0),IF(LEFT(A402,1)="A",IF(VALUE(MID(A402,2,10))&lt;10,"A00"&amp;VALUE(MID(A402,2,10)),IF(VALUE(MID(A402,2,10))&lt;100,"A0"&amp;VALUE(MID(A402,2,10)),IF(VALUE(MID(A402,2,10))&lt;1000,"A"&amp;VALUE(MID(A402,2,10))))),IF(LEFT(A402,1)="B",IF(VALUE(MID(A402,2,10))&lt;10,"B00"&amp;VALUE(MID(A402,2,10)),IF(VALUE(MID(A402,2,10))&lt;100,"B0"&amp;VALUE(MID(A402,2,10)),IF(VALUE(MID(A402,2,10))&lt;1000,"B"&amp;VALUE(MID(A402,2,10))))),A402)),"_",IF(NOT(OR(C402=1000,C402&gt;1000)),MID(TEXT((C402+1000)*1000,0),2,6),"keine Meter in Spalte km!!!"),IF(VALUE(I402)=1,CONCATENATE("_",VLOOKUP(IF(V402&gt;0,V402,J402),[1]Grundlage!$A$20:$B$181,2,0)),CONCATENATE("_",B402))))</f>
        <v>UQ_A096_129500_O</v>
      </c>
      <c r="F402" s="2" t="s">
        <v>27</v>
      </c>
      <c r="G402" s="167">
        <f t="shared" si="71"/>
        <v>37531</v>
      </c>
      <c r="H402">
        <f t="shared" si="72"/>
        <v>136</v>
      </c>
      <c r="I402" s="2">
        <f t="shared" si="79"/>
        <v>3</v>
      </c>
      <c r="J402" s="2">
        <f t="shared" si="80"/>
        <v>14</v>
      </c>
      <c r="K402" s="2">
        <v>207</v>
      </c>
      <c r="L402" s="2">
        <f t="shared" si="81"/>
        <v>6</v>
      </c>
      <c r="M402" s="2">
        <f t="shared" si="82"/>
        <v>1</v>
      </c>
      <c r="N402" s="2">
        <f t="shared" si="83"/>
        <v>5</v>
      </c>
      <c r="P402" s="168">
        <f t="shared" si="84"/>
        <v>66</v>
      </c>
      <c r="AS402" s="13"/>
      <c r="AT402" s="19">
        <v>3</v>
      </c>
      <c r="AU402" s="14">
        <v>14</v>
      </c>
      <c r="AV402" s="14"/>
      <c r="AW402" s="13"/>
      <c r="AX402" s="13"/>
      <c r="AY402" s="19">
        <v>1</v>
      </c>
      <c r="AZ402" s="14">
        <f t="shared" si="85"/>
        <v>5</v>
      </c>
      <c r="BA402" s="14">
        <v>5</v>
      </c>
      <c r="BB402" s="13" t="s">
        <v>27</v>
      </c>
      <c r="BF402" s="19" t="s">
        <v>443</v>
      </c>
      <c r="BG402" s="14"/>
      <c r="BH402" s="14"/>
      <c r="BI402" s="13"/>
      <c r="BJ402" s="13"/>
      <c r="BK402" s="19"/>
      <c r="BL402" s="14"/>
      <c r="BM402" s="14"/>
      <c r="BN402" s="13"/>
    </row>
    <row r="403" spans="1:66" ht="14.25" x14ac:dyDescent="0.2">
      <c r="A403" t="str">
        <f t="shared" si="76"/>
        <v>A96</v>
      </c>
      <c r="B403" s="2" t="s">
        <v>658</v>
      </c>
      <c r="C403">
        <f t="shared" si="77"/>
        <v>129.5</v>
      </c>
      <c r="D403" t="str">
        <f t="shared" si="78"/>
        <v>UFD</v>
      </c>
      <c r="E403" s="169" t="str">
        <f>IF(OR(A403="",B403="",C403=""),"eine der Spalten BAB, FR, km leer?",CONCATENATE(VLOOKUP(VALUE(I403),[1]Grundlage!$A$1:$B$14,2,0),IF(LEFT(A403,1)="A",IF(VALUE(MID(A403,2,10))&lt;10,"A00"&amp;VALUE(MID(A403,2,10)),IF(VALUE(MID(A403,2,10))&lt;100,"A0"&amp;VALUE(MID(A403,2,10)),IF(VALUE(MID(A403,2,10))&lt;1000,"A"&amp;VALUE(MID(A403,2,10))))),IF(LEFT(A403,1)="B",IF(VALUE(MID(A403,2,10))&lt;10,"B00"&amp;VALUE(MID(A403,2,10)),IF(VALUE(MID(A403,2,10))&lt;100,"B0"&amp;VALUE(MID(A403,2,10)),IF(VALUE(MID(A403,2,10))&lt;1000,"B"&amp;VALUE(MID(A403,2,10))))),A403)),"_",IF(NOT(OR(C403=1000,C403&gt;1000)),MID(TEXT((C403+1000)*1000,0),2,6),"keine Meter in Spalte km!!!"),IF(VALUE(I403)=1,CONCATENATE("_",VLOOKUP(IF(V403&gt;0,V403,J403),[1]Grundlage!$A$20:$B$181,2,0)),CONCATENATE("_",B403))))</f>
        <v>UQ_A096_129500_O</v>
      </c>
      <c r="F403" s="2" t="s">
        <v>684</v>
      </c>
      <c r="G403" s="167">
        <f t="shared" si="71"/>
        <v>37531</v>
      </c>
      <c r="H403">
        <f t="shared" si="72"/>
        <v>136</v>
      </c>
      <c r="I403" s="2">
        <f t="shared" si="79"/>
        <v>3</v>
      </c>
      <c r="J403" s="2">
        <f t="shared" si="80"/>
        <v>15</v>
      </c>
      <c r="K403" s="2">
        <v>207</v>
      </c>
      <c r="L403" s="2">
        <f t="shared" si="81"/>
        <v>6</v>
      </c>
      <c r="M403" s="2">
        <f t="shared" si="82"/>
        <v>1</v>
      </c>
      <c r="N403" s="2">
        <f t="shared" si="83"/>
        <v>6</v>
      </c>
      <c r="P403" s="168">
        <v>65</v>
      </c>
      <c r="AS403" s="13"/>
      <c r="AT403" s="19">
        <v>3</v>
      </c>
      <c r="AU403" s="14">
        <v>15</v>
      </c>
      <c r="AV403" s="14"/>
      <c r="AW403" s="13"/>
      <c r="AX403" s="13"/>
      <c r="AY403" s="19">
        <v>1</v>
      </c>
      <c r="AZ403" s="14">
        <f t="shared" si="85"/>
        <v>6</v>
      </c>
      <c r="BA403" s="14">
        <v>6</v>
      </c>
      <c r="BB403" s="13" t="s">
        <v>97</v>
      </c>
      <c r="BF403" s="19" t="s">
        <v>461</v>
      </c>
      <c r="BG403" s="14"/>
      <c r="BH403" s="14"/>
      <c r="BI403" s="13"/>
      <c r="BJ403" s="13"/>
      <c r="BK403" s="19"/>
      <c r="BL403" s="14"/>
      <c r="BM403" s="14"/>
      <c r="BN403" s="13"/>
    </row>
    <row r="404" spans="1:66" ht="14.25" x14ac:dyDescent="0.2">
      <c r="A404" t="str">
        <f t="shared" si="76"/>
        <v>A96</v>
      </c>
      <c r="B404" s="2" t="s">
        <v>658</v>
      </c>
      <c r="C404">
        <f t="shared" si="77"/>
        <v>129.5</v>
      </c>
      <c r="D404" t="str">
        <f t="shared" si="78"/>
        <v>UFD</v>
      </c>
      <c r="E404" s="169" t="str">
        <f>IF(OR(A404="",B404="",C404=""),"eine der Spalten BAB, FR, km leer?",CONCATENATE(VLOOKUP(VALUE(I404),[1]Grundlage!$A$1:$B$14,2,0),IF(LEFT(A404,1)="A",IF(VALUE(MID(A404,2,10))&lt;10,"A00"&amp;VALUE(MID(A404,2,10)),IF(VALUE(MID(A404,2,10))&lt;100,"A0"&amp;VALUE(MID(A404,2,10)),IF(VALUE(MID(A404,2,10))&lt;1000,"A"&amp;VALUE(MID(A404,2,10))))),IF(LEFT(A404,1)="B",IF(VALUE(MID(A404,2,10))&lt;10,"B00"&amp;VALUE(MID(A404,2,10)),IF(VALUE(MID(A404,2,10))&lt;100,"B0"&amp;VALUE(MID(A404,2,10)),IF(VALUE(MID(A404,2,10))&lt;1000,"B"&amp;VALUE(MID(A404,2,10))))),A404)),"_",IF(NOT(OR(C404=1000,C404&gt;1000)),MID(TEXT((C404+1000)*1000,0),2,6),"keine Meter in Spalte km!!!"),IF(VALUE(I404)=1,CONCATENATE("_",VLOOKUP(IF(V404&gt;0,V404,J404),[1]Grundlage!$A$20:$B$181,2,0)),CONCATENATE("_",B404))))</f>
        <v>UQ_A096_129500_O</v>
      </c>
      <c r="F404" s="2" t="s">
        <v>670</v>
      </c>
      <c r="G404" s="167">
        <f t="shared" si="71"/>
        <v>37531</v>
      </c>
      <c r="H404">
        <f t="shared" si="72"/>
        <v>136</v>
      </c>
      <c r="I404" s="2">
        <f t="shared" si="79"/>
        <v>3</v>
      </c>
      <c r="J404" s="2">
        <f t="shared" si="80"/>
        <v>19</v>
      </c>
      <c r="K404" s="2">
        <v>207</v>
      </c>
      <c r="L404" s="2">
        <f t="shared" si="81"/>
        <v>6</v>
      </c>
      <c r="M404" s="2">
        <f t="shared" si="82"/>
        <v>1</v>
      </c>
      <c r="N404" s="2">
        <f t="shared" si="83"/>
        <v>7</v>
      </c>
      <c r="P404" s="168">
        <v>49</v>
      </c>
      <c r="AS404" s="13"/>
      <c r="AT404" s="19">
        <v>3</v>
      </c>
      <c r="AU404" s="14">
        <v>19</v>
      </c>
      <c r="AV404" s="14"/>
      <c r="AW404" s="13"/>
      <c r="AX404" s="13"/>
      <c r="AY404" s="19">
        <v>1</v>
      </c>
      <c r="AZ404" s="14">
        <f t="shared" si="85"/>
        <v>7</v>
      </c>
      <c r="BA404" s="14">
        <v>7</v>
      </c>
      <c r="BB404" s="13" t="s">
        <v>98</v>
      </c>
      <c r="BF404" s="19" t="s">
        <v>463</v>
      </c>
      <c r="BG404" s="14"/>
      <c r="BH404" s="14"/>
      <c r="BI404" s="13"/>
      <c r="BJ404" s="13"/>
      <c r="BK404" s="19"/>
      <c r="BL404" s="14"/>
      <c r="BM404" s="14"/>
      <c r="BN404" s="13"/>
    </row>
    <row r="405" spans="1:66" ht="14.25" x14ac:dyDescent="0.2">
      <c r="A405" t="str">
        <f t="shared" si="76"/>
        <v>A96</v>
      </c>
      <c r="B405" s="2" t="s">
        <v>658</v>
      </c>
      <c r="C405">
        <f t="shared" si="77"/>
        <v>129.5</v>
      </c>
      <c r="D405" t="str">
        <f t="shared" si="78"/>
        <v>UFD</v>
      </c>
      <c r="E405" s="169" t="str">
        <f>IF(OR(A405="",B405="",C405=""),"eine der Spalten BAB, FR, km leer?",CONCATENATE(VLOOKUP(VALUE(I405),[1]Grundlage!$A$1:$B$14,2,0),IF(LEFT(A405,1)="A",IF(VALUE(MID(A405,2,10))&lt;10,"A00"&amp;VALUE(MID(A405,2,10)),IF(VALUE(MID(A405,2,10))&lt;100,"A0"&amp;VALUE(MID(A405,2,10)),IF(VALUE(MID(A405,2,10))&lt;1000,"A"&amp;VALUE(MID(A405,2,10))))),IF(LEFT(A405,1)="B",IF(VALUE(MID(A405,2,10))&lt;10,"B00"&amp;VALUE(MID(A405,2,10)),IF(VALUE(MID(A405,2,10))&lt;100,"B0"&amp;VALUE(MID(A405,2,10)),IF(VALUE(MID(A405,2,10))&lt;1000,"B"&amp;VALUE(MID(A405,2,10))))),A405)),"_",IF(NOT(OR(C405=1000,C405&gt;1000)),MID(TEXT((C405+1000)*1000,0),2,6),"keine Meter in Spalte km!!!"),IF(VALUE(I405)=1,CONCATENATE("_",VLOOKUP(IF(V405&gt;0,V405,J405),[1]Grundlage!$A$20:$B$181,2,0)),CONCATENATE("_",B405))))</f>
        <v>UQ_A096_129500_O</v>
      </c>
      <c r="F405" s="2" t="s">
        <v>671</v>
      </c>
      <c r="G405" s="167">
        <f t="shared" si="71"/>
        <v>37531</v>
      </c>
      <c r="H405">
        <f t="shared" si="72"/>
        <v>136</v>
      </c>
      <c r="I405" s="2">
        <f t="shared" si="79"/>
        <v>3</v>
      </c>
      <c r="J405" s="2">
        <f t="shared" si="80"/>
        <v>21</v>
      </c>
      <c r="K405" s="2">
        <v>207</v>
      </c>
      <c r="L405" s="2">
        <f t="shared" si="81"/>
        <v>6</v>
      </c>
      <c r="M405" s="2">
        <f t="shared" si="82"/>
        <v>1</v>
      </c>
      <c r="N405" s="2">
        <f t="shared" si="83"/>
        <v>8</v>
      </c>
      <c r="P405" s="168">
        <v>67</v>
      </c>
      <c r="AS405" s="13"/>
      <c r="AT405" s="19">
        <v>3</v>
      </c>
      <c r="AU405" s="14">
        <v>21</v>
      </c>
      <c r="AV405" s="14"/>
      <c r="AW405" s="13"/>
      <c r="AX405" s="13"/>
      <c r="AY405" s="19">
        <v>1</v>
      </c>
      <c r="AZ405" s="14">
        <f t="shared" si="85"/>
        <v>8</v>
      </c>
      <c r="BA405" s="14">
        <v>8</v>
      </c>
      <c r="BB405" s="13" t="s">
        <v>402</v>
      </c>
      <c r="BF405" s="19" t="s">
        <v>464</v>
      </c>
      <c r="BG405" s="14"/>
      <c r="BH405" s="14"/>
      <c r="BI405" s="13"/>
      <c r="BJ405" s="13"/>
      <c r="BK405" s="19"/>
      <c r="BL405" s="14"/>
      <c r="BM405" s="14"/>
      <c r="BN405" s="13"/>
    </row>
    <row r="406" spans="1:66" ht="14.25" x14ac:dyDescent="0.2">
      <c r="A406" t="str">
        <f t="shared" si="76"/>
        <v>A96</v>
      </c>
      <c r="B406" s="2" t="s">
        <v>658</v>
      </c>
      <c r="C406">
        <f t="shared" si="77"/>
        <v>129.5</v>
      </c>
      <c r="D406" t="str">
        <f t="shared" si="78"/>
        <v>UFD</v>
      </c>
      <c r="E406" s="169" t="str">
        <f>IF(OR(A406="",B406="",C406=""),"eine der Spalten BAB, FR, km leer?",CONCATENATE(VLOOKUP(VALUE(I406),[1]Grundlage!$A$1:$B$14,2,0),IF(LEFT(A406,1)="A",IF(VALUE(MID(A406,2,10))&lt;10,"A00"&amp;VALUE(MID(A406,2,10)),IF(VALUE(MID(A406,2,10))&lt;100,"A0"&amp;VALUE(MID(A406,2,10)),IF(VALUE(MID(A406,2,10))&lt;1000,"A"&amp;VALUE(MID(A406,2,10))))),IF(LEFT(A406,1)="B",IF(VALUE(MID(A406,2,10))&lt;10,"B00"&amp;VALUE(MID(A406,2,10)),IF(VALUE(MID(A406,2,10))&lt;100,"B0"&amp;VALUE(MID(A406,2,10)),IF(VALUE(MID(A406,2,10))&lt;1000,"B"&amp;VALUE(MID(A406,2,10))))),A406)),"_",IF(NOT(OR(C406=1000,C406&gt;1000)),MID(TEXT((C406+1000)*1000,0),2,6),"keine Meter in Spalte km!!!"),IF(VALUE(I406)=1,CONCATENATE("_",VLOOKUP(IF(V406&gt;0,V406,J406),[1]Grundlage!$A$20:$B$181,2,0)),CONCATENATE("_",B406))))</f>
        <v>UQ_A096_129500_O</v>
      </c>
      <c r="F406" s="2" t="s">
        <v>41</v>
      </c>
      <c r="G406" s="167">
        <f t="shared" si="71"/>
        <v>37531</v>
      </c>
      <c r="H406">
        <f t="shared" si="72"/>
        <v>136</v>
      </c>
      <c r="I406" s="2">
        <f t="shared" si="79"/>
        <v>3</v>
      </c>
      <c r="J406" s="2">
        <f t="shared" si="80"/>
        <v>24</v>
      </c>
      <c r="K406" s="2">
        <v>207</v>
      </c>
      <c r="L406" s="2">
        <f t="shared" si="81"/>
        <v>6</v>
      </c>
      <c r="M406" s="2">
        <f t="shared" si="82"/>
        <v>1</v>
      </c>
      <c r="N406" s="2">
        <f t="shared" si="83"/>
        <v>9</v>
      </c>
      <c r="P406" s="168">
        <f t="shared" si="84"/>
        <v>69</v>
      </c>
      <c r="AS406" s="13"/>
      <c r="AT406" s="19">
        <v>3</v>
      </c>
      <c r="AU406" s="14">
        <v>24</v>
      </c>
      <c r="AV406" s="14"/>
      <c r="AW406" s="13"/>
      <c r="AX406" s="13"/>
      <c r="AY406" s="19">
        <v>1</v>
      </c>
      <c r="AZ406" s="14">
        <f t="shared" si="85"/>
        <v>9</v>
      </c>
      <c r="BA406" s="14">
        <v>9</v>
      </c>
      <c r="BB406" s="13" t="s">
        <v>41</v>
      </c>
      <c r="BF406" s="19" t="s">
        <v>465</v>
      </c>
      <c r="BG406" s="14"/>
      <c r="BH406" s="14"/>
      <c r="BI406" s="13"/>
      <c r="BJ406" s="13"/>
      <c r="BK406" s="19"/>
      <c r="BL406" s="14"/>
      <c r="BM406" s="14"/>
      <c r="BN406" s="13"/>
    </row>
    <row r="407" spans="1:66" ht="14.25" x14ac:dyDescent="0.2">
      <c r="A407" t="str">
        <f t="shared" si="76"/>
        <v>A96</v>
      </c>
      <c r="B407" s="2" t="s">
        <v>658</v>
      </c>
      <c r="C407">
        <f t="shared" si="77"/>
        <v>129.5</v>
      </c>
      <c r="D407" t="str">
        <f t="shared" si="78"/>
        <v>UFD</v>
      </c>
      <c r="E407" s="169" t="str">
        <f>IF(OR(A407="",B407="",C407=""),"eine der Spalten BAB, FR, km leer?",CONCATENATE(VLOOKUP(VALUE(I407),[1]Grundlage!$A$1:$B$14,2,0),IF(LEFT(A407,1)="A",IF(VALUE(MID(A407,2,10))&lt;10,"A00"&amp;VALUE(MID(A407,2,10)),IF(VALUE(MID(A407,2,10))&lt;100,"A0"&amp;VALUE(MID(A407,2,10)),IF(VALUE(MID(A407,2,10))&lt;1000,"A"&amp;VALUE(MID(A407,2,10))))),IF(LEFT(A407,1)="B",IF(VALUE(MID(A407,2,10))&lt;10,"B00"&amp;VALUE(MID(A407,2,10)),IF(VALUE(MID(A407,2,10))&lt;100,"B0"&amp;VALUE(MID(A407,2,10)),IF(VALUE(MID(A407,2,10))&lt;1000,"B"&amp;VALUE(MID(A407,2,10))))),A407)),"_",IF(NOT(OR(C407=1000,C407&gt;1000)),MID(TEXT((C407+1000)*1000,0),2,6),"keine Meter in Spalte km!!!"),IF(VALUE(I407)=1,CONCATENATE("_",VLOOKUP(IF(V407&gt;0,V407,J407),[1]Grundlage!$A$20:$B$181,2,0)),CONCATENATE("_",B407))))</f>
        <v>UQ_A096_129500_O</v>
      </c>
      <c r="F407" s="2" t="s">
        <v>271</v>
      </c>
      <c r="G407" s="167">
        <f t="shared" si="71"/>
        <v>37531</v>
      </c>
      <c r="H407">
        <f t="shared" si="72"/>
        <v>136</v>
      </c>
      <c r="I407" s="2">
        <f t="shared" si="79"/>
        <v>3</v>
      </c>
      <c r="J407" s="2">
        <f t="shared" si="80"/>
        <v>67</v>
      </c>
      <c r="K407" s="2">
        <v>207</v>
      </c>
      <c r="L407" s="2">
        <f t="shared" si="81"/>
        <v>6</v>
      </c>
      <c r="M407" s="2">
        <f t="shared" si="82"/>
        <v>1</v>
      </c>
      <c r="N407" s="2">
        <f t="shared" si="83"/>
        <v>10</v>
      </c>
      <c r="P407" s="168">
        <f t="shared" si="84"/>
        <v>53</v>
      </c>
      <c r="AS407" s="13"/>
      <c r="AT407" s="19">
        <v>3</v>
      </c>
      <c r="AU407" s="14">
        <v>67</v>
      </c>
      <c r="AV407" s="14"/>
      <c r="AW407" s="13"/>
      <c r="AX407" s="13"/>
      <c r="AY407" s="19">
        <v>1</v>
      </c>
      <c r="AZ407" s="14">
        <f t="shared" si="85"/>
        <v>10</v>
      </c>
      <c r="BA407" s="14" t="s">
        <v>95</v>
      </c>
      <c r="BB407" s="13" t="s">
        <v>271</v>
      </c>
      <c r="BF407" s="19" t="s">
        <v>444</v>
      </c>
      <c r="BG407" s="14"/>
      <c r="BH407" s="14"/>
      <c r="BI407" s="13"/>
      <c r="BJ407" s="13"/>
      <c r="BK407" s="19"/>
      <c r="BL407" s="14"/>
      <c r="BM407" s="14"/>
      <c r="BN407" s="13"/>
    </row>
    <row r="408" spans="1:66" ht="14.25" x14ac:dyDescent="0.2">
      <c r="A408" t="str">
        <f t="shared" si="76"/>
        <v>A96</v>
      </c>
      <c r="B408" s="2" t="s">
        <v>658</v>
      </c>
      <c r="C408">
        <f t="shared" si="77"/>
        <v>129.5</v>
      </c>
      <c r="D408" t="str">
        <f t="shared" si="78"/>
        <v>UFD</v>
      </c>
      <c r="E408" s="169" t="str">
        <f>IF(OR(A408="",B408="",C408=""),"eine der Spalten BAB, FR, km leer?",CONCATENATE(VLOOKUP(VALUE(I408),[1]Grundlage!$A$1:$B$14,2,0),IF(LEFT(A408,1)="A",IF(VALUE(MID(A408,2,10))&lt;10,"A00"&amp;VALUE(MID(A408,2,10)),IF(VALUE(MID(A408,2,10))&lt;100,"A0"&amp;VALUE(MID(A408,2,10)),IF(VALUE(MID(A408,2,10))&lt;1000,"A"&amp;VALUE(MID(A408,2,10))))),IF(LEFT(A408,1)="B",IF(VALUE(MID(A408,2,10))&lt;10,"B00"&amp;VALUE(MID(A408,2,10)),IF(VALUE(MID(A408,2,10))&lt;100,"B0"&amp;VALUE(MID(A408,2,10)),IF(VALUE(MID(A408,2,10))&lt;1000,"B"&amp;VALUE(MID(A408,2,10))))),A408)),"_",IF(NOT(OR(C408=1000,C408&gt;1000)),MID(TEXT((C408+1000)*1000,0),2,6),"keine Meter in Spalte km!!!"),IF(VALUE(I408)=1,CONCATENATE("_",VLOOKUP(IF(V408&gt;0,V408,J408),[1]Grundlage!$A$20:$B$181,2,0)),CONCATENATE("_",B408))))</f>
        <v>UQ_A096_129500_O</v>
      </c>
      <c r="F408" s="2" t="s">
        <v>697</v>
      </c>
      <c r="G408" s="167">
        <f t="shared" si="71"/>
        <v>37531</v>
      </c>
      <c r="H408">
        <f t="shared" si="72"/>
        <v>136</v>
      </c>
      <c r="I408" s="2">
        <f t="shared" si="79"/>
        <v>3</v>
      </c>
      <c r="J408" s="2">
        <f t="shared" si="80"/>
        <v>82</v>
      </c>
      <c r="K408" s="2">
        <v>207</v>
      </c>
      <c r="L408" s="2">
        <f t="shared" si="81"/>
        <v>6</v>
      </c>
      <c r="M408" s="2">
        <f t="shared" si="82"/>
        <v>1</v>
      </c>
      <c r="N408" s="2">
        <f t="shared" si="83"/>
        <v>11</v>
      </c>
      <c r="P408" s="168">
        <v>72</v>
      </c>
      <c r="AS408" s="13"/>
      <c r="AT408" s="19">
        <v>3</v>
      </c>
      <c r="AU408" s="14">
        <v>82</v>
      </c>
      <c r="AV408" s="14"/>
      <c r="AW408" s="13"/>
      <c r="AX408" s="13"/>
      <c r="AY408" s="19">
        <v>1</v>
      </c>
      <c r="AZ408" s="14">
        <f t="shared" si="85"/>
        <v>11</v>
      </c>
      <c r="BA408" s="14" t="s">
        <v>78</v>
      </c>
      <c r="BB408" s="13" t="s">
        <v>400</v>
      </c>
      <c r="BF408" s="19" t="s">
        <v>466</v>
      </c>
      <c r="BG408" s="14"/>
      <c r="BH408" s="14"/>
      <c r="BI408" s="13"/>
      <c r="BJ408" s="13"/>
      <c r="BK408" s="19"/>
      <c r="BL408" s="14"/>
      <c r="BM408" s="14"/>
      <c r="BN408" s="13"/>
    </row>
    <row r="409" spans="1:66" ht="14.25" x14ac:dyDescent="0.2">
      <c r="A409" t="str">
        <f t="shared" si="76"/>
        <v>A96</v>
      </c>
      <c r="B409" s="2" t="s">
        <v>658</v>
      </c>
      <c r="C409">
        <f t="shared" si="77"/>
        <v>129.5</v>
      </c>
      <c r="D409" t="str">
        <f t="shared" si="78"/>
        <v>UFD</v>
      </c>
      <c r="E409" s="169" t="str">
        <f>IF(OR(A409="",B409="",C409=""),"eine der Spalten BAB, FR, km leer?",CONCATENATE(VLOOKUP(VALUE(I409),[1]Grundlage!$A$1:$B$14,2,0),IF(LEFT(A409,1)="A",IF(VALUE(MID(A409,2,10))&lt;10,"A00"&amp;VALUE(MID(A409,2,10)),IF(VALUE(MID(A409,2,10))&lt;100,"A0"&amp;VALUE(MID(A409,2,10)),IF(VALUE(MID(A409,2,10))&lt;1000,"A"&amp;VALUE(MID(A409,2,10))))),IF(LEFT(A409,1)="B",IF(VALUE(MID(A409,2,10))&lt;10,"B00"&amp;VALUE(MID(A409,2,10)),IF(VALUE(MID(A409,2,10))&lt;100,"B0"&amp;VALUE(MID(A409,2,10)),IF(VALUE(MID(A409,2,10))&lt;1000,"B"&amp;VALUE(MID(A409,2,10))))),A409)),"_",IF(NOT(OR(C409=1000,C409&gt;1000)),MID(TEXT((C409+1000)*1000,0),2,6),"keine Meter in Spalte km!!!"),IF(VALUE(I409)=1,CONCATENATE("_",VLOOKUP(IF(V409&gt;0,V409,J409),[1]Grundlage!$A$20:$B$181,2,0)),CONCATENATE("_",B409))))</f>
        <v>UQ_A096_129500_O</v>
      </c>
      <c r="F409" s="2" t="s">
        <v>685</v>
      </c>
      <c r="G409" s="167">
        <f t="shared" si="71"/>
        <v>37531</v>
      </c>
      <c r="H409">
        <f t="shared" si="72"/>
        <v>136</v>
      </c>
      <c r="I409" s="2">
        <f t="shared" si="79"/>
        <v>3</v>
      </c>
      <c r="J409" s="2">
        <f t="shared" si="80"/>
        <v>111</v>
      </c>
      <c r="K409" s="2">
        <v>207</v>
      </c>
      <c r="L409" s="2">
        <f t="shared" si="81"/>
        <v>6</v>
      </c>
      <c r="M409" s="2">
        <f t="shared" si="82"/>
        <v>1</v>
      </c>
      <c r="N409" s="2">
        <f t="shared" si="83"/>
        <v>12</v>
      </c>
      <c r="P409" s="168">
        <v>51</v>
      </c>
      <c r="AS409" s="13"/>
      <c r="AT409" s="19">
        <v>3</v>
      </c>
      <c r="AU409" s="14">
        <v>111</v>
      </c>
      <c r="AV409" s="14"/>
      <c r="AW409" s="13"/>
      <c r="AX409" s="13"/>
      <c r="AY409" s="19">
        <v>1</v>
      </c>
      <c r="AZ409" s="14">
        <f t="shared" si="85"/>
        <v>12</v>
      </c>
      <c r="BA409" s="14" t="s">
        <v>79</v>
      </c>
      <c r="BB409" s="13" t="s">
        <v>96</v>
      </c>
      <c r="BF409" s="19" t="s">
        <v>467</v>
      </c>
      <c r="BG409" s="14"/>
      <c r="BH409" s="14"/>
      <c r="BI409" s="13"/>
      <c r="BJ409" s="13"/>
      <c r="BK409" s="19"/>
      <c r="BL409" s="14"/>
      <c r="BM409" s="14"/>
      <c r="BN409" s="13"/>
    </row>
    <row r="410" spans="1:66" ht="14.25" x14ac:dyDescent="0.2">
      <c r="A410" t="str">
        <f t="shared" si="76"/>
        <v>A96</v>
      </c>
      <c r="B410" s="2" t="s">
        <v>658</v>
      </c>
      <c r="C410">
        <f t="shared" si="77"/>
        <v>129.5</v>
      </c>
      <c r="D410" t="str">
        <f t="shared" si="78"/>
        <v>UFD</v>
      </c>
      <c r="E410" s="169" t="str">
        <f>IF(OR(A410="",B410="",C410=""),"eine der Spalten BAB, FR, km leer?",CONCATENATE(VLOOKUP(VALUE(I410),[1]Grundlage!$A$1:$B$14,2,0),IF(LEFT(A410,1)="A",IF(VALUE(MID(A410,2,10))&lt;10,"A00"&amp;VALUE(MID(A410,2,10)),IF(VALUE(MID(A410,2,10))&lt;100,"A0"&amp;VALUE(MID(A410,2,10)),IF(VALUE(MID(A410,2,10))&lt;1000,"A"&amp;VALUE(MID(A410,2,10))))),IF(LEFT(A410,1)="B",IF(VALUE(MID(A410,2,10))&lt;10,"B00"&amp;VALUE(MID(A410,2,10)),IF(VALUE(MID(A410,2,10))&lt;100,"B0"&amp;VALUE(MID(A410,2,10)),IF(VALUE(MID(A410,2,10))&lt;1000,"B"&amp;VALUE(MID(A410,2,10))))),A410)),"_",IF(NOT(OR(C410=1000,C410&gt;1000)),MID(TEXT((C410+1000)*1000,0),2,6),"keine Meter in Spalte km!!!"),IF(VALUE(I410)=1,CONCATENATE("_",VLOOKUP(IF(V410&gt;0,V410,J410),[1]Grundlage!$A$20:$B$181,2,0)),CONCATENATE("_",B410))))</f>
        <v>UQ_A096_129500_O</v>
      </c>
      <c r="F410" s="2" t="s">
        <v>671</v>
      </c>
      <c r="G410" s="167">
        <f t="shared" si="71"/>
        <v>37531</v>
      </c>
      <c r="H410">
        <f t="shared" si="72"/>
        <v>136</v>
      </c>
      <c r="I410" s="2">
        <f t="shared" si="79"/>
        <v>3</v>
      </c>
      <c r="J410" s="2">
        <f t="shared" si="80"/>
        <v>121</v>
      </c>
      <c r="K410" s="2">
        <v>207</v>
      </c>
      <c r="L410" s="2">
        <f t="shared" si="81"/>
        <v>6</v>
      </c>
      <c r="M410" s="2">
        <f t="shared" si="82"/>
        <v>1</v>
      </c>
      <c r="N410" s="2">
        <f t="shared" si="83"/>
        <v>13</v>
      </c>
      <c r="P410" s="168">
        <v>67</v>
      </c>
      <c r="AS410" s="13"/>
      <c r="AT410" s="19">
        <v>3</v>
      </c>
      <c r="AU410" s="14">
        <v>121</v>
      </c>
      <c r="AV410" s="14"/>
      <c r="AW410" s="13"/>
      <c r="AX410" s="13"/>
      <c r="AY410" s="19">
        <v>1</v>
      </c>
      <c r="AZ410" s="14">
        <f t="shared" si="85"/>
        <v>13</v>
      </c>
      <c r="BA410" s="14" t="s">
        <v>80</v>
      </c>
      <c r="BB410" s="13" t="s">
        <v>403</v>
      </c>
      <c r="BF410" s="19" t="s">
        <v>468</v>
      </c>
      <c r="BG410" s="14"/>
      <c r="BH410" s="14"/>
      <c r="BI410" s="13"/>
      <c r="BJ410" s="13"/>
      <c r="BK410" s="19"/>
      <c r="BL410" s="14"/>
      <c r="BM410" s="14"/>
      <c r="BN410" s="13"/>
    </row>
    <row r="411" spans="1:66" ht="14.25" x14ac:dyDescent="0.2">
      <c r="A411" t="str">
        <f t="shared" si="76"/>
        <v>A96</v>
      </c>
      <c r="B411" s="2" t="s">
        <v>658</v>
      </c>
      <c r="C411">
        <f t="shared" si="77"/>
        <v>129.5</v>
      </c>
      <c r="D411" t="str">
        <f t="shared" si="78"/>
        <v>UFD</v>
      </c>
      <c r="E411" s="169" t="str">
        <f>IF(OR(A411="",B411="",C411=""),"eine der Spalten BAB, FR, km leer?",CONCATENATE(VLOOKUP(VALUE(I411),[1]Grundlage!$A$1:$B$14,2,0),IF(LEFT(A411,1)="A",IF(VALUE(MID(A411,2,10))&lt;10,"A00"&amp;VALUE(MID(A411,2,10)),IF(VALUE(MID(A411,2,10))&lt;100,"A0"&amp;VALUE(MID(A411,2,10)),IF(VALUE(MID(A411,2,10))&lt;1000,"A"&amp;VALUE(MID(A411,2,10))))),IF(LEFT(A411,1)="B",IF(VALUE(MID(A411,2,10))&lt;10,"B00"&amp;VALUE(MID(A411,2,10)),IF(VALUE(MID(A411,2,10))&lt;100,"B0"&amp;VALUE(MID(A411,2,10)),IF(VALUE(MID(A411,2,10))&lt;1000,"B"&amp;VALUE(MID(A411,2,10))))),A411)),"_",IF(NOT(OR(C411=1000,C411&gt;1000)),MID(TEXT((C411+1000)*1000,0),2,6),"keine Meter in Spalte km!!!"),IF(VALUE(I411)=1,CONCATENATE("_",VLOOKUP(IF(V411&gt;0,V411,J411),[1]Grundlage!$A$20:$B$181,2,0)),CONCATENATE("_",B411))))</f>
        <v>UQ_A096_129500_O</v>
      </c>
      <c r="F411" s="2" t="s">
        <v>670</v>
      </c>
      <c r="G411" s="167">
        <f t="shared" si="71"/>
        <v>37531</v>
      </c>
      <c r="H411">
        <f t="shared" si="72"/>
        <v>136</v>
      </c>
      <c r="I411" s="2">
        <f t="shared" si="79"/>
        <v>3</v>
      </c>
      <c r="J411" s="2">
        <f t="shared" si="80"/>
        <v>119</v>
      </c>
      <c r="K411" s="2">
        <v>207</v>
      </c>
      <c r="L411" s="2">
        <f t="shared" si="81"/>
        <v>6</v>
      </c>
      <c r="M411" s="2">
        <f t="shared" si="82"/>
        <v>1</v>
      </c>
      <c r="N411" s="2">
        <f t="shared" si="83"/>
        <v>14</v>
      </c>
      <c r="P411" s="168">
        <v>49</v>
      </c>
      <c r="AS411" s="13"/>
      <c r="AT411" s="19">
        <v>3</v>
      </c>
      <c r="AU411" s="14">
        <v>119</v>
      </c>
      <c r="AV411" s="14"/>
      <c r="AW411" s="13"/>
      <c r="AX411" s="13"/>
      <c r="AY411" s="19">
        <v>1</v>
      </c>
      <c r="AZ411" s="14">
        <f t="shared" si="85"/>
        <v>14</v>
      </c>
      <c r="BA411" s="14" t="s">
        <v>81</v>
      </c>
      <c r="BB411" s="13" t="s">
        <v>100</v>
      </c>
      <c r="BF411" s="19" t="s">
        <v>469</v>
      </c>
      <c r="BG411" s="14"/>
      <c r="BH411" s="14"/>
      <c r="BI411" s="13"/>
      <c r="BJ411" s="13"/>
      <c r="BK411" s="19"/>
      <c r="BL411" s="14"/>
      <c r="BM411" s="14"/>
      <c r="BN411" s="13"/>
    </row>
    <row r="412" spans="1:66" ht="14.25" x14ac:dyDescent="0.2">
      <c r="A412" t="str">
        <f t="shared" si="76"/>
        <v>A96</v>
      </c>
      <c r="B412" s="2" t="s">
        <v>658</v>
      </c>
      <c r="C412">
        <f t="shared" si="77"/>
        <v>129.5</v>
      </c>
      <c r="D412" t="str">
        <f t="shared" si="78"/>
        <v>UFD</v>
      </c>
      <c r="E412" s="169" t="str">
        <f>IF(OR(A412="",B412="",C412=""),"eine der Spalten BAB, FR, km leer?",CONCATENATE(VLOOKUP(VALUE(I412),[1]Grundlage!$A$1:$B$14,2,0),IF(LEFT(A412,1)="A",IF(VALUE(MID(A412,2,10))&lt;10,"A00"&amp;VALUE(MID(A412,2,10)),IF(VALUE(MID(A412,2,10))&lt;100,"A0"&amp;VALUE(MID(A412,2,10)),IF(VALUE(MID(A412,2,10))&lt;1000,"A"&amp;VALUE(MID(A412,2,10))))),IF(LEFT(A412,1)="B",IF(VALUE(MID(A412,2,10))&lt;10,"B00"&amp;VALUE(MID(A412,2,10)),IF(VALUE(MID(A412,2,10))&lt;100,"B0"&amp;VALUE(MID(A412,2,10)),IF(VALUE(MID(A412,2,10))&lt;1000,"B"&amp;VALUE(MID(A412,2,10))))),A412)),"_",IF(NOT(OR(C412=1000,C412&gt;1000)),MID(TEXT((C412+1000)*1000,0),2,6),"keine Meter in Spalte km!!!"),IF(VALUE(I412)=1,CONCATENATE("_",VLOOKUP(IF(V412&gt;0,V412,J412),[1]Grundlage!$A$20:$B$181,2,0)),CONCATENATE("_",B412))))</f>
        <v>UQ_A096_129500_O</v>
      </c>
      <c r="F412" s="2" t="s">
        <v>697</v>
      </c>
      <c r="G412" s="167">
        <f t="shared" si="71"/>
        <v>37531</v>
      </c>
      <c r="H412">
        <f t="shared" si="72"/>
        <v>136</v>
      </c>
      <c r="I412" s="2">
        <f t="shared" si="79"/>
        <v>3</v>
      </c>
      <c r="J412" s="2">
        <f t="shared" si="80"/>
        <v>182</v>
      </c>
      <c r="K412" s="2">
        <v>207</v>
      </c>
      <c r="L412" s="2">
        <f t="shared" si="81"/>
        <v>6</v>
      </c>
      <c r="M412" s="2">
        <f t="shared" si="82"/>
        <v>1</v>
      </c>
      <c r="N412" s="2">
        <f t="shared" si="83"/>
        <v>15</v>
      </c>
      <c r="P412" s="168">
        <v>72</v>
      </c>
      <c r="AS412" s="13"/>
      <c r="AT412" s="19">
        <v>3</v>
      </c>
      <c r="AU412" s="14">
        <v>182</v>
      </c>
      <c r="AV412" s="14"/>
      <c r="AW412" s="13"/>
      <c r="AX412" s="13"/>
      <c r="AY412" s="19">
        <v>1</v>
      </c>
      <c r="AZ412" s="14">
        <f t="shared" si="85"/>
        <v>15</v>
      </c>
      <c r="BA412" s="14" t="s">
        <v>82</v>
      </c>
      <c r="BB412" s="13" t="s">
        <v>401</v>
      </c>
      <c r="BF412" s="19" t="s">
        <v>470</v>
      </c>
      <c r="BG412" s="14"/>
      <c r="BH412" s="14"/>
      <c r="BI412" s="13"/>
      <c r="BJ412" s="13"/>
      <c r="BK412" s="19"/>
      <c r="BL412" s="14"/>
      <c r="BM412" s="14"/>
      <c r="BN412" s="13"/>
    </row>
    <row r="413" spans="1:66" ht="14.25" x14ac:dyDescent="0.2">
      <c r="A413" t="str">
        <f t="shared" si="76"/>
        <v>A96</v>
      </c>
      <c r="B413" s="2" t="s">
        <v>658</v>
      </c>
      <c r="C413">
        <f t="shared" si="77"/>
        <v>129.5</v>
      </c>
      <c r="D413" t="str">
        <f t="shared" si="78"/>
        <v>UFD</v>
      </c>
      <c r="E413" s="169" t="str">
        <f>IF(OR(A413="",B413="",C413=""),"eine der Spalten BAB, FR, km leer?",CONCATENATE(VLOOKUP(VALUE(I413),[1]Grundlage!$A$1:$B$14,2,0),IF(LEFT(A413,1)="A",IF(VALUE(MID(A413,2,10))&lt;10,"A00"&amp;VALUE(MID(A413,2,10)),IF(VALUE(MID(A413,2,10))&lt;100,"A0"&amp;VALUE(MID(A413,2,10)),IF(VALUE(MID(A413,2,10))&lt;1000,"A"&amp;VALUE(MID(A413,2,10))))),IF(LEFT(A413,1)="B",IF(VALUE(MID(A413,2,10))&lt;10,"B00"&amp;VALUE(MID(A413,2,10)),IF(VALUE(MID(A413,2,10))&lt;100,"B0"&amp;VALUE(MID(A413,2,10)),IF(VALUE(MID(A413,2,10))&lt;1000,"B"&amp;VALUE(MID(A413,2,10))))),A413)),"_",IF(NOT(OR(C413=1000,C413&gt;1000)),MID(TEXT((C413+1000)*1000,0),2,6),"keine Meter in Spalte km!!!"),IF(VALUE(I413)=1,CONCATENATE("_",VLOOKUP(IF(V413&gt;0,V413,J413),[1]Grundlage!$A$20:$B$181,2,0)),CONCATENATE("_",B413))))</f>
        <v>UQ_A096_129500_O</v>
      </c>
      <c r="F413" s="2" t="s">
        <v>684</v>
      </c>
      <c r="G413" s="167">
        <f t="shared" si="71"/>
        <v>37531</v>
      </c>
      <c r="H413">
        <f t="shared" si="72"/>
        <v>136</v>
      </c>
      <c r="I413" s="2">
        <f t="shared" si="79"/>
        <v>3</v>
      </c>
      <c r="J413" s="2">
        <f t="shared" si="80"/>
        <v>16</v>
      </c>
      <c r="K413" s="2">
        <v>207</v>
      </c>
      <c r="L413" s="2">
        <f t="shared" si="81"/>
        <v>6</v>
      </c>
      <c r="M413" s="2">
        <f t="shared" si="82"/>
        <v>1</v>
      </c>
      <c r="N413" s="2">
        <f t="shared" si="83"/>
        <v>16</v>
      </c>
      <c r="P413" s="168">
        <v>65</v>
      </c>
      <c r="AS413" s="13"/>
      <c r="AT413" s="19">
        <v>3</v>
      </c>
      <c r="AU413" s="14">
        <v>16</v>
      </c>
      <c r="AV413" s="14"/>
      <c r="AW413" s="13"/>
      <c r="AX413" s="13"/>
      <c r="AY413" s="19">
        <v>1</v>
      </c>
      <c r="AZ413" s="14">
        <v>16</v>
      </c>
      <c r="BA413" s="14">
        <v>10</v>
      </c>
      <c r="BB413" s="13" t="s">
        <v>99</v>
      </c>
      <c r="BF413" s="19" t="s">
        <v>471</v>
      </c>
      <c r="BG413" s="14"/>
      <c r="BH413" s="14"/>
      <c r="BI413" s="13"/>
      <c r="BJ413" s="13"/>
      <c r="BK413" s="19"/>
      <c r="BL413" s="14"/>
      <c r="BM413" s="14"/>
      <c r="BN413" s="13"/>
    </row>
    <row r="414" spans="1:66" ht="14.25" x14ac:dyDescent="0.2">
      <c r="A414" t="str">
        <f t="shared" si="76"/>
        <v>A96</v>
      </c>
      <c r="C414">
        <f t="shared" si="77"/>
        <v>129.5</v>
      </c>
      <c r="D414" t="str">
        <f t="shared" si="78"/>
        <v/>
      </c>
      <c r="E414" s="169" t="str">
        <f>IF(OR(A414="",B414="",C414=""),"",CONCATENATE(VLOOKUP(VALUE(I414),[1]Grundlage!$A$1:$B$14,2,0),IF(LEFT(A414,1)="A",IF(VALUE(MID(A414,2,10))&lt;10,"A00"&amp;VALUE(MID(A414,2,10)),IF(VALUE(MID(A414,2,10))&lt;100,"A0"&amp;VALUE(MID(A414,2,10)),IF(VALUE(MID(A414,2,10))&lt;1000,"A"&amp;VALUE(MID(A414,2,10))))),IF(LEFT(A414,1)="B",IF(VALUE(MID(A414,2,10))&lt;10,"B00"&amp;VALUE(MID(A414,2,10)),IF(VALUE(MID(A414,2,10))&lt;100,"B0"&amp;VALUE(MID(A414,2,10)),IF(VALUE(MID(A414,2,10))&lt;1000,"B"&amp;VALUE(MID(A414,2,10))))),A414)),"_",IF(NOT(OR(C414=1000,C414&gt;1000)),MID(TEXT((C414+1000)*1000,0),2,6),"keine Meter in Spalte km!!!"),IF(VALUE(I414)=1,CONCATENATE("_",VLOOKUP(IF(V414&gt;0,V414,J414),[1]Grundlage!$A$20:$B$181,2,0)),CONCATENATE("_",B414))))</f>
        <v/>
      </c>
      <c r="F414" s="2" t="s">
        <v>669</v>
      </c>
      <c r="G414" s="167">
        <f t="shared" si="71"/>
        <v>37531</v>
      </c>
      <c r="H414">
        <f t="shared" si="72"/>
        <v>136</v>
      </c>
      <c r="I414" s="2">
        <f t="shared" si="79"/>
        <v>0</v>
      </c>
      <c r="J414" s="2">
        <f t="shared" si="80"/>
        <v>0</v>
      </c>
      <c r="K414" s="2">
        <v>207</v>
      </c>
      <c r="L414" s="2">
        <f t="shared" si="81"/>
        <v>6</v>
      </c>
      <c r="M414" s="2" t="str">
        <f t="shared" si="82"/>
        <v/>
      </c>
      <c r="N414" s="2" t="str">
        <f t="shared" si="83"/>
        <v/>
      </c>
      <c r="P414" s="168" t="str">
        <f t="shared" si="84"/>
        <v/>
      </c>
      <c r="AT414" s="19"/>
      <c r="AU414" s="14"/>
      <c r="AV414" s="14"/>
      <c r="AY414" s="1"/>
      <c r="AZ414" s="14"/>
      <c r="BA414" s="14"/>
      <c r="BB414" s="13"/>
    </row>
    <row r="415" spans="1:66" ht="14.25" x14ac:dyDescent="0.2">
      <c r="A415" t="str">
        <f t="shared" si="76"/>
        <v>A96</v>
      </c>
      <c r="C415">
        <f t="shared" si="77"/>
        <v>138.5</v>
      </c>
      <c r="D415"/>
      <c r="E415" s="169" t="str">
        <f>IF(OR(A415="",B415="",C415=""),"",CONCATENATE(VLOOKUP(VALUE(I415),[1]Grundlage!$A$1:$B$14,2,0),IF(LEFT(A415,1)="A",IF(VALUE(MID(A415,2,10))&lt;10,"A00"&amp;VALUE(MID(A415,2,10)),IF(VALUE(MID(A415,2,10))&lt;100,"A0"&amp;VALUE(MID(A415,2,10)),IF(VALUE(MID(A415,2,10))&lt;1000,"A"&amp;VALUE(MID(A415,2,10))))),IF(LEFT(A415,1)="B",IF(VALUE(MID(A415,2,10))&lt;10,"B00"&amp;VALUE(MID(A415,2,10)),IF(VALUE(MID(A415,2,10))&lt;100,"B0"&amp;VALUE(MID(A415,2,10)),IF(VALUE(MID(A415,2,10))&lt;1000,"B"&amp;VALUE(MID(A415,2,10))))),A415)),"_",IF(NOT(OR(C415=1000,C415&gt;1000)),MID(TEXT((C415+1000)*1000,0),2,6),"keine Meter in Spalte km!!!"),IF(VALUE(I415)=1,CONCATENATE("_",VLOOKUP(IF(V415&gt;0,V415,J415),[1]Grundlage!$A$20:$B$181,2,0)),CONCATENATE("_",B415))))</f>
        <v/>
      </c>
      <c r="G415" s="167">
        <f t="shared" si="71"/>
        <v>37571</v>
      </c>
      <c r="H415">
        <f t="shared" si="72"/>
        <v>16</v>
      </c>
      <c r="I415" s="2">
        <f t="shared" si="79"/>
        <v>0</v>
      </c>
      <c r="J415" s="2">
        <f t="shared" si="80"/>
        <v>0</v>
      </c>
      <c r="K415" s="2">
        <v>207</v>
      </c>
      <c r="L415" s="2">
        <f t="shared" si="81"/>
        <v>7</v>
      </c>
      <c r="M415" s="2" t="str">
        <f t="shared" si="82"/>
        <v/>
      </c>
      <c r="N415" s="2" t="str">
        <f t="shared" si="83"/>
        <v/>
      </c>
      <c r="P415" s="168" t="str">
        <f t="shared" si="84"/>
        <v/>
      </c>
      <c r="AI415" s="35">
        <v>138.5</v>
      </c>
      <c r="AJ415" s="36" t="s">
        <v>19</v>
      </c>
      <c r="AK415" s="36" t="s">
        <v>51</v>
      </c>
      <c r="AL415" s="36"/>
      <c r="AM415" s="36"/>
      <c r="AN415" s="36"/>
      <c r="AO415" s="36"/>
      <c r="AP415" s="36">
        <v>9618192</v>
      </c>
      <c r="AQ415" s="88">
        <v>92</v>
      </c>
      <c r="AR415" s="88" t="s">
        <v>238</v>
      </c>
      <c r="AS415" s="88">
        <v>10</v>
      </c>
      <c r="AT415" s="88"/>
      <c r="AU415" s="88"/>
      <c r="AV415" s="88"/>
      <c r="AW415" s="88"/>
      <c r="AX415" s="88">
        <v>7</v>
      </c>
      <c r="AY415" s="88"/>
      <c r="AZ415" s="88"/>
      <c r="BA415" s="88"/>
      <c r="BB415" s="89" t="s">
        <v>105</v>
      </c>
      <c r="BC415" s="38"/>
      <c r="BD415" s="99" t="s">
        <v>163</v>
      </c>
      <c r="BE415" s="39" t="s">
        <v>103</v>
      </c>
      <c r="BF415" s="2" t="s">
        <v>452</v>
      </c>
    </row>
    <row r="416" spans="1:66" ht="14.25" x14ac:dyDescent="0.2">
      <c r="A416" t="str">
        <f t="shared" si="76"/>
        <v>A96</v>
      </c>
      <c r="C416">
        <f t="shared" si="77"/>
        <v>138.5</v>
      </c>
      <c r="D416"/>
      <c r="E416" s="169" t="str">
        <f>IF(OR(A416="",B416="",C416=""),"",CONCATENATE(VLOOKUP(VALUE(I416),[1]Grundlage!$A$1:$B$14,2,0),IF(LEFT(A416,1)="A",IF(VALUE(MID(A416,2,10))&lt;10,"A00"&amp;VALUE(MID(A416,2,10)),IF(VALUE(MID(A416,2,10))&lt;100,"A0"&amp;VALUE(MID(A416,2,10)),IF(VALUE(MID(A416,2,10))&lt;1000,"A"&amp;VALUE(MID(A416,2,10))))),IF(LEFT(A416,1)="B",IF(VALUE(MID(A416,2,10))&lt;10,"B00"&amp;VALUE(MID(A416,2,10)),IF(VALUE(MID(A416,2,10))&lt;100,"B0"&amp;VALUE(MID(A416,2,10)),IF(VALUE(MID(A416,2,10))&lt;1000,"B"&amp;VALUE(MID(A416,2,10))))),A416)),"_",IF(NOT(OR(C416=1000,C416&gt;1000)),MID(TEXT((C416+1000)*1000,0),2,6),"keine Meter in Spalte km!!!"),IF(VALUE(I416)=1,CONCATENATE("_",VLOOKUP(IF(V416&gt;0,V416,J416),[1]Grundlage!$A$20:$B$181,2,0)),CONCATENATE("_",B416))))</f>
        <v/>
      </c>
      <c r="G416" s="167">
        <f t="shared" si="71"/>
        <v>37571</v>
      </c>
      <c r="H416">
        <f t="shared" si="72"/>
        <v>16</v>
      </c>
      <c r="I416" s="2">
        <f t="shared" si="79"/>
        <v>3</v>
      </c>
      <c r="J416" s="2">
        <f t="shared" si="80"/>
        <v>6</v>
      </c>
      <c r="K416" s="2">
        <v>207</v>
      </c>
      <c r="L416" s="2">
        <f t="shared" si="81"/>
        <v>7</v>
      </c>
      <c r="M416" s="2">
        <f t="shared" si="82"/>
        <v>1</v>
      </c>
      <c r="N416" s="2">
        <f t="shared" si="83"/>
        <v>1</v>
      </c>
      <c r="P416" s="168">
        <f t="shared" si="84"/>
        <v>71</v>
      </c>
      <c r="AQ416" s="90"/>
      <c r="AR416" s="106"/>
      <c r="AS416" s="106"/>
      <c r="AT416" s="107">
        <v>3</v>
      </c>
      <c r="AU416" s="108">
        <v>6</v>
      </c>
      <c r="AV416" s="109"/>
      <c r="AW416" s="107"/>
      <c r="AX416" s="107"/>
      <c r="AY416" s="107">
        <v>1</v>
      </c>
      <c r="AZ416" s="108">
        <v>1</v>
      </c>
      <c r="BA416" s="109">
        <v>1</v>
      </c>
      <c r="BB416" s="110" t="s">
        <v>269</v>
      </c>
    </row>
    <row r="417" spans="1:58" ht="14.25" x14ac:dyDescent="0.2">
      <c r="A417" t="str">
        <f t="shared" si="76"/>
        <v>A96</v>
      </c>
      <c r="C417">
        <f t="shared" si="77"/>
        <v>138.5</v>
      </c>
      <c r="D417"/>
      <c r="E417" s="169" t="str">
        <f>IF(OR(A417="",B417="",C417=""),"",CONCATENATE(VLOOKUP(VALUE(I417),[1]Grundlage!$A$1:$B$14,2,0),IF(LEFT(A417,1)="A",IF(VALUE(MID(A417,2,10))&lt;10,"A00"&amp;VALUE(MID(A417,2,10)),IF(VALUE(MID(A417,2,10))&lt;100,"A0"&amp;VALUE(MID(A417,2,10)),IF(VALUE(MID(A417,2,10))&lt;1000,"A"&amp;VALUE(MID(A417,2,10))))),IF(LEFT(A417,1)="B",IF(VALUE(MID(A417,2,10))&lt;10,"B00"&amp;VALUE(MID(A417,2,10)),IF(VALUE(MID(A417,2,10))&lt;100,"B0"&amp;VALUE(MID(A417,2,10)),IF(VALUE(MID(A417,2,10))&lt;1000,"B"&amp;VALUE(MID(A417,2,10))))),A417)),"_",IF(NOT(OR(C417=1000,C417&gt;1000)),MID(TEXT((C417+1000)*1000,0),2,6),"keine Meter in Spalte km!!!"),IF(VALUE(I417)=1,CONCATENATE("_",VLOOKUP(IF(V417&gt;0,V417,J417),[1]Grundlage!$A$20:$B$181,2,0)),CONCATENATE("_",B417))))</f>
        <v/>
      </c>
      <c r="G417" s="167">
        <f t="shared" si="71"/>
        <v>37571</v>
      </c>
      <c r="H417">
        <f t="shared" si="72"/>
        <v>16</v>
      </c>
      <c r="I417" s="2">
        <f t="shared" si="79"/>
        <v>3</v>
      </c>
      <c r="J417" s="2">
        <f t="shared" si="80"/>
        <v>11</v>
      </c>
      <c r="K417" s="2">
        <v>207</v>
      </c>
      <c r="L417" s="2">
        <f t="shared" si="81"/>
        <v>7</v>
      </c>
      <c r="M417" s="2">
        <f t="shared" si="82"/>
        <v>1</v>
      </c>
      <c r="N417" s="2">
        <f t="shared" si="83"/>
        <v>2</v>
      </c>
      <c r="P417" s="168">
        <f t="shared" si="84"/>
        <v>70</v>
      </c>
      <c r="AQ417" s="90"/>
      <c r="AR417" s="106"/>
      <c r="AS417" s="106"/>
      <c r="AT417" s="107">
        <v>3</v>
      </c>
      <c r="AU417" s="108">
        <v>11</v>
      </c>
      <c r="AV417" s="108"/>
      <c r="AW417" s="110"/>
      <c r="AX417" s="110"/>
      <c r="AY417" s="107">
        <v>1</v>
      </c>
      <c r="AZ417" s="108">
        <f>AZ416+1</f>
        <v>2</v>
      </c>
      <c r="BA417" s="108">
        <v>2</v>
      </c>
      <c r="BB417" s="110" t="s">
        <v>270</v>
      </c>
    </row>
    <row r="418" spans="1:58" ht="14.25" x14ac:dyDescent="0.2">
      <c r="A418" t="str">
        <f t="shared" si="76"/>
        <v>A96</v>
      </c>
      <c r="C418">
        <f t="shared" si="77"/>
        <v>138.5</v>
      </c>
      <c r="D418"/>
      <c r="E418" s="169" t="str">
        <f>IF(OR(A418="",B418="",C418=""),"",CONCATENATE(VLOOKUP(VALUE(I418),[1]Grundlage!$A$1:$B$14,2,0),IF(LEFT(A418,1)="A",IF(VALUE(MID(A418,2,10))&lt;10,"A00"&amp;VALUE(MID(A418,2,10)),IF(VALUE(MID(A418,2,10))&lt;100,"A0"&amp;VALUE(MID(A418,2,10)),IF(VALUE(MID(A418,2,10))&lt;1000,"A"&amp;VALUE(MID(A418,2,10))))),IF(LEFT(A418,1)="B",IF(VALUE(MID(A418,2,10))&lt;10,"B00"&amp;VALUE(MID(A418,2,10)),IF(VALUE(MID(A418,2,10))&lt;100,"B0"&amp;VALUE(MID(A418,2,10)),IF(VALUE(MID(A418,2,10))&lt;1000,"B"&amp;VALUE(MID(A418,2,10))))),A418)),"_",IF(NOT(OR(C418=1000,C418&gt;1000)),MID(TEXT((C418+1000)*1000,0),2,6),"keine Meter in Spalte km!!!"),IF(VALUE(I418)=1,CONCATENATE("_",VLOOKUP(IF(V418&gt;0,V418,J418),[1]Grundlage!$A$20:$B$181,2,0)),CONCATENATE("_",B418))))</f>
        <v/>
      </c>
      <c r="G418" s="167">
        <f t="shared" si="71"/>
        <v>37571</v>
      </c>
      <c r="H418">
        <f t="shared" si="72"/>
        <v>16</v>
      </c>
      <c r="I418" s="2">
        <f t="shared" si="79"/>
        <v>3</v>
      </c>
      <c r="J418" s="2">
        <f t="shared" si="80"/>
        <v>12</v>
      </c>
      <c r="K418" s="2">
        <v>207</v>
      </c>
      <c r="L418" s="2">
        <f t="shared" si="81"/>
        <v>7</v>
      </c>
      <c r="M418" s="2">
        <f t="shared" si="82"/>
        <v>1</v>
      </c>
      <c r="N418" s="2">
        <f t="shared" si="83"/>
        <v>3</v>
      </c>
      <c r="P418" s="168">
        <f t="shared" si="84"/>
        <v>48</v>
      </c>
      <c r="AQ418" s="90"/>
      <c r="AR418" s="106"/>
      <c r="AS418" s="106"/>
      <c r="AT418" s="107">
        <v>3</v>
      </c>
      <c r="AU418" s="108">
        <v>12</v>
      </c>
      <c r="AV418" s="108"/>
      <c r="AW418" s="110"/>
      <c r="AX418" s="110"/>
      <c r="AY418" s="107">
        <v>1</v>
      </c>
      <c r="AZ418" s="108">
        <f t="shared" ref="AZ418:AZ430" si="86">AZ417+1</f>
        <v>3</v>
      </c>
      <c r="BA418" s="108">
        <v>3</v>
      </c>
      <c r="BB418" s="110" t="s">
        <v>25</v>
      </c>
    </row>
    <row r="419" spans="1:58" ht="14.25" x14ac:dyDescent="0.2">
      <c r="A419" t="str">
        <f t="shared" si="76"/>
        <v>A96</v>
      </c>
      <c r="C419">
        <f t="shared" si="77"/>
        <v>138.5</v>
      </c>
      <c r="D419"/>
      <c r="E419" s="169" t="str">
        <f>IF(OR(A419="",B419="",C419=""),"",CONCATENATE(VLOOKUP(VALUE(I419),[1]Grundlage!$A$1:$B$14,2,0),IF(LEFT(A419,1)="A",IF(VALUE(MID(A419,2,10))&lt;10,"A00"&amp;VALUE(MID(A419,2,10)),IF(VALUE(MID(A419,2,10))&lt;100,"A0"&amp;VALUE(MID(A419,2,10)),IF(VALUE(MID(A419,2,10))&lt;1000,"A"&amp;VALUE(MID(A419,2,10))))),IF(LEFT(A419,1)="B",IF(VALUE(MID(A419,2,10))&lt;10,"B00"&amp;VALUE(MID(A419,2,10)),IF(VALUE(MID(A419,2,10))&lt;100,"B0"&amp;VALUE(MID(A419,2,10)),IF(VALUE(MID(A419,2,10))&lt;1000,"B"&amp;VALUE(MID(A419,2,10))))),A419)),"_",IF(NOT(OR(C419=1000,C419&gt;1000)),MID(TEXT((C419+1000)*1000,0),2,6),"keine Meter in Spalte km!!!"),IF(VALUE(I419)=1,CONCATENATE("_",VLOOKUP(IF(V419&gt;0,V419,J419),[1]Grundlage!$A$20:$B$181,2,0)),CONCATENATE("_",B419))))</f>
        <v/>
      </c>
      <c r="G419" s="167">
        <f t="shared" si="71"/>
        <v>37571</v>
      </c>
      <c r="H419">
        <f t="shared" si="72"/>
        <v>16</v>
      </c>
      <c r="I419" s="2">
        <f t="shared" si="79"/>
        <v>3</v>
      </c>
      <c r="J419" s="2">
        <f t="shared" si="80"/>
        <v>13</v>
      </c>
      <c r="K419" s="2">
        <v>207</v>
      </c>
      <c r="L419" s="2">
        <f t="shared" si="81"/>
        <v>7</v>
      </c>
      <c r="M419" s="2">
        <f t="shared" si="82"/>
        <v>1</v>
      </c>
      <c r="N419" s="2">
        <f t="shared" si="83"/>
        <v>4</v>
      </c>
      <c r="P419" s="168">
        <f t="shared" si="84"/>
        <v>55</v>
      </c>
      <c r="AQ419" s="90"/>
      <c r="AR419" s="106"/>
      <c r="AS419" s="106"/>
      <c r="AT419" s="107">
        <v>3</v>
      </c>
      <c r="AU419" s="108">
        <v>13</v>
      </c>
      <c r="AV419" s="108"/>
      <c r="AW419" s="110"/>
      <c r="AX419" s="110"/>
      <c r="AY419" s="107">
        <v>1</v>
      </c>
      <c r="AZ419" s="108">
        <f t="shared" si="86"/>
        <v>4</v>
      </c>
      <c r="BA419" s="108">
        <v>4</v>
      </c>
      <c r="BB419" s="110" t="s">
        <v>26</v>
      </c>
    </row>
    <row r="420" spans="1:58" ht="14.25" x14ac:dyDescent="0.2">
      <c r="A420" t="str">
        <f t="shared" si="76"/>
        <v>A96</v>
      </c>
      <c r="C420">
        <f t="shared" si="77"/>
        <v>138.5</v>
      </c>
      <c r="D420"/>
      <c r="E420" s="169" t="str">
        <f>IF(OR(A420="",B420="",C420=""),"",CONCATENATE(VLOOKUP(VALUE(I420),[1]Grundlage!$A$1:$B$14,2,0),IF(LEFT(A420,1)="A",IF(VALUE(MID(A420,2,10))&lt;10,"A00"&amp;VALUE(MID(A420,2,10)),IF(VALUE(MID(A420,2,10))&lt;100,"A0"&amp;VALUE(MID(A420,2,10)),IF(VALUE(MID(A420,2,10))&lt;1000,"A"&amp;VALUE(MID(A420,2,10))))),IF(LEFT(A420,1)="B",IF(VALUE(MID(A420,2,10))&lt;10,"B00"&amp;VALUE(MID(A420,2,10)),IF(VALUE(MID(A420,2,10))&lt;100,"B0"&amp;VALUE(MID(A420,2,10)),IF(VALUE(MID(A420,2,10))&lt;1000,"B"&amp;VALUE(MID(A420,2,10))))),A420)),"_",IF(NOT(OR(C420=1000,C420&gt;1000)),MID(TEXT((C420+1000)*1000,0),2,6),"keine Meter in Spalte km!!!"),IF(VALUE(I420)=1,CONCATENATE("_",VLOOKUP(IF(V420&gt;0,V420,J420),[1]Grundlage!$A$20:$B$181,2,0)),CONCATENATE("_",B420))))</f>
        <v/>
      </c>
      <c r="G420" s="167">
        <f t="shared" si="71"/>
        <v>37571</v>
      </c>
      <c r="H420">
        <f t="shared" si="72"/>
        <v>16</v>
      </c>
      <c r="I420" s="2">
        <f t="shared" si="79"/>
        <v>3</v>
      </c>
      <c r="J420" s="2">
        <f t="shared" si="80"/>
        <v>14</v>
      </c>
      <c r="K420" s="2">
        <v>207</v>
      </c>
      <c r="L420" s="2">
        <f t="shared" si="81"/>
        <v>7</v>
      </c>
      <c r="M420" s="2">
        <f t="shared" si="82"/>
        <v>1</v>
      </c>
      <c r="N420" s="2">
        <f t="shared" si="83"/>
        <v>5</v>
      </c>
      <c r="P420" s="168">
        <f t="shared" si="84"/>
        <v>66</v>
      </c>
      <c r="AQ420" s="90"/>
      <c r="AR420" s="106"/>
      <c r="AS420" s="106"/>
      <c r="AT420" s="107">
        <v>3</v>
      </c>
      <c r="AU420" s="108">
        <v>14</v>
      </c>
      <c r="AV420" s="108"/>
      <c r="AW420" s="110"/>
      <c r="AX420" s="110"/>
      <c r="AY420" s="107">
        <v>1</v>
      </c>
      <c r="AZ420" s="108">
        <f t="shared" si="86"/>
        <v>5</v>
      </c>
      <c r="BA420" s="108">
        <v>5</v>
      </c>
      <c r="BB420" s="110" t="s">
        <v>27</v>
      </c>
    </row>
    <row r="421" spans="1:58" ht="14.25" x14ac:dyDescent="0.2">
      <c r="A421" t="str">
        <f t="shared" si="76"/>
        <v>A96</v>
      </c>
      <c r="C421">
        <f t="shared" si="77"/>
        <v>138.5</v>
      </c>
      <c r="D421"/>
      <c r="E421" s="169" t="str">
        <f>IF(OR(A421="",B421="",C421=""),"",CONCATENATE(VLOOKUP(VALUE(I421),[1]Grundlage!$A$1:$B$14,2,0),IF(LEFT(A421,1)="A",IF(VALUE(MID(A421,2,10))&lt;10,"A00"&amp;VALUE(MID(A421,2,10)),IF(VALUE(MID(A421,2,10))&lt;100,"A0"&amp;VALUE(MID(A421,2,10)),IF(VALUE(MID(A421,2,10))&lt;1000,"A"&amp;VALUE(MID(A421,2,10))))),IF(LEFT(A421,1)="B",IF(VALUE(MID(A421,2,10))&lt;10,"B00"&amp;VALUE(MID(A421,2,10)),IF(VALUE(MID(A421,2,10))&lt;100,"B0"&amp;VALUE(MID(A421,2,10)),IF(VALUE(MID(A421,2,10))&lt;1000,"B"&amp;VALUE(MID(A421,2,10))))),A421)),"_",IF(NOT(OR(C421=1000,C421&gt;1000)),MID(TEXT((C421+1000)*1000,0),2,6),"keine Meter in Spalte km!!!"),IF(VALUE(I421)=1,CONCATENATE("_",VLOOKUP(IF(V421&gt;0,V421,J421),[1]Grundlage!$A$20:$B$181,2,0)),CONCATENATE("_",B421))))</f>
        <v/>
      </c>
      <c r="G421" s="167">
        <f t="shared" si="71"/>
        <v>37571</v>
      </c>
      <c r="H421">
        <f t="shared" si="72"/>
        <v>16</v>
      </c>
      <c r="I421" s="2">
        <f t="shared" si="79"/>
        <v>3</v>
      </c>
      <c r="J421" s="2">
        <f t="shared" si="80"/>
        <v>15</v>
      </c>
      <c r="K421" s="2">
        <v>207</v>
      </c>
      <c r="L421" s="2">
        <f t="shared" si="81"/>
        <v>7</v>
      </c>
      <c r="M421" s="2">
        <f t="shared" si="82"/>
        <v>1</v>
      </c>
      <c r="N421" s="2">
        <f t="shared" si="83"/>
        <v>6</v>
      </c>
      <c r="P421" s="168"/>
      <c r="AQ421" s="90"/>
      <c r="AR421" s="106"/>
      <c r="AS421" s="106"/>
      <c r="AT421" s="107">
        <v>3</v>
      </c>
      <c r="AU421" s="108">
        <v>15</v>
      </c>
      <c r="AV421" s="108"/>
      <c r="AW421" s="110"/>
      <c r="AX421" s="110"/>
      <c r="AY421" s="107">
        <v>1</v>
      </c>
      <c r="AZ421" s="108">
        <f t="shared" si="86"/>
        <v>6</v>
      </c>
      <c r="BA421" s="108">
        <v>6</v>
      </c>
      <c r="BB421" s="110" t="s">
        <v>97</v>
      </c>
    </row>
    <row r="422" spans="1:58" ht="14.25" x14ac:dyDescent="0.2">
      <c r="A422" t="str">
        <f t="shared" si="76"/>
        <v>A96</v>
      </c>
      <c r="C422">
        <f t="shared" si="77"/>
        <v>138.5</v>
      </c>
      <c r="D422"/>
      <c r="E422" s="169" t="str">
        <f>IF(OR(A422="",B422="",C422=""),"",CONCATENATE(VLOOKUP(VALUE(I422),[1]Grundlage!$A$1:$B$14,2,0),IF(LEFT(A422,1)="A",IF(VALUE(MID(A422,2,10))&lt;10,"A00"&amp;VALUE(MID(A422,2,10)),IF(VALUE(MID(A422,2,10))&lt;100,"A0"&amp;VALUE(MID(A422,2,10)),IF(VALUE(MID(A422,2,10))&lt;1000,"A"&amp;VALUE(MID(A422,2,10))))),IF(LEFT(A422,1)="B",IF(VALUE(MID(A422,2,10))&lt;10,"B00"&amp;VALUE(MID(A422,2,10)),IF(VALUE(MID(A422,2,10))&lt;100,"B0"&amp;VALUE(MID(A422,2,10)),IF(VALUE(MID(A422,2,10))&lt;1000,"B"&amp;VALUE(MID(A422,2,10))))),A422)),"_",IF(NOT(OR(C422=1000,C422&gt;1000)),MID(TEXT((C422+1000)*1000,0),2,6),"keine Meter in Spalte km!!!"),IF(VALUE(I422)=1,CONCATENATE("_",VLOOKUP(IF(V422&gt;0,V422,J422),[1]Grundlage!$A$20:$B$181,2,0)),CONCATENATE("_",B422))))</f>
        <v/>
      </c>
      <c r="G422" s="167">
        <f t="shared" si="71"/>
        <v>37571</v>
      </c>
      <c r="H422">
        <f t="shared" si="72"/>
        <v>16</v>
      </c>
      <c r="I422" s="2">
        <f t="shared" si="79"/>
        <v>3</v>
      </c>
      <c r="J422" s="2">
        <f t="shared" si="80"/>
        <v>19</v>
      </c>
      <c r="K422" s="2">
        <v>207</v>
      </c>
      <c r="L422" s="2">
        <f t="shared" si="81"/>
        <v>7</v>
      </c>
      <c r="M422" s="2">
        <f t="shared" si="82"/>
        <v>1</v>
      </c>
      <c r="N422" s="2">
        <f t="shared" si="83"/>
        <v>7</v>
      </c>
      <c r="P422" s="168"/>
      <c r="AQ422" s="90"/>
      <c r="AR422" s="106"/>
      <c r="AS422" s="106"/>
      <c r="AT422" s="107">
        <v>3</v>
      </c>
      <c r="AU422" s="108">
        <v>19</v>
      </c>
      <c r="AV422" s="108"/>
      <c r="AW422" s="110"/>
      <c r="AX422" s="110"/>
      <c r="AY422" s="107">
        <v>1</v>
      </c>
      <c r="AZ422" s="108">
        <f t="shared" si="86"/>
        <v>7</v>
      </c>
      <c r="BA422" s="108">
        <v>7</v>
      </c>
      <c r="BB422" s="110" t="s">
        <v>98</v>
      </c>
    </row>
    <row r="423" spans="1:58" ht="14.25" x14ac:dyDescent="0.2">
      <c r="A423" t="str">
        <f t="shared" si="76"/>
        <v>A96</v>
      </c>
      <c r="C423">
        <f t="shared" si="77"/>
        <v>138.5</v>
      </c>
      <c r="D423"/>
      <c r="E423" s="169" t="str">
        <f>IF(OR(A423="",B423="",C423=""),"",CONCATENATE(VLOOKUP(VALUE(I423),[1]Grundlage!$A$1:$B$14,2,0),IF(LEFT(A423,1)="A",IF(VALUE(MID(A423,2,10))&lt;10,"A00"&amp;VALUE(MID(A423,2,10)),IF(VALUE(MID(A423,2,10))&lt;100,"A0"&amp;VALUE(MID(A423,2,10)),IF(VALUE(MID(A423,2,10))&lt;1000,"A"&amp;VALUE(MID(A423,2,10))))),IF(LEFT(A423,1)="B",IF(VALUE(MID(A423,2,10))&lt;10,"B00"&amp;VALUE(MID(A423,2,10)),IF(VALUE(MID(A423,2,10))&lt;100,"B0"&amp;VALUE(MID(A423,2,10)),IF(VALUE(MID(A423,2,10))&lt;1000,"B"&amp;VALUE(MID(A423,2,10))))),A423)),"_",IF(NOT(OR(C423=1000,C423&gt;1000)),MID(TEXT((C423+1000)*1000,0),2,6),"keine Meter in Spalte km!!!"),IF(VALUE(I423)=1,CONCATENATE("_",VLOOKUP(IF(V423&gt;0,V423,J423),[1]Grundlage!$A$20:$B$181,2,0)),CONCATENATE("_",B423))))</f>
        <v/>
      </c>
      <c r="G423" s="167">
        <f t="shared" ref="G423:G486" si="87">IF(ISBLANK(AP423),G422,INT(AP423/256))</f>
        <v>37571</v>
      </c>
      <c r="H423">
        <f t="shared" ref="H423:H486" si="88">IF(ISBLANK(AP423),H422,MOD(AP423,256))</f>
        <v>16</v>
      </c>
      <c r="I423" s="2">
        <f t="shared" si="79"/>
        <v>3</v>
      </c>
      <c r="J423" s="2">
        <f t="shared" si="80"/>
        <v>21</v>
      </c>
      <c r="K423" s="2">
        <v>207</v>
      </c>
      <c r="L423" s="2">
        <f t="shared" si="81"/>
        <v>7</v>
      </c>
      <c r="M423" s="2">
        <f t="shared" si="82"/>
        <v>1</v>
      </c>
      <c r="N423" s="2">
        <f t="shared" si="83"/>
        <v>8</v>
      </c>
      <c r="P423" s="168"/>
      <c r="AQ423" s="90"/>
      <c r="AR423" s="106"/>
      <c r="AS423" s="106"/>
      <c r="AT423" s="107">
        <v>3</v>
      </c>
      <c r="AU423" s="108">
        <v>21</v>
      </c>
      <c r="AV423" s="108"/>
      <c r="AW423" s="110"/>
      <c r="AX423" s="110"/>
      <c r="AY423" s="107">
        <v>1</v>
      </c>
      <c r="AZ423" s="108">
        <f t="shared" si="86"/>
        <v>8</v>
      </c>
      <c r="BA423" s="108">
        <v>8</v>
      </c>
      <c r="BB423" s="110" t="s">
        <v>402</v>
      </c>
    </row>
    <row r="424" spans="1:58" ht="14.25" x14ac:dyDescent="0.2">
      <c r="A424" t="str">
        <f t="shared" si="76"/>
        <v>A96</v>
      </c>
      <c r="C424">
        <f t="shared" si="77"/>
        <v>138.5</v>
      </c>
      <c r="D424"/>
      <c r="E424" s="169" t="str">
        <f>IF(OR(A424="",B424="",C424=""),"",CONCATENATE(VLOOKUP(VALUE(I424),[1]Grundlage!$A$1:$B$14,2,0),IF(LEFT(A424,1)="A",IF(VALUE(MID(A424,2,10))&lt;10,"A00"&amp;VALUE(MID(A424,2,10)),IF(VALUE(MID(A424,2,10))&lt;100,"A0"&amp;VALUE(MID(A424,2,10)),IF(VALUE(MID(A424,2,10))&lt;1000,"A"&amp;VALUE(MID(A424,2,10))))),IF(LEFT(A424,1)="B",IF(VALUE(MID(A424,2,10))&lt;10,"B00"&amp;VALUE(MID(A424,2,10)),IF(VALUE(MID(A424,2,10))&lt;100,"B0"&amp;VALUE(MID(A424,2,10)),IF(VALUE(MID(A424,2,10))&lt;1000,"B"&amp;VALUE(MID(A424,2,10))))),A424)),"_",IF(NOT(OR(C424=1000,C424&gt;1000)),MID(TEXT((C424+1000)*1000,0),2,6),"keine Meter in Spalte km!!!"),IF(VALUE(I424)=1,CONCATENATE("_",VLOOKUP(IF(V424&gt;0,V424,J424),[1]Grundlage!$A$20:$B$181,2,0)),CONCATENATE("_",B424))))</f>
        <v/>
      </c>
      <c r="G424" s="167">
        <f t="shared" si="87"/>
        <v>37571</v>
      </c>
      <c r="H424">
        <f t="shared" si="88"/>
        <v>16</v>
      </c>
      <c r="I424" s="2">
        <f t="shared" si="79"/>
        <v>3</v>
      </c>
      <c r="J424" s="2">
        <f t="shared" si="80"/>
        <v>24</v>
      </c>
      <c r="K424" s="2">
        <v>207</v>
      </c>
      <c r="L424" s="2">
        <f t="shared" si="81"/>
        <v>7</v>
      </c>
      <c r="M424" s="2">
        <f t="shared" si="82"/>
        <v>1</v>
      </c>
      <c r="N424" s="2">
        <f t="shared" si="83"/>
        <v>9</v>
      </c>
      <c r="P424" s="168">
        <f t="shared" si="84"/>
        <v>69</v>
      </c>
      <c r="AQ424" s="90"/>
      <c r="AR424" s="106"/>
      <c r="AS424" s="106"/>
      <c r="AT424" s="107">
        <v>3</v>
      </c>
      <c r="AU424" s="108">
        <v>24</v>
      </c>
      <c r="AV424" s="108"/>
      <c r="AW424" s="110"/>
      <c r="AX424" s="110"/>
      <c r="AY424" s="107">
        <v>1</v>
      </c>
      <c r="AZ424" s="108">
        <f t="shared" si="86"/>
        <v>9</v>
      </c>
      <c r="BA424" s="108">
        <v>9</v>
      </c>
      <c r="BB424" s="110" t="s">
        <v>41</v>
      </c>
    </row>
    <row r="425" spans="1:58" ht="14.25" x14ac:dyDescent="0.2">
      <c r="A425" t="str">
        <f t="shared" si="76"/>
        <v>A96</v>
      </c>
      <c r="C425">
        <f t="shared" si="77"/>
        <v>138.5</v>
      </c>
      <c r="D425"/>
      <c r="E425" s="169" t="str">
        <f>IF(OR(A425="",B425="",C425=""),"",CONCATENATE(VLOOKUP(VALUE(I425),[1]Grundlage!$A$1:$B$14,2,0),IF(LEFT(A425,1)="A",IF(VALUE(MID(A425,2,10))&lt;10,"A00"&amp;VALUE(MID(A425,2,10)),IF(VALUE(MID(A425,2,10))&lt;100,"A0"&amp;VALUE(MID(A425,2,10)),IF(VALUE(MID(A425,2,10))&lt;1000,"A"&amp;VALUE(MID(A425,2,10))))),IF(LEFT(A425,1)="B",IF(VALUE(MID(A425,2,10))&lt;10,"B00"&amp;VALUE(MID(A425,2,10)),IF(VALUE(MID(A425,2,10))&lt;100,"B0"&amp;VALUE(MID(A425,2,10)),IF(VALUE(MID(A425,2,10))&lt;1000,"B"&amp;VALUE(MID(A425,2,10))))),A425)),"_",IF(NOT(OR(C425=1000,C425&gt;1000)),MID(TEXT((C425+1000)*1000,0),2,6),"keine Meter in Spalte km!!!"),IF(VALUE(I425)=1,CONCATENATE("_",VLOOKUP(IF(V425&gt;0,V425,J425),[1]Grundlage!$A$20:$B$181,2,0)),CONCATENATE("_",B425))))</f>
        <v/>
      </c>
      <c r="G425" s="167">
        <f t="shared" si="87"/>
        <v>37571</v>
      </c>
      <c r="H425">
        <f t="shared" si="88"/>
        <v>16</v>
      </c>
      <c r="I425" s="2">
        <f t="shared" si="79"/>
        <v>3</v>
      </c>
      <c r="J425" s="2">
        <f t="shared" si="80"/>
        <v>67</v>
      </c>
      <c r="K425" s="2">
        <v>207</v>
      </c>
      <c r="L425" s="2">
        <f t="shared" si="81"/>
        <v>7</v>
      </c>
      <c r="M425" s="2">
        <f t="shared" si="82"/>
        <v>1</v>
      </c>
      <c r="N425" s="2">
        <f t="shared" si="83"/>
        <v>10</v>
      </c>
      <c r="P425" s="168">
        <f t="shared" si="84"/>
        <v>53</v>
      </c>
      <c r="AQ425" s="90"/>
      <c r="AR425" s="106"/>
      <c r="AS425" s="106"/>
      <c r="AT425" s="107">
        <v>3</v>
      </c>
      <c r="AU425" s="108">
        <v>67</v>
      </c>
      <c r="AV425" s="108"/>
      <c r="AW425" s="110"/>
      <c r="AX425" s="110"/>
      <c r="AY425" s="107">
        <v>1</v>
      </c>
      <c r="AZ425" s="108">
        <f t="shared" si="86"/>
        <v>10</v>
      </c>
      <c r="BA425" s="108" t="s">
        <v>95</v>
      </c>
      <c r="BB425" s="110" t="s">
        <v>271</v>
      </c>
    </row>
    <row r="426" spans="1:58" ht="14.25" x14ac:dyDescent="0.2">
      <c r="A426" t="str">
        <f t="shared" si="76"/>
        <v>A96</v>
      </c>
      <c r="C426">
        <f t="shared" si="77"/>
        <v>138.5</v>
      </c>
      <c r="D426"/>
      <c r="E426" s="169" t="str">
        <f>IF(OR(A426="",B426="",C426=""),"",CONCATENATE(VLOOKUP(VALUE(I426),[1]Grundlage!$A$1:$B$14,2,0),IF(LEFT(A426,1)="A",IF(VALUE(MID(A426,2,10))&lt;10,"A00"&amp;VALUE(MID(A426,2,10)),IF(VALUE(MID(A426,2,10))&lt;100,"A0"&amp;VALUE(MID(A426,2,10)),IF(VALUE(MID(A426,2,10))&lt;1000,"A"&amp;VALUE(MID(A426,2,10))))),IF(LEFT(A426,1)="B",IF(VALUE(MID(A426,2,10))&lt;10,"B00"&amp;VALUE(MID(A426,2,10)),IF(VALUE(MID(A426,2,10))&lt;100,"B0"&amp;VALUE(MID(A426,2,10)),IF(VALUE(MID(A426,2,10))&lt;1000,"B"&amp;VALUE(MID(A426,2,10))))),A426)),"_",IF(NOT(OR(C426=1000,C426&gt;1000)),MID(TEXT((C426+1000)*1000,0),2,6),"keine Meter in Spalte km!!!"),IF(VALUE(I426)=1,CONCATENATE("_",VLOOKUP(IF(V426&gt;0,V426,J426),[1]Grundlage!$A$20:$B$181,2,0)),CONCATENATE("_",B426))))</f>
        <v/>
      </c>
      <c r="G426" s="167">
        <f t="shared" si="87"/>
        <v>37571</v>
      </c>
      <c r="H426">
        <f t="shared" si="88"/>
        <v>16</v>
      </c>
      <c r="I426" s="2">
        <f t="shared" si="79"/>
        <v>3</v>
      </c>
      <c r="J426" s="2">
        <f t="shared" si="80"/>
        <v>82</v>
      </c>
      <c r="K426" s="2">
        <v>207</v>
      </c>
      <c r="L426" s="2">
        <f t="shared" si="81"/>
        <v>7</v>
      </c>
      <c r="M426" s="2">
        <f t="shared" si="82"/>
        <v>1</v>
      </c>
      <c r="N426" s="2">
        <f t="shared" si="83"/>
        <v>11</v>
      </c>
      <c r="P426" s="168"/>
      <c r="AQ426" s="90"/>
      <c r="AR426" s="106"/>
      <c r="AS426" s="106"/>
      <c r="AT426" s="107">
        <v>3</v>
      </c>
      <c r="AU426" s="108">
        <v>82</v>
      </c>
      <c r="AV426" s="108"/>
      <c r="AW426" s="110"/>
      <c r="AX426" s="110"/>
      <c r="AY426" s="107">
        <v>1</v>
      </c>
      <c r="AZ426" s="108">
        <f t="shared" si="86"/>
        <v>11</v>
      </c>
      <c r="BA426" s="108" t="s">
        <v>78</v>
      </c>
      <c r="BB426" s="110" t="s">
        <v>400</v>
      </c>
    </row>
    <row r="427" spans="1:58" ht="14.25" x14ac:dyDescent="0.2">
      <c r="A427" t="str">
        <f t="shared" si="76"/>
        <v>A96</v>
      </c>
      <c r="C427">
        <f t="shared" si="77"/>
        <v>138.5</v>
      </c>
      <c r="D427"/>
      <c r="E427" s="169" t="str">
        <f>IF(OR(A427="",B427="",C427=""),"",CONCATENATE(VLOOKUP(VALUE(I427),[1]Grundlage!$A$1:$B$14,2,0),IF(LEFT(A427,1)="A",IF(VALUE(MID(A427,2,10))&lt;10,"A00"&amp;VALUE(MID(A427,2,10)),IF(VALUE(MID(A427,2,10))&lt;100,"A0"&amp;VALUE(MID(A427,2,10)),IF(VALUE(MID(A427,2,10))&lt;1000,"A"&amp;VALUE(MID(A427,2,10))))),IF(LEFT(A427,1)="B",IF(VALUE(MID(A427,2,10))&lt;10,"B00"&amp;VALUE(MID(A427,2,10)),IF(VALUE(MID(A427,2,10))&lt;100,"B0"&amp;VALUE(MID(A427,2,10)),IF(VALUE(MID(A427,2,10))&lt;1000,"B"&amp;VALUE(MID(A427,2,10))))),A427)),"_",IF(NOT(OR(C427=1000,C427&gt;1000)),MID(TEXT((C427+1000)*1000,0),2,6),"keine Meter in Spalte km!!!"),IF(VALUE(I427)=1,CONCATENATE("_",VLOOKUP(IF(V427&gt;0,V427,J427),[1]Grundlage!$A$20:$B$181,2,0)),CONCATENATE("_",B427))))</f>
        <v/>
      </c>
      <c r="G427" s="167">
        <f t="shared" si="87"/>
        <v>37571</v>
      </c>
      <c r="H427">
        <f t="shared" si="88"/>
        <v>16</v>
      </c>
      <c r="I427" s="2">
        <f t="shared" si="79"/>
        <v>3</v>
      </c>
      <c r="J427" s="2">
        <f t="shared" si="80"/>
        <v>111</v>
      </c>
      <c r="K427" s="2">
        <v>207</v>
      </c>
      <c r="L427" s="2">
        <f t="shared" si="81"/>
        <v>7</v>
      </c>
      <c r="M427" s="2">
        <f t="shared" si="82"/>
        <v>1</v>
      </c>
      <c r="N427" s="2">
        <f t="shared" si="83"/>
        <v>12</v>
      </c>
      <c r="P427" s="168"/>
      <c r="AQ427" s="90"/>
      <c r="AR427" s="106"/>
      <c r="AS427" s="106"/>
      <c r="AT427" s="107">
        <v>3</v>
      </c>
      <c r="AU427" s="108">
        <v>111</v>
      </c>
      <c r="AV427" s="108"/>
      <c r="AW427" s="110"/>
      <c r="AX427" s="110"/>
      <c r="AY427" s="107">
        <v>1</v>
      </c>
      <c r="AZ427" s="108">
        <f t="shared" si="86"/>
        <v>12</v>
      </c>
      <c r="BA427" s="108" t="s">
        <v>79</v>
      </c>
      <c r="BB427" s="110" t="s">
        <v>96</v>
      </c>
    </row>
    <row r="428" spans="1:58" ht="14.25" x14ac:dyDescent="0.2">
      <c r="A428" t="str">
        <f t="shared" si="76"/>
        <v>A96</v>
      </c>
      <c r="C428">
        <f t="shared" si="77"/>
        <v>138.5</v>
      </c>
      <c r="D428"/>
      <c r="E428" s="169" t="str">
        <f>IF(OR(A428="",B428="",C428=""),"",CONCATENATE(VLOOKUP(VALUE(I428),[1]Grundlage!$A$1:$B$14,2,0),IF(LEFT(A428,1)="A",IF(VALUE(MID(A428,2,10))&lt;10,"A00"&amp;VALUE(MID(A428,2,10)),IF(VALUE(MID(A428,2,10))&lt;100,"A0"&amp;VALUE(MID(A428,2,10)),IF(VALUE(MID(A428,2,10))&lt;1000,"A"&amp;VALUE(MID(A428,2,10))))),IF(LEFT(A428,1)="B",IF(VALUE(MID(A428,2,10))&lt;10,"B00"&amp;VALUE(MID(A428,2,10)),IF(VALUE(MID(A428,2,10))&lt;100,"B0"&amp;VALUE(MID(A428,2,10)),IF(VALUE(MID(A428,2,10))&lt;1000,"B"&amp;VALUE(MID(A428,2,10))))),A428)),"_",IF(NOT(OR(C428=1000,C428&gt;1000)),MID(TEXT((C428+1000)*1000,0),2,6),"keine Meter in Spalte km!!!"),IF(VALUE(I428)=1,CONCATENATE("_",VLOOKUP(IF(V428&gt;0,V428,J428),[1]Grundlage!$A$20:$B$181,2,0)),CONCATENATE("_",B428))))</f>
        <v/>
      </c>
      <c r="G428" s="167">
        <f t="shared" si="87"/>
        <v>37571</v>
      </c>
      <c r="H428">
        <f t="shared" si="88"/>
        <v>16</v>
      </c>
      <c r="I428" s="2">
        <f t="shared" si="79"/>
        <v>3</v>
      </c>
      <c r="J428" s="2">
        <f t="shared" si="80"/>
        <v>121</v>
      </c>
      <c r="K428" s="2">
        <v>207</v>
      </c>
      <c r="L428" s="2">
        <f t="shared" si="81"/>
        <v>7</v>
      </c>
      <c r="M428" s="2">
        <f t="shared" si="82"/>
        <v>1</v>
      </c>
      <c r="N428" s="2">
        <f t="shared" si="83"/>
        <v>13</v>
      </c>
      <c r="P428" s="168"/>
      <c r="AQ428" s="90"/>
      <c r="AR428" s="106"/>
      <c r="AS428" s="106"/>
      <c r="AT428" s="107">
        <v>3</v>
      </c>
      <c r="AU428" s="108">
        <v>121</v>
      </c>
      <c r="AV428" s="108"/>
      <c r="AW428" s="110"/>
      <c r="AX428" s="110"/>
      <c r="AY428" s="107">
        <v>1</v>
      </c>
      <c r="AZ428" s="108">
        <f t="shared" si="86"/>
        <v>13</v>
      </c>
      <c r="BA428" s="108" t="s">
        <v>80</v>
      </c>
      <c r="BB428" s="110" t="s">
        <v>403</v>
      </c>
    </row>
    <row r="429" spans="1:58" ht="14.25" x14ac:dyDescent="0.2">
      <c r="A429" t="str">
        <f t="shared" si="76"/>
        <v>A96</v>
      </c>
      <c r="C429">
        <f t="shared" si="77"/>
        <v>138.5</v>
      </c>
      <c r="D429"/>
      <c r="E429" s="169" t="str">
        <f>IF(OR(A429="",B429="",C429=""),"",CONCATENATE(VLOOKUP(VALUE(I429),[1]Grundlage!$A$1:$B$14,2,0),IF(LEFT(A429,1)="A",IF(VALUE(MID(A429,2,10))&lt;10,"A00"&amp;VALUE(MID(A429,2,10)),IF(VALUE(MID(A429,2,10))&lt;100,"A0"&amp;VALUE(MID(A429,2,10)),IF(VALUE(MID(A429,2,10))&lt;1000,"A"&amp;VALUE(MID(A429,2,10))))),IF(LEFT(A429,1)="B",IF(VALUE(MID(A429,2,10))&lt;10,"B00"&amp;VALUE(MID(A429,2,10)),IF(VALUE(MID(A429,2,10))&lt;100,"B0"&amp;VALUE(MID(A429,2,10)),IF(VALUE(MID(A429,2,10))&lt;1000,"B"&amp;VALUE(MID(A429,2,10))))),A429)),"_",IF(NOT(OR(C429=1000,C429&gt;1000)),MID(TEXT((C429+1000)*1000,0),2,6),"keine Meter in Spalte km!!!"),IF(VALUE(I429)=1,CONCATENATE("_",VLOOKUP(IF(V429&gt;0,V429,J429),[1]Grundlage!$A$20:$B$181,2,0)),CONCATENATE("_",B429))))</f>
        <v/>
      </c>
      <c r="G429" s="167">
        <f t="shared" si="87"/>
        <v>37571</v>
      </c>
      <c r="H429">
        <f t="shared" si="88"/>
        <v>16</v>
      </c>
      <c r="I429" s="2">
        <f t="shared" si="79"/>
        <v>3</v>
      </c>
      <c r="J429" s="2">
        <f t="shared" si="80"/>
        <v>119</v>
      </c>
      <c r="K429" s="2">
        <v>207</v>
      </c>
      <c r="L429" s="2">
        <f t="shared" si="81"/>
        <v>7</v>
      </c>
      <c r="M429" s="2">
        <f t="shared" si="82"/>
        <v>1</v>
      </c>
      <c r="N429" s="2">
        <f t="shared" si="83"/>
        <v>14</v>
      </c>
      <c r="P429" s="168"/>
      <c r="AQ429" s="90"/>
      <c r="AR429" s="106"/>
      <c r="AS429" s="106"/>
      <c r="AT429" s="107">
        <v>3</v>
      </c>
      <c r="AU429" s="108">
        <v>119</v>
      </c>
      <c r="AV429" s="108"/>
      <c r="AW429" s="110"/>
      <c r="AX429" s="110"/>
      <c r="AY429" s="107">
        <v>1</v>
      </c>
      <c r="AZ429" s="108">
        <f t="shared" si="86"/>
        <v>14</v>
      </c>
      <c r="BA429" s="108" t="s">
        <v>81</v>
      </c>
      <c r="BB429" s="110" t="s">
        <v>100</v>
      </c>
    </row>
    <row r="430" spans="1:58" ht="14.25" x14ac:dyDescent="0.2">
      <c r="A430" t="str">
        <f t="shared" si="76"/>
        <v>A96</v>
      </c>
      <c r="C430">
        <f t="shared" si="77"/>
        <v>138.5</v>
      </c>
      <c r="D430"/>
      <c r="E430" s="169" t="str">
        <f>IF(OR(A430="",B430="",C430=""),"",CONCATENATE(VLOOKUP(VALUE(I430),[1]Grundlage!$A$1:$B$14,2,0),IF(LEFT(A430,1)="A",IF(VALUE(MID(A430,2,10))&lt;10,"A00"&amp;VALUE(MID(A430,2,10)),IF(VALUE(MID(A430,2,10))&lt;100,"A0"&amp;VALUE(MID(A430,2,10)),IF(VALUE(MID(A430,2,10))&lt;1000,"A"&amp;VALUE(MID(A430,2,10))))),IF(LEFT(A430,1)="B",IF(VALUE(MID(A430,2,10))&lt;10,"B00"&amp;VALUE(MID(A430,2,10)),IF(VALUE(MID(A430,2,10))&lt;100,"B0"&amp;VALUE(MID(A430,2,10)),IF(VALUE(MID(A430,2,10))&lt;1000,"B"&amp;VALUE(MID(A430,2,10))))),A430)),"_",IF(NOT(OR(C430=1000,C430&gt;1000)),MID(TEXT((C430+1000)*1000,0),2,6),"keine Meter in Spalte km!!!"),IF(VALUE(I430)=1,CONCATENATE("_",VLOOKUP(IF(V430&gt;0,V430,J430),[1]Grundlage!$A$20:$B$181,2,0)),CONCATENATE("_",B430))))</f>
        <v/>
      </c>
      <c r="G430" s="167">
        <f t="shared" si="87"/>
        <v>37571</v>
      </c>
      <c r="H430">
        <f t="shared" si="88"/>
        <v>16</v>
      </c>
      <c r="I430" s="2">
        <f t="shared" si="79"/>
        <v>3</v>
      </c>
      <c r="J430" s="2">
        <f t="shared" si="80"/>
        <v>182</v>
      </c>
      <c r="K430" s="2">
        <v>207</v>
      </c>
      <c r="L430" s="2">
        <f t="shared" si="81"/>
        <v>7</v>
      </c>
      <c r="M430" s="2">
        <f t="shared" si="82"/>
        <v>1</v>
      </c>
      <c r="N430" s="2">
        <f t="shared" si="83"/>
        <v>15</v>
      </c>
      <c r="P430" s="168"/>
      <c r="AQ430" s="90"/>
      <c r="AR430" s="106"/>
      <c r="AS430" s="106"/>
      <c r="AT430" s="107">
        <v>3</v>
      </c>
      <c r="AU430" s="108">
        <v>182</v>
      </c>
      <c r="AV430" s="108"/>
      <c r="AW430" s="110"/>
      <c r="AX430" s="110"/>
      <c r="AY430" s="107">
        <v>1</v>
      </c>
      <c r="AZ430" s="108">
        <f t="shared" si="86"/>
        <v>15</v>
      </c>
      <c r="BA430" s="108" t="s">
        <v>82</v>
      </c>
      <c r="BB430" s="110" t="s">
        <v>401</v>
      </c>
    </row>
    <row r="431" spans="1:58" ht="14.25" x14ac:dyDescent="0.2">
      <c r="A431" t="str">
        <f t="shared" si="76"/>
        <v>A96</v>
      </c>
      <c r="C431">
        <f t="shared" si="77"/>
        <v>138.5</v>
      </c>
      <c r="D431"/>
      <c r="E431" s="169" t="str">
        <f>IF(OR(A431="",B431="",C431=""),"",CONCATENATE(VLOOKUP(VALUE(I431),[1]Grundlage!$A$1:$B$14,2,0),IF(LEFT(A431,1)="A",IF(VALUE(MID(A431,2,10))&lt;10,"A00"&amp;VALUE(MID(A431,2,10)),IF(VALUE(MID(A431,2,10))&lt;100,"A0"&amp;VALUE(MID(A431,2,10)),IF(VALUE(MID(A431,2,10))&lt;1000,"A"&amp;VALUE(MID(A431,2,10))))),IF(LEFT(A431,1)="B",IF(VALUE(MID(A431,2,10))&lt;10,"B00"&amp;VALUE(MID(A431,2,10)),IF(VALUE(MID(A431,2,10))&lt;100,"B0"&amp;VALUE(MID(A431,2,10)),IF(VALUE(MID(A431,2,10))&lt;1000,"B"&amp;VALUE(MID(A431,2,10))))),A431)),"_",IF(NOT(OR(C431=1000,C431&gt;1000)),MID(TEXT((C431+1000)*1000,0),2,6),"keine Meter in Spalte km!!!"),IF(VALUE(I431)=1,CONCATENATE("_",VLOOKUP(IF(V431&gt;0,V431,J431),[1]Grundlage!$A$20:$B$181,2,0)),CONCATENATE("_",B431))))</f>
        <v/>
      </c>
      <c r="G431" s="167">
        <f t="shared" si="87"/>
        <v>37571</v>
      </c>
      <c r="H431">
        <f t="shared" si="88"/>
        <v>16</v>
      </c>
      <c r="I431" s="2">
        <f t="shared" si="79"/>
        <v>0</v>
      </c>
      <c r="J431" s="2">
        <f t="shared" si="80"/>
        <v>0</v>
      </c>
      <c r="K431" s="2">
        <v>207</v>
      </c>
      <c r="L431" s="2">
        <f t="shared" si="81"/>
        <v>7</v>
      </c>
      <c r="M431" s="2" t="str">
        <f t="shared" si="82"/>
        <v/>
      </c>
      <c r="N431" s="2" t="str">
        <f t="shared" si="83"/>
        <v/>
      </c>
      <c r="P431" s="168" t="str">
        <f t="shared" si="84"/>
        <v/>
      </c>
      <c r="AT431" s="19"/>
      <c r="AU431" s="14"/>
      <c r="AV431" s="14"/>
      <c r="AY431" s="1"/>
      <c r="AZ431" s="14"/>
      <c r="BA431" s="14"/>
      <c r="BB431" s="13"/>
    </row>
    <row r="432" spans="1:58" ht="14.25" x14ac:dyDescent="0.2">
      <c r="A432" t="str">
        <f t="shared" si="76"/>
        <v>A96</v>
      </c>
      <c r="B432" s="2" t="s">
        <v>658</v>
      </c>
      <c r="C432">
        <f t="shared" si="77"/>
        <v>161.465</v>
      </c>
      <c r="D432" t="str">
        <f t="shared" ref="D432:D460" si="89">IF(AJ432="SST","SS",IF(AND(AJ432="",ISTEXT(BF432)),"UFD",""))</f>
        <v>SS</v>
      </c>
      <c r="E432" s="169" t="str">
        <f>IF(OR(A432="",B432="",C432=""),"eine der Spalten BAB, FR, km leer?",CONCATENATE(VLOOKUP(VALUE(I432),[1]Grundlage!$A$1:$B$14,2,0),IF(LEFT(A432,1)="A",IF(VALUE(MID(A432,2,10))&lt;10,"A00"&amp;VALUE(MID(A432,2,10)),IF(VALUE(MID(A432,2,10))&lt;100,"A0"&amp;VALUE(MID(A432,2,10)),IF(VALUE(MID(A432,2,10))&lt;1000,"A"&amp;VALUE(MID(A432,2,10))))),IF(LEFT(A432,1)="B",IF(VALUE(MID(A432,2,10))&lt;10,"B00"&amp;VALUE(MID(A432,2,10)),IF(VALUE(MID(A432,2,10))&lt;100,"B0"&amp;VALUE(MID(A432,2,10)),IF(VALUE(MID(A432,2,10))&lt;1000,"B"&amp;VALUE(MID(A432,2,10))))),A432)),"_",IF(NOT(OR(C432=1000,C432&gt;1000)),MID(TEXT((C432+1000)*1000,0),2,6),"keine Meter in Spalte km!!!"),IF(VALUE(I432)=1,CONCATENATE("_",VLOOKUP(IF(V432&gt;0,V432,J432),[1]Grundlage!$A$20:$B$181,2,0)),CONCATENATE("_",B432))))</f>
        <v>SSt_A096_161465_O</v>
      </c>
      <c r="F432" s="2" t="s">
        <v>201</v>
      </c>
      <c r="G432" s="167">
        <f t="shared" si="87"/>
        <v>37538</v>
      </c>
      <c r="H432">
        <f t="shared" si="88"/>
        <v>16</v>
      </c>
      <c r="I432" s="2">
        <f t="shared" si="79"/>
        <v>254</v>
      </c>
      <c r="J432" s="2">
        <f t="shared" si="80"/>
        <v>0</v>
      </c>
      <c r="K432" s="2">
        <v>207</v>
      </c>
      <c r="L432" s="2">
        <f t="shared" si="81"/>
        <v>8</v>
      </c>
      <c r="M432" s="2" t="str">
        <f t="shared" si="82"/>
        <v/>
      </c>
      <c r="N432" s="2" t="str">
        <f t="shared" si="83"/>
        <v/>
      </c>
      <c r="P432" s="168" t="str">
        <f t="shared" si="84"/>
        <v/>
      </c>
      <c r="AI432" s="35">
        <v>161.465</v>
      </c>
      <c r="AJ432" s="36" t="s">
        <v>19</v>
      </c>
      <c r="AK432" s="36" t="s">
        <v>51</v>
      </c>
      <c r="AL432" s="36"/>
      <c r="AM432" s="36"/>
      <c r="AN432" s="36"/>
      <c r="AO432" s="36"/>
      <c r="AP432" s="45">
        <v>9609744</v>
      </c>
      <c r="AQ432" s="45">
        <v>92</v>
      </c>
      <c r="AR432" s="45" t="s">
        <v>202</v>
      </c>
      <c r="AS432" s="45">
        <v>10</v>
      </c>
      <c r="AT432" s="39"/>
      <c r="AU432" s="39"/>
      <c r="AV432" s="39"/>
      <c r="AW432" s="36"/>
      <c r="AX432" s="36">
        <v>8</v>
      </c>
      <c r="AY432" s="36"/>
      <c r="AZ432" s="36"/>
      <c r="BA432" s="39"/>
      <c r="BB432" s="37" t="s">
        <v>201</v>
      </c>
      <c r="BC432" s="38"/>
      <c r="BD432" s="99" t="s">
        <v>163</v>
      </c>
      <c r="BE432" s="39" t="s">
        <v>103</v>
      </c>
      <c r="BF432" s="2" t="s">
        <v>451</v>
      </c>
    </row>
    <row r="433" spans="1:58" ht="14.25" x14ac:dyDescent="0.2">
      <c r="A433" t="str">
        <f t="shared" si="76"/>
        <v>A96</v>
      </c>
      <c r="B433" s="2" t="s">
        <v>658</v>
      </c>
      <c r="C433">
        <f t="shared" si="77"/>
        <v>161.465</v>
      </c>
      <c r="D433" t="str">
        <f t="shared" si="89"/>
        <v>UFD</v>
      </c>
      <c r="E433" s="169" t="str">
        <f>IF(OR(A433="",B433="",C433=""),"eine der Spalten BAB, FR, km leer?",CONCATENATE(VLOOKUP(VALUE(I433),[1]Grundlage!$A$1:$B$14,2,0),IF(LEFT(A433,1)="A",IF(VALUE(MID(A433,2,10))&lt;10,"A00"&amp;VALUE(MID(A433,2,10)),IF(VALUE(MID(A433,2,10))&lt;100,"A0"&amp;VALUE(MID(A433,2,10)),IF(VALUE(MID(A433,2,10))&lt;1000,"A"&amp;VALUE(MID(A433,2,10))))),IF(LEFT(A433,1)="B",IF(VALUE(MID(A433,2,10))&lt;10,"B00"&amp;VALUE(MID(A433,2,10)),IF(VALUE(MID(A433,2,10))&lt;100,"B0"&amp;VALUE(MID(A433,2,10)),IF(VALUE(MID(A433,2,10))&lt;1000,"B"&amp;VALUE(MID(A433,2,10))))),A433)),"_",IF(NOT(OR(C433=1000,C433&gt;1000)),MID(TEXT((C433+1000)*1000,0),2,6),"keine Meter in Spalte km!!!"),IF(VALUE(I433)=1,CONCATENATE("_",VLOOKUP(IF(V433&gt;0,V433,J433),[1]Grundlage!$A$20:$B$181,2,0)),CONCATENATE("_",B433))))</f>
        <v>UQ_A096_161465_O</v>
      </c>
      <c r="F433" s="2" t="s">
        <v>269</v>
      </c>
      <c r="G433" s="167">
        <f t="shared" si="87"/>
        <v>37538</v>
      </c>
      <c r="H433">
        <f t="shared" si="88"/>
        <v>16</v>
      </c>
      <c r="I433" s="2">
        <f t="shared" si="79"/>
        <v>3</v>
      </c>
      <c r="J433" s="2">
        <f t="shared" si="80"/>
        <v>6</v>
      </c>
      <c r="K433" s="2">
        <v>207</v>
      </c>
      <c r="L433" s="2">
        <f t="shared" si="81"/>
        <v>8</v>
      </c>
      <c r="M433" s="2">
        <f t="shared" si="82"/>
        <v>1</v>
      </c>
      <c r="N433" s="2">
        <f t="shared" si="83"/>
        <v>1</v>
      </c>
      <c r="P433" s="168">
        <f t="shared" si="84"/>
        <v>71</v>
      </c>
      <c r="AI433" s="21"/>
      <c r="AJ433" s="13"/>
      <c r="AK433" s="13"/>
      <c r="AL433" s="13"/>
      <c r="AM433" s="13"/>
      <c r="AN433" s="13"/>
      <c r="AO433" s="13"/>
      <c r="AP433" s="77"/>
      <c r="AQ433" s="77"/>
      <c r="AR433" s="77"/>
      <c r="AS433" s="77"/>
      <c r="AT433" s="19">
        <v>3</v>
      </c>
      <c r="AU433" s="14">
        <v>6</v>
      </c>
      <c r="AV433" s="27">
        <v>6</v>
      </c>
      <c r="AW433" s="19"/>
      <c r="AX433" s="19"/>
      <c r="AY433" s="19">
        <v>1</v>
      </c>
      <c r="AZ433" s="14">
        <v>1</v>
      </c>
      <c r="BA433" s="27">
        <v>1</v>
      </c>
      <c r="BB433" s="13" t="s">
        <v>269</v>
      </c>
      <c r="BC433" s="25"/>
      <c r="BD433" s="25"/>
      <c r="BE433" s="13"/>
      <c r="BF433" s="2" t="s">
        <v>440</v>
      </c>
    </row>
    <row r="434" spans="1:58" ht="14.25" x14ac:dyDescent="0.2">
      <c r="A434" t="str">
        <f t="shared" si="76"/>
        <v>A96</v>
      </c>
      <c r="B434" s="2" t="s">
        <v>658</v>
      </c>
      <c r="C434">
        <f t="shared" si="77"/>
        <v>161.465</v>
      </c>
      <c r="D434" t="str">
        <f t="shared" si="89"/>
        <v>UFD</v>
      </c>
      <c r="E434" s="169" t="str">
        <f>IF(OR(A434="",B434="",C434=""),"eine der Spalten BAB, FR, km leer?",CONCATENATE(VLOOKUP(VALUE(I434),[1]Grundlage!$A$1:$B$14,2,0),IF(LEFT(A434,1)="A",IF(VALUE(MID(A434,2,10))&lt;10,"A00"&amp;VALUE(MID(A434,2,10)),IF(VALUE(MID(A434,2,10))&lt;100,"A0"&amp;VALUE(MID(A434,2,10)),IF(VALUE(MID(A434,2,10))&lt;1000,"A"&amp;VALUE(MID(A434,2,10))))),IF(LEFT(A434,1)="B",IF(VALUE(MID(A434,2,10))&lt;10,"B00"&amp;VALUE(MID(A434,2,10)),IF(VALUE(MID(A434,2,10))&lt;100,"B0"&amp;VALUE(MID(A434,2,10)),IF(VALUE(MID(A434,2,10))&lt;1000,"B"&amp;VALUE(MID(A434,2,10))))),A434)),"_",IF(NOT(OR(C434=1000,C434&gt;1000)),MID(TEXT((C434+1000)*1000,0),2,6),"keine Meter in Spalte km!!!"),IF(VALUE(I434)=1,CONCATENATE("_",VLOOKUP(IF(V434&gt;0,V434,J434),[1]Grundlage!$A$20:$B$181,2,0)),CONCATENATE("_",B434))))</f>
        <v>UQ_A096_161465_O</v>
      </c>
      <c r="F434" s="2" t="s">
        <v>270</v>
      </c>
      <c r="G434" s="167">
        <f t="shared" si="87"/>
        <v>37538</v>
      </c>
      <c r="H434">
        <f t="shared" si="88"/>
        <v>16</v>
      </c>
      <c r="I434" s="2">
        <f t="shared" si="79"/>
        <v>3</v>
      </c>
      <c r="J434" s="2">
        <f t="shared" si="80"/>
        <v>11</v>
      </c>
      <c r="K434" s="2">
        <v>207</v>
      </c>
      <c r="L434" s="2">
        <f t="shared" si="81"/>
        <v>8</v>
      </c>
      <c r="M434" s="2">
        <f t="shared" si="82"/>
        <v>1</v>
      </c>
      <c r="N434" s="2">
        <f t="shared" si="83"/>
        <v>2</v>
      </c>
      <c r="P434" s="168">
        <f t="shared" si="84"/>
        <v>70</v>
      </c>
      <c r="AI434" s="21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9">
        <v>3</v>
      </c>
      <c r="AU434" s="14">
        <v>11</v>
      </c>
      <c r="AV434" s="14" t="s">
        <v>78</v>
      </c>
      <c r="AW434" s="13"/>
      <c r="AX434" s="13"/>
      <c r="AY434" s="19">
        <v>1</v>
      </c>
      <c r="AZ434" s="14">
        <v>2</v>
      </c>
      <c r="BA434" s="14">
        <v>2</v>
      </c>
      <c r="BB434" s="13" t="s">
        <v>270</v>
      </c>
      <c r="BC434" s="25"/>
      <c r="BD434" s="25"/>
      <c r="BE434" s="13"/>
      <c r="BF434" s="2" t="s">
        <v>478</v>
      </c>
    </row>
    <row r="435" spans="1:58" ht="14.25" x14ac:dyDescent="0.2">
      <c r="A435" t="str">
        <f t="shared" si="76"/>
        <v>A96</v>
      </c>
      <c r="B435" s="2" t="s">
        <v>658</v>
      </c>
      <c r="C435">
        <f t="shared" si="77"/>
        <v>161.465</v>
      </c>
      <c r="D435" t="str">
        <f t="shared" si="89"/>
        <v>UFD</v>
      </c>
      <c r="E435" s="169" t="str">
        <f>IF(OR(A435="",B435="",C435=""),"eine der Spalten BAB, FR, km leer?",CONCATENATE(VLOOKUP(VALUE(I435),[1]Grundlage!$A$1:$B$14,2,0),IF(LEFT(A435,1)="A",IF(VALUE(MID(A435,2,10))&lt;10,"A00"&amp;VALUE(MID(A435,2,10)),IF(VALUE(MID(A435,2,10))&lt;100,"A0"&amp;VALUE(MID(A435,2,10)),IF(VALUE(MID(A435,2,10))&lt;1000,"A"&amp;VALUE(MID(A435,2,10))))),IF(LEFT(A435,1)="B",IF(VALUE(MID(A435,2,10))&lt;10,"B00"&amp;VALUE(MID(A435,2,10)),IF(VALUE(MID(A435,2,10))&lt;100,"B0"&amp;VALUE(MID(A435,2,10)),IF(VALUE(MID(A435,2,10))&lt;1000,"B"&amp;VALUE(MID(A435,2,10))))),A435)),"_",IF(NOT(OR(C435=1000,C435&gt;1000)),MID(TEXT((C435+1000)*1000,0),2,6),"keine Meter in Spalte km!!!"),IF(VALUE(I435)=1,CONCATENATE("_",VLOOKUP(IF(V435&gt;0,V435,J435),[1]Grundlage!$A$20:$B$181,2,0)),CONCATENATE("_",B435))))</f>
        <v>UQ_A096_161465_O</v>
      </c>
      <c r="F435" s="2" t="s">
        <v>25</v>
      </c>
      <c r="G435" s="167">
        <f t="shared" si="87"/>
        <v>37538</v>
      </c>
      <c r="H435">
        <f t="shared" si="88"/>
        <v>16</v>
      </c>
      <c r="I435" s="2">
        <f t="shared" si="79"/>
        <v>3</v>
      </c>
      <c r="J435" s="2">
        <f t="shared" si="80"/>
        <v>12</v>
      </c>
      <c r="K435" s="2">
        <v>207</v>
      </c>
      <c r="L435" s="2">
        <f t="shared" si="81"/>
        <v>8</v>
      </c>
      <c r="M435" s="2">
        <f t="shared" si="82"/>
        <v>1</v>
      </c>
      <c r="N435" s="2">
        <f t="shared" si="83"/>
        <v>3</v>
      </c>
      <c r="P435" s="168">
        <f t="shared" si="84"/>
        <v>48</v>
      </c>
      <c r="AI435" s="21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9">
        <v>3</v>
      </c>
      <c r="AU435" s="14">
        <v>12</v>
      </c>
      <c r="AV435" s="14" t="s">
        <v>79</v>
      </c>
      <c r="AW435" s="13"/>
      <c r="AX435" s="13"/>
      <c r="AY435" s="19">
        <v>1</v>
      </c>
      <c r="AZ435" s="14">
        <v>3</v>
      </c>
      <c r="BA435" s="14">
        <v>3</v>
      </c>
      <c r="BB435" s="13" t="s">
        <v>25</v>
      </c>
      <c r="BC435" s="25"/>
      <c r="BD435" s="25"/>
      <c r="BE435" s="13"/>
      <c r="BF435" s="13" t="s">
        <v>441</v>
      </c>
    </row>
    <row r="436" spans="1:58" ht="14.25" x14ac:dyDescent="0.2">
      <c r="A436" t="str">
        <f t="shared" si="76"/>
        <v>A96</v>
      </c>
      <c r="B436" s="2" t="s">
        <v>658</v>
      </c>
      <c r="C436">
        <f t="shared" si="77"/>
        <v>161.465</v>
      </c>
      <c r="D436" t="str">
        <f t="shared" si="89"/>
        <v>UFD</v>
      </c>
      <c r="E436" s="169" t="str">
        <f>IF(OR(A436="",B436="",C436=""),"eine der Spalten BAB, FR, km leer?",CONCATENATE(VLOOKUP(VALUE(I436),[1]Grundlage!$A$1:$B$14,2,0),IF(LEFT(A436,1)="A",IF(VALUE(MID(A436,2,10))&lt;10,"A00"&amp;VALUE(MID(A436,2,10)),IF(VALUE(MID(A436,2,10))&lt;100,"A0"&amp;VALUE(MID(A436,2,10)),IF(VALUE(MID(A436,2,10))&lt;1000,"A"&amp;VALUE(MID(A436,2,10))))),IF(LEFT(A436,1)="B",IF(VALUE(MID(A436,2,10))&lt;10,"B00"&amp;VALUE(MID(A436,2,10)),IF(VALUE(MID(A436,2,10))&lt;100,"B0"&amp;VALUE(MID(A436,2,10)),IF(VALUE(MID(A436,2,10))&lt;1000,"B"&amp;VALUE(MID(A436,2,10))))),A436)),"_",IF(NOT(OR(C436=1000,C436&gt;1000)),MID(TEXT((C436+1000)*1000,0),2,6),"keine Meter in Spalte km!!!"),IF(VALUE(I436)=1,CONCATENATE("_",VLOOKUP(IF(V436&gt;0,V436,J436),[1]Grundlage!$A$20:$B$181,2,0)),CONCATENATE("_",B436))))</f>
        <v>UQ_A096_161465_O</v>
      </c>
      <c r="F436" s="2" t="s">
        <v>26</v>
      </c>
      <c r="G436" s="167">
        <f t="shared" si="87"/>
        <v>37538</v>
      </c>
      <c r="H436">
        <f t="shared" si="88"/>
        <v>16</v>
      </c>
      <c r="I436" s="2">
        <f t="shared" si="79"/>
        <v>3</v>
      </c>
      <c r="J436" s="2">
        <f t="shared" si="80"/>
        <v>13</v>
      </c>
      <c r="K436" s="2">
        <v>207</v>
      </c>
      <c r="L436" s="2">
        <f t="shared" si="81"/>
        <v>8</v>
      </c>
      <c r="M436" s="2">
        <f t="shared" si="82"/>
        <v>1</v>
      </c>
      <c r="N436" s="2">
        <f t="shared" si="83"/>
        <v>4</v>
      </c>
      <c r="P436" s="168">
        <f t="shared" si="84"/>
        <v>55</v>
      </c>
      <c r="AI436" s="21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9">
        <v>3</v>
      </c>
      <c r="AU436" s="14">
        <v>13</v>
      </c>
      <c r="AV436" s="14" t="s">
        <v>80</v>
      </c>
      <c r="AW436" s="13"/>
      <c r="AX436" s="13"/>
      <c r="AY436" s="19">
        <v>1</v>
      </c>
      <c r="AZ436" s="14">
        <v>4</v>
      </c>
      <c r="BA436" s="14">
        <v>4</v>
      </c>
      <c r="BB436" s="13" t="s">
        <v>26</v>
      </c>
      <c r="BC436" s="25"/>
      <c r="BD436" s="25"/>
      <c r="BE436" s="13"/>
      <c r="BF436" s="13" t="s">
        <v>442</v>
      </c>
    </row>
    <row r="437" spans="1:58" ht="14.25" x14ac:dyDescent="0.2">
      <c r="A437" t="str">
        <f t="shared" si="76"/>
        <v>A96</v>
      </c>
      <c r="B437" s="2" t="s">
        <v>658</v>
      </c>
      <c r="C437">
        <f t="shared" si="77"/>
        <v>161.465</v>
      </c>
      <c r="D437" t="str">
        <f t="shared" si="89"/>
        <v>UFD</v>
      </c>
      <c r="E437" s="169" t="str">
        <f>IF(OR(A437="",B437="",C437=""),"eine der Spalten BAB, FR, km leer?",CONCATENATE(VLOOKUP(VALUE(I437),[1]Grundlage!$A$1:$B$14,2,0),IF(LEFT(A437,1)="A",IF(VALUE(MID(A437,2,10))&lt;10,"A00"&amp;VALUE(MID(A437,2,10)),IF(VALUE(MID(A437,2,10))&lt;100,"A0"&amp;VALUE(MID(A437,2,10)),IF(VALUE(MID(A437,2,10))&lt;1000,"A"&amp;VALUE(MID(A437,2,10))))),IF(LEFT(A437,1)="B",IF(VALUE(MID(A437,2,10))&lt;10,"B00"&amp;VALUE(MID(A437,2,10)),IF(VALUE(MID(A437,2,10))&lt;100,"B0"&amp;VALUE(MID(A437,2,10)),IF(VALUE(MID(A437,2,10))&lt;1000,"B"&amp;VALUE(MID(A437,2,10))))),A437)),"_",IF(NOT(OR(C437=1000,C437&gt;1000)),MID(TEXT((C437+1000)*1000,0),2,6),"keine Meter in Spalte km!!!"),IF(VALUE(I437)=1,CONCATENATE("_",VLOOKUP(IF(V437&gt;0,V437,J437),[1]Grundlage!$A$20:$B$181,2,0)),CONCATENATE("_",B437))))</f>
        <v>UQ_A096_161465_O</v>
      </c>
      <c r="F437" s="2" t="s">
        <v>456</v>
      </c>
      <c r="G437" s="167">
        <f t="shared" si="87"/>
        <v>37538</v>
      </c>
      <c r="H437">
        <f t="shared" si="88"/>
        <v>16</v>
      </c>
      <c r="I437" s="2">
        <f t="shared" si="79"/>
        <v>3</v>
      </c>
      <c r="J437" s="2">
        <f t="shared" si="80"/>
        <v>14</v>
      </c>
      <c r="K437" s="2">
        <v>207</v>
      </c>
      <c r="L437" s="2">
        <f t="shared" si="81"/>
        <v>8</v>
      </c>
      <c r="M437" s="2">
        <f t="shared" si="82"/>
        <v>1</v>
      </c>
      <c r="N437" s="2">
        <f t="shared" si="83"/>
        <v>5</v>
      </c>
      <c r="P437" s="168">
        <f t="shared" si="84"/>
        <v>66</v>
      </c>
      <c r="AI437" s="21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9">
        <v>3</v>
      </c>
      <c r="AU437" s="14">
        <v>14</v>
      </c>
      <c r="AV437" s="14" t="s">
        <v>81</v>
      </c>
      <c r="AW437" s="13"/>
      <c r="AX437" s="13"/>
      <c r="AY437" s="19">
        <v>1</v>
      </c>
      <c r="AZ437" s="14">
        <v>5</v>
      </c>
      <c r="BA437" s="14">
        <v>5</v>
      </c>
      <c r="BB437" s="13" t="s">
        <v>456</v>
      </c>
      <c r="BC437" s="25"/>
      <c r="BD437" s="25"/>
      <c r="BE437" s="13"/>
      <c r="BF437" s="13" t="s">
        <v>443</v>
      </c>
    </row>
    <row r="438" spans="1:58" ht="14.25" x14ac:dyDescent="0.2">
      <c r="A438" t="str">
        <f t="shared" si="76"/>
        <v>A96</v>
      </c>
      <c r="B438" s="2" t="s">
        <v>658</v>
      </c>
      <c r="C438">
        <f t="shared" si="77"/>
        <v>161.465</v>
      </c>
      <c r="D438" t="str">
        <f t="shared" si="89"/>
        <v>UFD</v>
      </c>
      <c r="E438" s="169" t="str">
        <f>IF(OR(A438="",B438="",C438=""),"eine der Spalten BAB, FR, km leer?",CONCATENATE(VLOOKUP(VALUE(I438),[1]Grundlage!$A$1:$B$14,2,0),IF(LEFT(A438,1)="A",IF(VALUE(MID(A438,2,10))&lt;10,"A00"&amp;VALUE(MID(A438,2,10)),IF(VALUE(MID(A438,2,10))&lt;100,"A0"&amp;VALUE(MID(A438,2,10)),IF(VALUE(MID(A438,2,10))&lt;1000,"A"&amp;VALUE(MID(A438,2,10))))),IF(LEFT(A438,1)="B",IF(VALUE(MID(A438,2,10))&lt;10,"B00"&amp;VALUE(MID(A438,2,10)),IF(VALUE(MID(A438,2,10))&lt;100,"B0"&amp;VALUE(MID(A438,2,10)),IF(VALUE(MID(A438,2,10))&lt;1000,"B"&amp;VALUE(MID(A438,2,10))))),A438)),"_",IF(NOT(OR(C438=1000,C438&gt;1000)),MID(TEXT((C438+1000)*1000,0),2,6),"keine Meter in Spalte km!!!"),IF(VALUE(I438)=1,CONCATENATE("_",VLOOKUP(IF(V438&gt;0,V438,J438),[1]Grundlage!$A$20:$B$181,2,0)),CONCATENATE("_",B438))))</f>
        <v>UQ_A096_161465_O</v>
      </c>
      <c r="F438" s="2" t="s">
        <v>28</v>
      </c>
      <c r="G438" s="167">
        <f t="shared" si="87"/>
        <v>37538</v>
      </c>
      <c r="H438">
        <f t="shared" si="88"/>
        <v>16</v>
      </c>
      <c r="I438" s="2">
        <f t="shared" si="79"/>
        <v>3</v>
      </c>
      <c r="J438" s="2">
        <f t="shared" si="80"/>
        <v>15</v>
      </c>
      <c r="K438" s="2">
        <v>207</v>
      </c>
      <c r="L438" s="2">
        <f t="shared" si="81"/>
        <v>8</v>
      </c>
      <c r="M438" s="2">
        <f t="shared" si="82"/>
        <v>1</v>
      </c>
      <c r="N438" s="2">
        <f t="shared" si="83"/>
        <v>6</v>
      </c>
      <c r="P438" s="168">
        <f t="shared" si="84"/>
        <v>65</v>
      </c>
      <c r="AI438" s="21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9">
        <v>3</v>
      </c>
      <c r="AU438" s="14">
        <v>15</v>
      </c>
      <c r="AV438" s="14" t="s">
        <v>82</v>
      </c>
      <c r="AW438" s="13"/>
      <c r="AX438" s="13"/>
      <c r="AY438" s="19">
        <v>1</v>
      </c>
      <c r="AZ438" s="14">
        <v>6</v>
      </c>
      <c r="BA438" s="14">
        <v>6</v>
      </c>
      <c r="BB438" s="13" t="s">
        <v>28</v>
      </c>
      <c r="BC438" s="25"/>
      <c r="BD438" s="25"/>
      <c r="BE438" s="13"/>
      <c r="BF438" s="13" t="s">
        <v>482</v>
      </c>
    </row>
    <row r="439" spans="1:58" ht="14.25" x14ac:dyDescent="0.2">
      <c r="A439" t="str">
        <f t="shared" si="76"/>
        <v>A96</v>
      </c>
      <c r="B439" s="2" t="s">
        <v>658</v>
      </c>
      <c r="C439">
        <f t="shared" si="77"/>
        <v>161.465</v>
      </c>
      <c r="D439" t="str">
        <f t="shared" si="89"/>
        <v>UFD</v>
      </c>
      <c r="E439" s="169" t="str">
        <f>IF(OR(A439="",B439="",C439=""),"eine der Spalten BAB, FR, km leer?",CONCATENATE(VLOOKUP(VALUE(I439),[1]Grundlage!$A$1:$B$14,2,0),IF(LEFT(A439,1)="A",IF(VALUE(MID(A439,2,10))&lt;10,"A00"&amp;VALUE(MID(A439,2,10)),IF(VALUE(MID(A439,2,10))&lt;100,"A0"&amp;VALUE(MID(A439,2,10)),IF(VALUE(MID(A439,2,10))&lt;1000,"A"&amp;VALUE(MID(A439,2,10))))),IF(LEFT(A439,1)="B",IF(VALUE(MID(A439,2,10))&lt;10,"B00"&amp;VALUE(MID(A439,2,10)),IF(VALUE(MID(A439,2,10))&lt;100,"B0"&amp;VALUE(MID(A439,2,10)),IF(VALUE(MID(A439,2,10))&lt;1000,"B"&amp;VALUE(MID(A439,2,10))))),A439)),"_",IF(NOT(OR(C439=1000,C439&gt;1000)),MID(TEXT((C439+1000)*1000,0),2,6),"keine Meter in Spalte km!!!"),IF(VALUE(I439)=1,CONCATENATE("_",VLOOKUP(IF(V439&gt;0,V439,J439),[1]Grundlage!$A$20:$B$181,2,0)),CONCATENATE("_",B439))))</f>
        <v>UQ_A096_161465_O</v>
      </c>
      <c r="F439" s="2" t="s">
        <v>29</v>
      </c>
      <c r="G439" s="167">
        <f t="shared" si="87"/>
        <v>37538</v>
      </c>
      <c r="H439">
        <f t="shared" si="88"/>
        <v>16</v>
      </c>
      <c r="I439" s="2">
        <f t="shared" si="79"/>
        <v>3</v>
      </c>
      <c r="J439" s="2">
        <f t="shared" si="80"/>
        <v>19</v>
      </c>
      <c r="K439" s="2">
        <v>207</v>
      </c>
      <c r="L439" s="2">
        <f t="shared" si="81"/>
        <v>8</v>
      </c>
      <c r="M439" s="2">
        <f t="shared" si="82"/>
        <v>1</v>
      </c>
      <c r="N439" s="2">
        <f t="shared" si="83"/>
        <v>7</v>
      </c>
      <c r="P439" s="168">
        <f t="shared" si="84"/>
        <v>49</v>
      </c>
      <c r="AI439" s="21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9">
        <v>3</v>
      </c>
      <c r="AU439" s="14">
        <v>19</v>
      </c>
      <c r="AV439" s="14">
        <v>13</v>
      </c>
      <c r="AW439" s="13"/>
      <c r="AX439" s="13"/>
      <c r="AY439" s="19">
        <v>1</v>
      </c>
      <c r="AZ439" s="14">
        <v>7</v>
      </c>
      <c r="BA439" s="14">
        <v>7</v>
      </c>
      <c r="BB439" s="13" t="s">
        <v>29</v>
      </c>
      <c r="BC439" s="25"/>
      <c r="BD439" s="25"/>
      <c r="BE439" s="13"/>
      <c r="BF439" s="13" t="s">
        <v>479</v>
      </c>
    </row>
    <row r="440" spans="1:58" ht="14.25" x14ac:dyDescent="0.2">
      <c r="A440" t="str">
        <f t="shared" si="76"/>
        <v>A96</v>
      </c>
      <c r="B440" s="2" t="s">
        <v>658</v>
      </c>
      <c r="C440">
        <f t="shared" si="77"/>
        <v>161.465</v>
      </c>
      <c r="D440" t="str">
        <f t="shared" si="89"/>
        <v>UFD</v>
      </c>
      <c r="E440" s="169" t="str">
        <f>IF(OR(A440="",B440="",C440=""),"eine der Spalten BAB, FR, km leer?",CONCATENATE(VLOOKUP(VALUE(I440),[1]Grundlage!$A$1:$B$14,2,0),IF(LEFT(A440,1)="A",IF(VALUE(MID(A440,2,10))&lt;10,"A00"&amp;VALUE(MID(A440,2,10)),IF(VALUE(MID(A440,2,10))&lt;100,"A0"&amp;VALUE(MID(A440,2,10)),IF(VALUE(MID(A440,2,10))&lt;1000,"A"&amp;VALUE(MID(A440,2,10))))),IF(LEFT(A440,1)="B",IF(VALUE(MID(A440,2,10))&lt;10,"B00"&amp;VALUE(MID(A440,2,10)),IF(VALUE(MID(A440,2,10))&lt;100,"B0"&amp;VALUE(MID(A440,2,10)),IF(VALUE(MID(A440,2,10))&lt;1000,"B"&amp;VALUE(MID(A440,2,10))))),A440)),"_",IF(NOT(OR(C440=1000,C440&gt;1000)),MID(TEXT((C440+1000)*1000,0),2,6),"keine Meter in Spalte km!!!"),IF(VALUE(I440)=1,CONCATENATE("_",VLOOKUP(IF(V440&gt;0,V440,J440),[1]Grundlage!$A$20:$B$181,2,0)),CONCATENATE("_",B440))))</f>
        <v>UQ_A096_161465_O</v>
      </c>
      <c r="F440" s="2" t="s">
        <v>30</v>
      </c>
      <c r="G440" s="167">
        <f t="shared" si="87"/>
        <v>37538</v>
      </c>
      <c r="H440">
        <f t="shared" si="88"/>
        <v>16</v>
      </c>
      <c r="I440" s="2">
        <f t="shared" si="79"/>
        <v>3</v>
      </c>
      <c r="J440" s="2">
        <f t="shared" si="80"/>
        <v>21</v>
      </c>
      <c r="K440" s="2">
        <v>207</v>
      </c>
      <c r="L440" s="2">
        <f t="shared" si="81"/>
        <v>8</v>
      </c>
      <c r="M440" s="2">
        <f t="shared" si="82"/>
        <v>1</v>
      </c>
      <c r="N440" s="2">
        <f t="shared" si="83"/>
        <v>8</v>
      </c>
      <c r="P440" s="168">
        <f t="shared" si="84"/>
        <v>67</v>
      </c>
      <c r="AI440" s="21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9">
        <v>3</v>
      </c>
      <c r="AU440" s="14">
        <v>21</v>
      </c>
      <c r="AV440" s="14">
        <v>15</v>
      </c>
      <c r="AW440" s="13"/>
      <c r="AX440" s="13"/>
      <c r="AY440" s="19">
        <v>1</v>
      </c>
      <c r="AZ440" s="14">
        <v>8</v>
      </c>
      <c r="BA440" s="14">
        <v>8</v>
      </c>
      <c r="BB440" s="13" t="s">
        <v>30</v>
      </c>
      <c r="BC440" s="25"/>
      <c r="BD440" s="25"/>
      <c r="BE440" s="13"/>
      <c r="BF440" s="13" t="s">
        <v>480</v>
      </c>
    </row>
    <row r="441" spans="1:58" ht="14.25" x14ac:dyDescent="0.2">
      <c r="A441" t="str">
        <f t="shared" si="76"/>
        <v>A96</v>
      </c>
      <c r="B441" s="2" t="s">
        <v>658</v>
      </c>
      <c r="C441">
        <f t="shared" si="77"/>
        <v>161.465</v>
      </c>
      <c r="D441" t="str">
        <f t="shared" si="89"/>
        <v>UFD</v>
      </c>
      <c r="E441" s="169" t="str">
        <f>IF(OR(A441="",B441="",C441=""),"eine der Spalten BAB, FR, km leer?",CONCATENATE(VLOOKUP(VALUE(I441),[1]Grundlage!$A$1:$B$14,2,0),IF(LEFT(A441,1)="A",IF(VALUE(MID(A441,2,10))&lt;10,"A00"&amp;VALUE(MID(A441,2,10)),IF(VALUE(MID(A441,2,10))&lt;100,"A0"&amp;VALUE(MID(A441,2,10)),IF(VALUE(MID(A441,2,10))&lt;1000,"A"&amp;VALUE(MID(A441,2,10))))),IF(LEFT(A441,1)="B",IF(VALUE(MID(A441,2,10))&lt;10,"B00"&amp;VALUE(MID(A441,2,10)),IF(VALUE(MID(A441,2,10))&lt;100,"B0"&amp;VALUE(MID(A441,2,10)),IF(VALUE(MID(A441,2,10))&lt;1000,"B"&amp;VALUE(MID(A441,2,10))))),A441)),"_",IF(NOT(OR(C441=1000,C441&gt;1000)),MID(TEXT((C441+1000)*1000,0),2,6),"keine Meter in Spalte km!!!"),IF(VALUE(I441)=1,CONCATENATE("_",VLOOKUP(IF(V441&gt;0,V441,J441),[1]Grundlage!$A$20:$B$181,2,0)),CONCATENATE("_",B441))))</f>
        <v>UQ_A096_161465_O</v>
      </c>
      <c r="F441" s="2" t="s">
        <v>34</v>
      </c>
      <c r="G441" s="167">
        <f t="shared" si="87"/>
        <v>37538</v>
      </c>
      <c r="H441">
        <f t="shared" si="88"/>
        <v>16</v>
      </c>
      <c r="I441" s="2">
        <f t="shared" si="79"/>
        <v>3</v>
      </c>
      <c r="J441" s="2">
        <f t="shared" si="80"/>
        <v>27</v>
      </c>
      <c r="K441" s="2">
        <v>207</v>
      </c>
      <c r="L441" s="2">
        <f t="shared" si="81"/>
        <v>8</v>
      </c>
      <c r="M441" s="2">
        <f t="shared" si="82"/>
        <v>1</v>
      </c>
      <c r="N441" s="2">
        <f t="shared" si="83"/>
        <v>9</v>
      </c>
      <c r="P441" s="168">
        <f t="shared" si="84"/>
        <v>69</v>
      </c>
      <c r="AI441" s="21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9">
        <v>3</v>
      </c>
      <c r="AU441" s="14">
        <v>27</v>
      </c>
      <c r="AV441" s="14">
        <v>18</v>
      </c>
      <c r="AW441" s="13"/>
      <c r="AX441" s="13"/>
      <c r="AY441" s="19">
        <v>1</v>
      </c>
      <c r="AZ441" s="14">
        <v>9</v>
      </c>
      <c r="BA441" s="14">
        <v>9</v>
      </c>
      <c r="BB441" s="13" t="s">
        <v>34</v>
      </c>
      <c r="BC441" s="25"/>
      <c r="BD441" s="25"/>
      <c r="BE441" s="13"/>
      <c r="BF441" s="13" t="s">
        <v>465</v>
      </c>
    </row>
    <row r="442" spans="1:58" ht="14.25" x14ac:dyDescent="0.2">
      <c r="A442" t="str">
        <f t="shared" si="76"/>
        <v>A96</v>
      </c>
      <c r="B442" s="2" t="s">
        <v>658</v>
      </c>
      <c r="C442">
        <f t="shared" si="77"/>
        <v>161.465</v>
      </c>
      <c r="D442" t="str">
        <f t="shared" si="89"/>
        <v>UFD</v>
      </c>
      <c r="E442" s="169" t="str">
        <f>IF(OR(A442="",B442="",C442=""),"eine der Spalten BAB, FR, km leer?",CONCATENATE(VLOOKUP(VALUE(I442),[1]Grundlage!$A$1:$B$14,2,0),IF(LEFT(A442,1)="A",IF(VALUE(MID(A442,2,10))&lt;10,"A00"&amp;VALUE(MID(A442,2,10)),IF(VALUE(MID(A442,2,10))&lt;100,"A0"&amp;VALUE(MID(A442,2,10)),IF(VALUE(MID(A442,2,10))&lt;1000,"A"&amp;VALUE(MID(A442,2,10))))),IF(LEFT(A442,1)="B",IF(VALUE(MID(A442,2,10))&lt;10,"B00"&amp;VALUE(MID(A442,2,10)),IF(VALUE(MID(A442,2,10))&lt;100,"B0"&amp;VALUE(MID(A442,2,10)),IF(VALUE(MID(A442,2,10))&lt;1000,"B"&amp;VALUE(MID(A442,2,10))))),A442)),"_",IF(NOT(OR(C442=1000,C442&gt;1000)),MID(TEXT((C442+1000)*1000,0),2,6),"keine Meter in Spalte km!!!"),IF(VALUE(I442)=1,CONCATENATE("_",VLOOKUP(IF(V442&gt;0,V442,J442),[1]Grundlage!$A$20:$B$181,2,0)),CONCATENATE("_",B442))))</f>
        <v>UQ_A096_161465_O</v>
      </c>
      <c r="F442" s="2" t="s">
        <v>271</v>
      </c>
      <c r="G442" s="167">
        <f t="shared" si="87"/>
        <v>37538</v>
      </c>
      <c r="H442">
        <f t="shared" si="88"/>
        <v>16</v>
      </c>
      <c r="I442" s="2">
        <f t="shared" si="79"/>
        <v>3</v>
      </c>
      <c r="J442" s="2">
        <f t="shared" si="80"/>
        <v>67</v>
      </c>
      <c r="K442" s="2">
        <v>207</v>
      </c>
      <c r="L442" s="2">
        <f t="shared" si="81"/>
        <v>8</v>
      </c>
      <c r="M442" s="2">
        <f t="shared" si="82"/>
        <v>1</v>
      </c>
      <c r="N442" s="2">
        <f t="shared" si="83"/>
        <v>10</v>
      </c>
      <c r="P442" s="168">
        <f t="shared" si="84"/>
        <v>53</v>
      </c>
      <c r="AI442" s="21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9">
        <v>3</v>
      </c>
      <c r="AU442" s="14">
        <v>67</v>
      </c>
      <c r="AV442" s="14">
        <v>43</v>
      </c>
      <c r="AW442" s="13"/>
      <c r="AX442" s="13"/>
      <c r="AY442" s="19">
        <v>1</v>
      </c>
      <c r="AZ442" s="14">
        <v>10</v>
      </c>
      <c r="BA442" s="34" t="s">
        <v>95</v>
      </c>
      <c r="BB442" s="13" t="s">
        <v>271</v>
      </c>
      <c r="BC442" s="25"/>
      <c r="BD442" s="25"/>
      <c r="BE442" s="13"/>
      <c r="BF442" s="13" t="s">
        <v>444</v>
      </c>
    </row>
    <row r="443" spans="1:58" ht="14.25" x14ac:dyDescent="0.2">
      <c r="A443" t="str">
        <f t="shared" si="76"/>
        <v>A96</v>
      </c>
      <c r="B443" s="2" t="s">
        <v>658</v>
      </c>
      <c r="C443">
        <f t="shared" si="77"/>
        <v>161.465</v>
      </c>
      <c r="D443" t="str">
        <f t="shared" si="89"/>
        <v>UFD</v>
      </c>
      <c r="E443" s="169" t="str">
        <f>IF(OR(A443="",B443="",C443=""),"eine der Spalten BAB, FR, km leer?",CONCATENATE(VLOOKUP(VALUE(I443),[1]Grundlage!$A$1:$B$14,2,0),IF(LEFT(A443,1)="A",IF(VALUE(MID(A443,2,10))&lt;10,"A00"&amp;VALUE(MID(A443,2,10)),IF(VALUE(MID(A443,2,10))&lt;100,"A0"&amp;VALUE(MID(A443,2,10)),IF(VALUE(MID(A443,2,10))&lt;1000,"A"&amp;VALUE(MID(A443,2,10))))),IF(LEFT(A443,1)="B",IF(VALUE(MID(A443,2,10))&lt;10,"B00"&amp;VALUE(MID(A443,2,10)),IF(VALUE(MID(A443,2,10))&lt;100,"B0"&amp;VALUE(MID(A443,2,10)),IF(VALUE(MID(A443,2,10))&lt;1000,"B"&amp;VALUE(MID(A443,2,10))))),A443)),"_",IF(NOT(OR(C443=1000,C443&gt;1000)),MID(TEXT((C443+1000)*1000,0),2,6),"keine Meter in Spalte km!!!"),IF(VALUE(I443)=1,CONCATENATE("_",VLOOKUP(IF(V443&gt;0,V443,J443),[1]Grundlage!$A$20:$B$181,2,0)),CONCATENATE("_",B443))))</f>
        <v>UQ_A096_161465_O</v>
      </c>
      <c r="F443" s="2" t="s">
        <v>272</v>
      </c>
      <c r="G443" s="167">
        <f t="shared" si="87"/>
        <v>37538</v>
      </c>
      <c r="H443">
        <f t="shared" si="88"/>
        <v>16</v>
      </c>
      <c r="I443" s="2">
        <f t="shared" si="79"/>
        <v>3</v>
      </c>
      <c r="J443" s="2">
        <f t="shared" si="80"/>
        <v>82</v>
      </c>
      <c r="K443" s="2">
        <v>207</v>
      </c>
      <c r="L443" s="2">
        <f t="shared" si="81"/>
        <v>8</v>
      </c>
      <c r="M443" s="2">
        <f t="shared" si="82"/>
        <v>1</v>
      </c>
      <c r="N443" s="2">
        <f t="shared" si="83"/>
        <v>11</v>
      </c>
      <c r="P443" s="168">
        <f t="shared" si="84"/>
        <v>72</v>
      </c>
      <c r="AI443" s="21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9">
        <v>3</v>
      </c>
      <c r="AU443" s="14">
        <v>82</v>
      </c>
      <c r="AV443" s="14">
        <v>52</v>
      </c>
      <c r="AW443" s="13"/>
      <c r="AX443" s="13"/>
      <c r="AY443" s="19">
        <v>1</v>
      </c>
      <c r="AZ443" s="14">
        <v>11</v>
      </c>
      <c r="BA443" s="34" t="s">
        <v>78</v>
      </c>
      <c r="BB443" s="13" t="s">
        <v>272</v>
      </c>
      <c r="BC443" s="25"/>
      <c r="BD443" s="25"/>
      <c r="BE443" s="13"/>
      <c r="BF443" s="13" t="s">
        <v>481</v>
      </c>
    </row>
    <row r="444" spans="1:58" ht="14.25" x14ac:dyDescent="0.2">
      <c r="A444" t="str">
        <f t="shared" si="76"/>
        <v>A96</v>
      </c>
      <c r="C444">
        <f t="shared" si="77"/>
        <v>161.465</v>
      </c>
      <c r="D444" t="str">
        <f t="shared" si="89"/>
        <v/>
      </c>
      <c r="E444" s="169" t="str">
        <f>IF(OR(A444="",B444="",C444=""),"",CONCATENATE(VLOOKUP(VALUE(I444),[1]Grundlage!$A$1:$B$14,2,0),IF(LEFT(A444,1)="A",IF(VALUE(MID(A444,2,10))&lt;10,"A00"&amp;VALUE(MID(A444,2,10)),IF(VALUE(MID(A444,2,10))&lt;100,"A0"&amp;VALUE(MID(A444,2,10)),IF(VALUE(MID(A444,2,10))&lt;1000,"A"&amp;VALUE(MID(A444,2,10))))),IF(LEFT(A444,1)="B",IF(VALUE(MID(A444,2,10))&lt;10,"B00"&amp;VALUE(MID(A444,2,10)),IF(VALUE(MID(A444,2,10))&lt;100,"B0"&amp;VALUE(MID(A444,2,10)),IF(VALUE(MID(A444,2,10))&lt;1000,"B"&amp;VALUE(MID(A444,2,10))))),A444)),"_",IF(NOT(OR(C444=1000,C444&gt;1000)),MID(TEXT((C444+1000)*1000,0),2,6),"keine Meter in Spalte km!!!"),IF(VALUE(I444)=1,CONCATENATE("_",VLOOKUP(IF(V444&gt;0,V444,J444),[1]Grundlage!$A$20:$B$181,2,0)),CONCATENATE("_",B444))))</f>
        <v/>
      </c>
      <c r="F444" s="2" t="s">
        <v>669</v>
      </c>
      <c r="G444" s="167">
        <f t="shared" si="87"/>
        <v>37538</v>
      </c>
      <c r="H444">
        <f t="shared" si="88"/>
        <v>16</v>
      </c>
      <c r="I444" s="2">
        <f t="shared" si="79"/>
        <v>0</v>
      </c>
      <c r="J444" s="2">
        <f t="shared" si="80"/>
        <v>0</v>
      </c>
      <c r="K444" s="2">
        <v>207</v>
      </c>
      <c r="L444" s="2">
        <f t="shared" si="81"/>
        <v>8</v>
      </c>
      <c r="M444" s="2" t="str">
        <f t="shared" si="82"/>
        <v/>
      </c>
      <c r="N444" s="2" t="str">
        <f t="shared" si="83"/>
        <v/>
      </c>
      <c r="P444" s="168" t="str">
        <f t="shared" si="84"/>
        <v/>
      </c>
      <c r="AT444" s="1"/>
      <c r="AU444" s="11"/>
      <c r="AV444" s="11"/>
      <c r="AY444" s="1"/>
      <c r="AZ444" s="14"/>
      <c r="BA444" s="11"/>
    </row>
    <row r="445" spans="1:58" ht="14.25" x14ac:dyDescent="0.2">
      <c r="A445" t="str">
        <f t="shared" si="76"/>
        <v>A96</v>
      </c>
      <c r="B445" s="2" t="s">
        <v>657</v>
      </c>
      <c r="C445">
        <f t="shared" si="77"/>
        <v>133.923</v>
      </c>
      <c r="D445" t="str">
        <f t="shared" si="89"/>
        <v>SS</v>
      </c>
      <c r="E445" s="169" t="str">
        <f>IF(OR(A445="",B445="",C445=""),"eine der Spalten BAB, FR, km leer?",CONCATENATE(VLOOKUP(VALUE(I445),[1]Grundlage!$A$1:$B$14,2,0),IF(LEFT(A445,1)="A",IF(VALUE(MID(A445,2,10))&lt;10,"A00"&amp;VALUE(MID(A445,2,10)),IF(VALUE(MID(A445,2,10))&lt;100,"A0"&amp;VALUE(MID(A445,2,10)),IF(VALUE(MID(A445,2,10))&lt;1000,"A"&amp;VALUE(MID(A445,2,10))))),IF(LEFT(A445,1)="B",IF(VALUE(MID(A445,2,10))&lt;10,"B00"&amp;VALUE(MID(A445,2,10)),IF(VALUE(MID(A445,2,10))&lt;100,"B0"&amp;VALUE(MID(A445,2,10)),IF(VALUE(MID(A445,2,10))&lt;1000,"B"&amp;VALUE(MID(A445,2,10))))),A445)),"_",IF(NOT(OR(C445=1000,C445&gt;1000)),MID(TEXT((C445+1000)*1000,0),2,6),"keine Meter in Spalte km!!!"),IF(VALUE(I445)=1,CONCATENATE("_",VLOOKUP(IF(V445&gt;0,V445,J445),[1]Grundlage!$A$20:$B$181,2,0)),CONCATENATE("_",B445))))</f>
        <v>SSt_A096_133923_W</v>
      </c>
      <c r="F445" s="2" t="s">
        <v>206</v>
      </c>
      <c r="G445" s="167">
        <f t="shared" si="87"/>
        <v>37574</v>
      </c>
      <c r="H445">
        <f t="shared" si="88"/>
        <v>161</v>
      </c>
      <c r="I445" s="2">
        <f t="shared" si="79"/>
        <v>254</v>
      </c>
      <c r="J445" s="2">
        <f t="shared" si="80"/>
        <v>0</v>
      </c>
      <c r="K445" s="2">
        <v>207</v>
      </c>
      <c r="L445" s="2">
        <f t="shared" si="81"/>
        <v>9</v>
      </c>
      <c r="M445" s="2" t="str">
        <f t="shared" si="82"/>
        <v/>
      </c>
      <c r="N445" s="2" t="str">
        <f t="shared" si="83"/>
        <v/>
      </c>
      <c r="P445" s="168" t="str">
        <f t="shared" si="84"/>
        <v/>
      </c>
      <c r="AI445" s="35">
        <v>133.923</v>
      </c>
      <c r="AJ445" s="36" t="s">
        <v>19</v>
      </c>
      <c r="AK445" s="36" t="s">
        <v>51</v>
      </c>
      <c r="AL445" s="36"/>
      <c r="AM445" s="36"/>
      <c r="AN445" s="36"/>
      <c r="AO445" s="36"/>
      <c r="AP445" s="45">
        <v>9619105</v>
      </c>
      <c r="AQ445" s="45">
        <v>92</v>
      </c>
      <c r="AR445" s="45" t="s">
        <v>203</v>
      </c>
      <c r="AS445" s="45" t="s">
        <v>204</v>
      </c>
      <c r="AT445" s="39"/>
      <c r="AU445" s="39"/>
      <c r="AV445" s="39"/>
      <c r="AW445" s="36"/>
      <c r="AX445" s="36">
        <v>9</v>
      </c>
      <c r="AY445" s="36"/>
      <c r="AZ445" s="36"/>
      <c r="BA445" s="39"/>
      <c r="BB445" s="37" t="s">
        <v>206</v>
      </c>
      <c r="BC445" s="38"/>
      <c r="BD445" s="99" t="s">
        <v>163</v>
      </c>
      <c r="BE445" s="39" t="s">
        <v>103</v>
      </c>
      <c r="BF445" s="2" t="s">
        <v>452</v>
      </c>
    </row>
    <row r="446" spans="1:58" ht="14.25" x14ac:dyDescent="0.2">
      <c r="A446" t="str">
        <f t="shared" si="76"/>
        <v>A96</v>
      </c>
      <c r="B446" s="2" t="s">
        <v>657</v>
      </c>
      <c r="C446">
        <f t="shared" si="77"/>
        <v>133.923</v>
      </c>
      <c r="D446" t="str">
        <f t="shared" si="89"/>
        <v>UFD</v>
      </c>
      <c r="E446" s="169" t="str">
        <f>IF(OR(A446="",B446="",C446=""),"eine der Spalten BAB, FR, km leer?",CONCATENATE(VLOOKUP(VALUE(I446),[1]Grundlage!$A$1:$B$14,2,0),IF(LEFT(A446,1)="A",IF(VALUE(MID(A446,2,10))&lt;10,"A00"&amp;VALUE(MID(A446,2,10)),IF(VALUE(MID(A446,2,10))&lt;100,"A0"&amp;VALUE(MID(A446,2,10)),IF(VALUE(MID(A446,2,10))&lt;1000,"A"&amp;VALUE(MID(A446,2,10))))),IF(LEFT(A446,1)="B",IF(VALUE(MID(A446,2,10))&lt;10,"B00"&amp;VALUE(MID(A446,2,10)),IF(VALUE(MID(A446,2,10))&lt;100,"B0"&amp;VALUE(MID(A446,2,10)),IF(VALUE(MID(A446,2,10))&lt;1000,"B"&amp;VALUE(MID(A446,2,10))))),A446)),"_",IF(NOT(OR(C446=1000,C446&gt;1000)),MID(TEXT((C446+1000)*1000,0),2,6),"keine Meter in Spalte km!!!"),IF(VALUE(I446)=1,CONCATENATE("_",VLOOKUP(IF(V446&gt;0,V446,J446),[1]Grundlage!$A$20:$B$181,2,0)),CONCATENATE("_",B446))))</f>
        <v>UQ_A096_133923_W</v>
      </c>
      <c r="F446" s="2" t="s">
        <v>269</v>
      </c>
      <c r="G446" s="167">
        <f t="shared" si="87"/>
        <v>37574</v>
      </c>
      <c r="H446">
        <f t="shared" si="88"/>
        <v>161</v>
      </c>
      <c r="I446" s="2">
        <f t="shared" si="79"/>
        <v>3</v>
      </c>
      <c r="J446" s="2">
        <f t="shared" si="80"/>
        <v>6</v>
      </c>
      <c r="K446" s="2">
        <v>207</v>
      </c>
      <c r="L446" s="2">
        <f t="shared" si="81"/>
        <v>9</v>
      </c>
      <c r="M446" s="2">
        <f t="shared" si="82"/>
        <v>1</v>
      </c>
      <c r="N446" s="2">
        <f t="shared" si="83"/>
        <v>1</v>
      </c>
      <c r="P446" s="168">
        <f t="shared" si="84"/>
        <v>71</v>
      </c>
      <c r="AI446" s="21"/>
      <c r="AJ446" s="13"/>
      <c r="AK446" s="13"/>
      <c r="AL446" s="13"/>
      <c r="AM446" s="13"/>
      <c r="AN446" s="13"/>
      <c r="AO446" s="13"/>
      <c r="AP446" s="77"/>
      <c r="AQ446" s="77"/>
      <c r="AR446" s="77"/>
      <c r="AS446" s="77"/>
      <c r="AT446" s="19">
        <v>3</v>
      </c>
      <c r="AU446" s="14">
        <v>6</v>
      </c>
      <c r="AV446" s="27">
        <v>6</v>
      </c>
      <c r="AW446" s="19"/>
      <c r="AX446" s="19"/>
      <c r="AY446" s="19">
        <v>1</v>
      </c>
      <c r="AZ446" s="14">
        <v>1</v>
      </c>
      <c r="BA446" s="27">
        <v>1</v>
      </c>
      <c r="BB446" s="13" t="s">
        <v>269</v>
      </c>
      <c r="BC446" s="25"/>
      <c r="BD446" s="25"/>
      <c r="BE446" s="13"/>
      <c r="BF446" s="2" t="s">
        <v>440</v>
      </c>
    </row>
    <row r="447" spans="1:58" ht="14.25" x14ac:dyDescent="0.2">
      <c r="A447" t="str">
        <f t="shared" si="76"/>
        <v>A96</v>
      </c>
      <c r="B447" s="2" t="s">
        <v>657</v>
      </c>
      <c r="C447">
        <f t="shared" si="77"/>
        <v>133.923</v>
      </c>
      <c r="D447" t="str">
        <f t="shared" si="89"/>
        <v>UFD</v>
      </c>
      <c r="E447" s="169" t="str">
        <f>IF(OR(A447="",B447="",C447=""),"eine der Spalten BAB, FR, km leer?",CONCATENATE(VLOOKUP(VALUE(I447),[1]Grundlage!$A$1:$B$14,2,0),IF(LEFT(A447,1)="A",IF(VALUE(MID(A447,2,10))&lt;10,"A00"&amp;VALUE(MID(A447,2,10)),IF(VALUE(MID(A447,2,10))&lt;100,"A0"&amp;VALUE(MID(A447,2,10)),IF(VALUE(MID(A447,2,10))&lt;1000,"A"&amp;VALUE(MID(A447,2,10))))),IF(LEFT(A447,1)="B",IF(VALUE(MID(A447,2,10))&lt;10,"B00"&amp;VALUE(MID(A447,2,10)),IF(VALUE(MID(A447,2,10))&lt;100,"B0"&amp;VALUE(MID(A447,2,10)),IF(VALUE(MID(A447,2,10))&lt;1000,"B"&amp;VALUE(MID(A447,2,10))))),A447)),"_",IF(NOT(OR(C447=1000,C447&gt;1000)),MID(TEXT((C447+1000)*1000,0),2,6),"keine Meter in Spalte km!!!"),IF(VALUE(I447)=1,CONCATENATE("_",VLOOKUP(IF(V447&gt;0,V447,J447),[1]Grundlage!$A$20:$B$181,2,0)),CONCATENATE("_",B447))))</f>
        <v>UQ_A096_133923_W</v>
      </c>
      <c r="F447" s="2" t="s">
        <v>270</v>
      </c>
      <c r="G447" s="167">
        <f t="shared" si="87"/>
        <v>37574</v>
      </c>
      <c r="H447">
        <f t="shared" si="88"/>
        <v>161</v>
      </c>
      <c r="I447" s="2">
        <f t="shared" si="79"/>
        <v>3</v>
      </c>
      <c r="J447" s="2">
        <f t="shared" si="80"/>
        <v>11</v>
      </c>
      <c r="K447" s="2">
        <v>207</v>
      </c>
      <c r="L447" s="2">
        <f t="shared" si="81"/>
        <v>9</v>
      </c>
      <c r="M447" s="2">
        <f t="shared" si="82"/>
        <v>1</v>
      </c>
      <c r="N447" s="2">
        <f t="shared" si="83"/>
        <v>2</v>
      </c>
      <c r="P447" s="168">
        <f t="shared" si="84"/>
        <v>70</v>
      </c>
      <c r="AI447" s="21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9">
        <v>3</v>
      </c>
      <c r="AU447" s="14">
        <v>11</v>
      </c>
      <c r="AV447" s="14" t="s">
        <v>78</v>
      </c>
      <c r="AW447" s="13"/>
      <c r="AX447" s="13"/>
      <c r="AY447" s="19">
        <v>1</v>
      </c>
      <c r="AZ447" s="14">
        <v>2</v>
      </c>
      <c r="BA447" s="14">
        <v>2</v>
      </c>
      <c r="BB447" s="13" t="s">
        <v>270</v>
      </c>
      <c r="BC447" s="25"/>
      <c r="BD447" s="25"/>
      <c r="BE447" s="13"/>
      <c r="BF447" s="2" t="s">
        <v>520</v>
      </c>
    </row>
    <row r="448" spans="1:58" ht="14.25" x14ac:dyDescent="0.2">
      <c r="A448" t="str">
        <f t="shared" si="76"/>
        <v>A96</v>
      </c>
      <c r="B448" s="2" t="s">
        <v>657</v>
      </c>
      <c r="C448">
        <f t="shared" si="77"/>
        <v>133.923</v>
      </c>
      <c r="D448" t="str">
        <f t="shared" si="89"/>
        <v>UFD</v>
      </c>
      <c r="E448" s="169" t="str">
        <f>IF(OR(A448="",B448="",C448=""),"eine der Spalten BAB, FR, km leer?",CONCATENATE(VLOOKUP(VALUE(I448),[1]Grundlage!$A$1:$B$14,2,0),IF(LEFT(A448,1)="A",IF(VALUE(MID(A448,2,10))&lt;10,"A00"&amp;VALUE(MID(A448,2,10)),IF(VALUE(MID(A448,2,10))&lt;100,"A0"&amp;VALUE(MID(A448,2,10)),IF(VALUE(MID(A448,2,10))&lt;1000,"A"&amp;VALUE(MID(A448,2,10))))),IF(LEFT(A448,1)="B",IF(VALUE(MID(A448,2,10))&lt;10,"B00"&amp;VALUE(MID(A448,2,10)),IF(VALUE(MID(A448,2,10))&lt;100,"B0"&amp;VALUE(MID(A448,2,10)),IF(VALUE(MID(A448,2,10))&lt;1000,"B"&amp;VALUE(MID(A448,2,10))))),A448)),"_",IF(NOT(OR(C448=1000,C448&gt;1000)),MID(TEXT((C448+1000)*1000,0),2,6),"keine Meter in Spalte km!!!"),IF(VALUE(I448)=1,CONCATENATE("_",VLOOKUP(IF(V448&gt;0,V448,J448),[1]Grundlage!$A$20:$B$181,2,0)),CONCATENATE("_",B448))))</f>
        <v>UQ_A096_133923_W</v>
      </c>
      <c r="F448" s="2" t="s">
        <v>25</v>
      </c>
      <c r="G448" s="167">
        <f t="shared" si="87"/>
        <v>37574</v>
      </c>
      <c r="H448">
        <f t="shared" si="88"/>
        <v>161</v>
      </c>
      <c r="I448" s="2">
        <f t="shared" si="79"/>
        <v>3</v>
      </c>
      <c r="J448" s="2">
        <f t="shared" si="80"/>
        <v>12</v>
      </c>
      <c r="K448" s="2">
        <v>207</v>
      </c>
      <c r="L448" s="2">
        <f t="shared" si="81"/>
        <v>9</v>
      </c>
      <c r="M448" s="2">
        <f t="shared" si="82"/>
        <v>63</v>
      </c>
      <c r="N448" s="2">
        <f t="shared" si="83"/>
        <v>3</v>
      </c>
      <c r="P448" s="168">
        <f t="shared" si="84"/>
        <v>48</v>
      </c>
      <c r="AI448" s="21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9">
        <v>3</v>
      </c>
      <c r="AU448" s="14">
        <v>12</v>
      </c>
      <c r="AV448" s="14" t="s">
        <v>79</v>
      </c>
      <c r="AW448" s="13"/>
      <c r="AX448" s="13"/>
      <c r="AY448" s="19">
        <v>63</v>
      </c>
      <c r="AZ448" s="14">
        <v>3</v>
      </c>
      <c r="BA448" s="14">
        <v>3</v>
      </c>
      <c r="BB448" s="13" t="s">
        <v>25</v>
      </c>
      <c r="BC448" s="25"/>
      <c r="BD448" s="25"/>
      <c r="BE448" s="13"/>
      <c r="BF448" s="13" t="s">
        <v>441</v>
      </c>
    </row>
    <row r="449" spans="1:58" ht="14.25" x14ac:dyDescent="0.2">
      <c r="A449" t="str">
        <f t="shared" si="76"/>
        <v>A96</v>
      </c>
      <c r="B449" s="2" t="s">
        <v>657</v>
      </c>
      <c r="C449">
        <f t="shared" si="77"/>
        <v>133.923</v>
      </c>
      <c r="D449" t="str">
        <f t="shared" si="89"/>
        <v>UFD</v>
      </c>
      <c r="E449" s="169" t="str">
        <f>IF(OR(A449="",B449="",C449=""),"eine der Spalten BAB, FR, km leer?",CONCATENATE(VLOOKUP(VALUE(I449),[1]Grundlage!$A$1:$B$14,2,0),IF(LEFT(A449,1)="A",IF(VALUE(MID(A449,2,10))&lt;10,"A00"&amp;VALUE(MID(A449,2,10)),IF(VALUE(MID(A449,2,10))&lt;100,"A0"&amp;VALUE(MID(A449,2,10)),IF(VALUE(MID(A449,2,10))&lt;1000,"A"&amp;VALUE(MID(A449,2,10))))),IF(LEFT(A449,1)="B",IF(VALUE(MID(A449,2,10))&lt;10,"B00"&amp;VALUE(MID(A449,2,10)),IF(VALUE(MID(A449,2,10))&lt;100,"B0"&amp;VALUE(MID(A449,2,10)),IF(VALUE(MID(A449,2,10))&lt;1000,"B"&amp;VALUE(MID(A449,2,10))))),A449)),"_",IF(NOT(OR(C449=1000,C449&gt;1000)),MID(TEXT((C449+1000)*1000,0),2,6),"keine Meter in Spalte km!!!"),IF(VALUE(I449)=1,CONCATENATE("_",VLOOKUP(IF(V449&gt;0,V449,J449),[1]Grundlage!$A$20:$B$181,2,0)),CONCATENATE("_",B449))))</f>
        <v>UQ_A096_133923_W</v>
      </c>
      <c r="F449" s="2" t="s">
        <v>26</v>
      </c>
      <c r="G449" s="167">
        <f t="shared" si="87"/>
        <v>37574</v>
      </c>
      <c r="H449">
        <f t="shared" si="88"/>
        <v>161</v>
      </c>
      <c r="I449" s="2">
        <f t="shared" si="79"/>
        <v>3</v>
      </c>
      <c r="J449" s="2">
        <f t="shared" si="80"/>
        <v>13</v>
      </c>
      <c r="K449" s="2">
        <v>207</v>
      </c>
      <c r="L449" s="2">
        <f t="shared" si="81"/>
        <v>9</v>
      </c>
      <c r="M449" s="2">
        <f t="shared" si="82"/>
        <v>63</v>
      </c>
      <c r="N449" s="2">
        <f t="shared" si="83"/>
        <v>4</v>
      </c>
      <c r="P449" s="168">
        <f t="shared" si="84"/>
        <v>55</v>
      </c>
      <c r="AI449" s="21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9">
        <v>3</v>
      </c>
      <c r="AU449" s="14">
        <v>13</v>
      </c>
      <c r="AV449" s="14" t="s">
        <v>80</v>
      </c>
      <c r="AW449" s="13"/>
      <c r="AX449" s="13"/>
      <c r="AY449" s="19">
        <v>63</v>
      </c>
      <c r="AZ449" s="14">
        <v>4</v>
      </c>
      <c r="BA449" s="14">
        <v>4</v>
      </c>
      <c r="BB449" s="13" t="s">
        <v>26</v>
      </c>
      <c r="BC449" s="25"/>
      <c r="BD449" s="25"/>
      <c r="BE449" s="13"/>
      <c r="BF449" s="13" t="s">
        <v>442</v>
      </c>
    </row>
    <row r="450" spans="1:58" ht="14.25" x14ac:dyDescent="0.2">
      <c r="A450" t="str">
        <f t="shared" si="76"/>
        <v>A96</v>
      </c>
      <c r="B450" s="2" t="s">
        <v>657</v>
      </c>
      <c r="C450">
        <f t="shared" si="77"/>
        <v>133.923</v>
      </c>
      <c r="D450" t="str">
        <f t="shared" si="89"/>
        <v>UFD</v>
      </c>
      <c r="E450" s="169" t="str">
        <f>IF(OR(A450="",B450="",C450=""),"eine der Spalten BAB, FR, km leer?",CONCATENATE(VLOOKUP(VALUE(I450),[1]Grundlage!$A$1:$B$14,2,0),IF(LEFT(A450,1)="A",IF(VALUE(MID(A450,2,10))&lt;10,"A00"&amp;VALUE(MID(A450,2,10)),IF(VALUE(MID(A450,2,10))&lt;100,"A0"&amp;VALUE(MID(A450,2,10)),IF(VALUE(MID(A450,2,10))&lt;1000,"A"&amp;VALUE(MID(A450,2,10))))),IF(LEFT(A450,1)="B",IF(VALUE(MID(A450,2,10))&lt;10,"B00"&amp;VALUE(MID(A450,2,10)),IF(VALUE(MID(A450,2,10))&lt;100,"B0"&amp;VALUE(MID(A450,2,10)),IF(VALUE(MID(A450,2,10))&lt;1000,"B"&amp;VALUE(MID(A450,2,10))))),A450)),"_",IF(NOT(OR(C450=1000,C450&gt;1000)),MID(TEXT((C450+1000)*1000,0),2,6),"keine Meter in Spalte km!!!"),IF(VALUE(I450)=1,CONCATENATE("_",VLOOKUP(IF(V450&gt;0,V450,J450),[1]Grundlage!$A$20:$B$181,2,0)),CONCATENATE("_",B450))))</f>
        <v>UQ_A096_133923_W</v>
      </c>
      <c r="F450" s="2" t="s">
        <v>27</v>
      </c>
      <c r="G450" s="167">
        <f t="shared" si="87"/>
        <v>37574</v>
      </c>
      <c r="H450">
        <f t="shared" si="88"/>
        <v>161</v>
      </c>
      <c r="I450" s="2">
        <f t="shared" si="79"/>
        <v>3</v>
      </c>
      <c r="J450" s="2">
        <f t="shared" si="80"/>
        <v>14</v>
      </c>
      <c r="K450" s="2">
        <v>207</v>
      </c>
      <c r="L450" s="2">
        <f t="shared" si="81"/>
        <v>9</v>
      </c>
      <c r="M450" s="2">
        <f t="shared" si="82"/>
        <v>63</v>
      </c>
      <c r="N450" s="2">
        <f t="shared" si="83"/>
        <v>5</v>
      </c>
      <c r="P450" s="168">
        <f t="shared" si="84"/>
        <v>66</v>
      </c>
      <c r="AI450" s="21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9">
        <v>3</v>
      </c>
      <c r="AU450" s="14">
        <v>14</v>
      </c>
      <c r="AV450" s="14" t="s">
        <v>81</v>
      </c>
      <c r="AW450" s="13"/>
      <c r="AX450" s="13"/>
      <c r="AY450" s="19">
        <v>63</v>
      </c>
      <c r="AZ450" s="14">
        <v>5</v>
      </c>
      <c r="BA450" s="14">
        <v>5</v>
      </c>
      <c r="BB450" s="13" t="s">
        <v>27</v>
      </c>
      <c r="BC450" s="25"/>
      <c r="BD450" s="25"/>
      <c r="BE450" s="13"/>
      <c r="BF450" s="13" t="s">
        <v>443</v>
      </c>
    </row>
    <row r="451" spans="1:58" ht="14.25" x14ac:dyDescent="0.2">
      <c r="A451" t="str">
        <f t="shared" si="76"/>
        <v>A96</v>
      </c>
      <c r="B451" s="2" t="s">
        <v>657</v>
      </c>
      <c r="C451">
        <f t="shared" si="77"/>
        <v>133.923</v>
      </c>
      <c r="D451" t="str">
        <f t="shared" si="89"/>
        <v>UFD</v>
      </c>
      <c r="E451" s="169" t="str">
        <f>IF(OR(A451="",B451="",C451=""),"eine der Spalten BAB, FR, km leer?",CONCATENATE(VLOOKUP(VALUE(I451),[1]Grundlage!$A$1:$B$14,2,0),IF(LEFT(A451,1)="A",IF(VALUE(MID(A451,2,10))&lt;10,"A00"&amp;VALUE(MID(A451,2,10)),IF(VALUE(MID(A451,2,10))&lt;100,"A0"&amp;VALUE(MID(A451,2,10)),IF(VALUE(MID(A451,2,10))&lt;1000,"A"&amp;VALUE(MID(A451,2,10))))),IF(LEFT(A451,1)="B",IF(VALUE(MID(A451,2,10))&lt;10,"B00"&amp;VALUE(MID(A451,2,10)),IF(VALUE(MID(A451,2,10))&lt;100,"B0"&amp;VALUE(MID(A451,2,10)),IF(VALUE(MID(A451,2,10))&lt;1000,"B"&amp;VALUE(MID(A451,2,10))))),A451)),"_",IF(NOT(OR(C451=1000,C451&gt;1000)),MID(TEXT((C451+1000)*1000,0),2,6),"keine Meter in Spalte km!!!"),IF(VALUE(I451)=1,CONCATENATE("_",VLOOKUP(IF(V451&gt;0,V451,J451),[1]Grundlage!$A$20:$B$181,2,0)),CONCATENATE("_",B451))))</f>
        <v>UQ_A096_133923_W</v>
      </c>
      <c r="F451" s="2" t="s">
        <v>28</v>
      </c>
      <c r="G451" s="167">
        <f t="shared" si="87"/>
        <v>37574</v>
      </c>
      <c r="H451">
        <f t="shared" si="88"/>
        <v>161</v>
      </c>
      <c r="I451" s="2">
        <f t="shared" si="79"/>
        <v>3</v>
      </c>
      <c r="J451" s="2">
        <f t="shared" si="80"/>
        <v>15</v>
      </c>
      <c r="K451" s="2">
        <v>207</v>
      </c>
      <c r="L451" s="2">
        <f t="shared" si="81"/>
        <v>9</v>
      </c>
      <c r="M451" s="2">
        <f t="shared" si="82"/>
        <v>63</v>
      </c>
      <c r="N451" s="2">
        <f t="shared" si="83"/>
        <v>6</v>
      </c>
      <c r="P451" s="168">
        <f t="shared" si="84"/>
        <v>65</v>
      </c>
      <c r="AI451" s="21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9">
        <v>3</v>
      </c>
      <c r="AU451" s="14">
        <v>15</v>
      </c>
      <c r="AV451" s="14" t="s">
        <v>82</v>
      </c>
      <c r="AW451" s="13"/>
      <c r="AX451" s="13"/>
      <c r="AY451" s="19">
        <v>63</v>
      </c>
      <c r="AZ451" s="14">
        <v>6</v>
      </c>
      <c r="BA451" s="14">
        <v>6</v>
      </c>
      <c r="BB451" s="13" t="s">
        <v>28</v>
      </c>
      <c r="BC451" s="25"/>
      <c r="BD451" s="25"/>
      <c r="BE451" s="13"/>
      <c r="BF451" s="13" t="s">
        <v>516</v>
      </c>
    </row>
    <row r="452" spans="1:58" ht="14.25" x14ac:dyDescent="0.2">
      <c r="A452" t="str">
        <f t="shared" si="76"/>
        <v>A96</v>
      </c>
      <c r="B452" s="2" t="s">
        <v>657</v>
      </c>
      <c r="C452">
        <f t="shared" si="77"/>
        <v>133.923</v>
      </c>
      <c r="D452" t="str">
        <f t="shared" si="89"/>
        <v>UFD</v>
      </c>
      <c r="E452" s="169" t="str">
        <f>IF(OR(A452="",B452="",C452=""),"eine der Spalten BAB, FR, km leer?",CONCATENATE(VLOOKUP(VALUE(I452),[1]Grundlage!$A$1:$B$14,2,0),IF(LEFT(A452,1)="A",IF(VALUE(MID(A452,2,10))&lt;10,"A00"&amp;VALUE(MID(A452,2,10)),IF(VALUE(MID(A452,2,10))&lt;100,"A0"&amp;VALUE(MID(A452,2,10)),IF(VALUE(MID(A452,2,10))&lt;1000,"A"&amp;VALUE(MID(A452,2,10))))),IF(LEFT(A452,1)="B",IF(VALUE(MID(A452,2,10))&lt;10,"B00"&amp;VALUE(MID(A452,2,10)),IF(VALUE(MID(A452,2,10))&lt;100,"B0"&amp;VALUE(MID(A452,2,10)),IF(VALUE(MID(A452,2,10))&lt;1000,"B"&amp;VALUE(MID(A452,2,10))))),A452)),"_",IF(NOT(OR(C452=1000,C452&gt;1000)),MID(TEXT((C452+1000)*1000,0),2,6),"keine Meter in Spalte km!!!"),IF(VALUE(I452)=1,CONCATENATE("_",VLOOKUP(IF(V452&gt;0,V452,J452),[1]Grundlage!$A$20:$B$181,2,0)),CONCATENATE("_",B452))))</f>
        <v>UQ_A096_133923_W</v>
      </c>
      <c r="F452" s="2" t="s">
        <v>29</v>
      </c>
      <c r="G452" s="167">
        <f t="shared" si="87"/>
        <v>37574</v>
      </c>
      <c r="H452">
        <f t="shared" si="88"/>
        <v>161</v>
      </c>
      <c r="I452" s="2">
        <f t="shared" si="79"/>
        <v>3</v>
      </c>
      <c r="J452" s="2">
        <f t="shared" si="80"/>
        <v>19</v>
      </c>
      <c r="K452" s="2">
        <v>207</v>
      </c>
      <c r="L452" s="2">
        <f t="shared" si="81"/>
        <v>9</v>
      </c>
      <c r="M452" s="2">
        <f t="shared" si="82"/>
        <v>63</v>
      </c>
      <c r="N452" s="2">
        <f t="shared" si="83"/>
        <v>7</v>
      </c>
      <c r="P452" s="168">
        <f t="shared" si="84"/>
        <v>49</v>
      </c>
      <c r="AI452" s="21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9">
        <v>3</v>
      </c>
      <c r="AU452" s="14">
        <v>19</v>
      </c>
      <c r="AV452" s="14">
        <v>13</v>
      </c>
      <c r="AW452" s="13"/>
      <c r="AX452" s="13"/>
      <c r="AY452" s="19">
        <v>63</v>
      </c>
      <c r="AZ452" s="14">
        <v>7</v>
      </c>
      <c r="BA452" s="14">
        <v>7</v>
      </c>
      <c r="BB452" s="13" t="s">
        <v>29</v>
      </c>
      <c r="BC452" s="25"/>
      <c r="BD452" s="25"/>
      <c r="BE452" s="13"/>
      <c r="BF452" s="13" t="s">
        <v>517</v>
      </c>
    </row>
    <row r="453" spans="1:58" ht="14.25" x14ac:dyDescent="0.2">
      <c r="A453" t="str">
        <f t="shared" si="76"/>
        <v>A96</v>
      </c>
      <c r="B453" s="2" t="s">
        <v>657</v>
      </c>
      <c r="C453">
        <f t="shared" si="77"/>
        <v>133.923</v>
      </c>
      <c r="D453" t="str">
        <f t="shared" si="89"/>
        <v>UFD</v>
      </c>
      <c r="E453" s="169" t="str">
        <f>IF(OR(A453="",B453="",C453=""),"eine der Spalten BAB, FR, km leer?",CONCATENATE(VLOOKUP(VALUE(I453),[1]Grundlage!$A$1:$B$14,2,0),IF(LEFT(A453,1)="A",IF(VALUE(MID(A453,2,10))&lt;10,"A00"&amp;VALUE(MID(A453,2,10)),IF(VALUE(MID(A453,2,10))&lt;100,"A0"&amp;VALUE(MID(A453,2,10)),IF(VALUE(MID(A453,2,10))&lt;1000,"A"&amp;VALUE(MID(A453,2,10))))),IF(LEFT(A453,1)="B",IF(VALUE(MID(A453,2,10))&lt;10,"B00"&amp;VALUE(MID(A453,2,10)),IF(VALUE(MID(A453,2,10))&lt;100,"B0"&amp;VALUE(MID(A453,2,10)),IF(VALUE(MID(A453,2,10))&lt;1000,"B"&amp;VALUE(MID(A453,2,10))))),A453)),"_",IF(NOT(OR(C453=1000,C453&gt;1000)),MID(TEXT((C453+1000)*1000,0),2,6),"keine Meter in Spalte km!!!"),IF(VALUE(I453)=1,CONCATENATE("_",VLOOKUP(IF(V453&gt;0,V453,J453),[1]Grundlage!$A$20:$B$181,2,0)),CONCATENATE("_",B453))))</f>
        <v>UQ_A096_133923_W</v>
      </c>
      <c r="F453" s="2" t="s">
        <v>30</v>
      </c>
      <c r="G453" s="167">
        <f t="shared" si="87"/>
        <v>37574</v>
      </c>
      <c r="H453">
        <f t="shared" si="88"/>
        <v>161</v>
      </c>
      <c r="I453" s="2">
        <f t="shared" si="79"/>
        <v>3</v>
      </c>
      <c r="J453" s="2">
        <f t="shared" si="80"/>
        <v>21</v>
      </c>
      <c r="K453" s="2">
        <v>207</v>
      </c>
      <c r="L453" s="2">
        <f t="shared" si="81"/>
        <v>9</v>
      </c>
      <c r="M453" s="2">
        <f t="shared" si="82"/>
        <v>63</v>
      </c>
      <c r="N453" s="2">
        <f t="shared" si="83"/>
        <v>8</v>
      </c>
      <c r="P453" s="168">
        <f t="shared" si="84"/>
        <v>67</v>
      </c>
      <c r="AI453" s="21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9">
        <v>3</v>
      </c>
      <c r="AU453" s="14">
        <v>21</v>
      </c>
      <c r="AV453" s="14">
        <v>15</v>
      </c>
      <c r="AW453" s="13"/>
      <c r="AX453" s="13"/>
      <c r="AY453" s="19">
        <v>63</v>
      </c>
      <c r="AZ453" s="14">
        <v>8</v>
      </c>
      <c r="BA453" s="14">
        <v>8</v>
      </c>
      <c r="BB453" s="13" t="s">
        <v>30</v>
      </c>
      <c r="BC453" s="25"/>
      <c r="BD453" s="25"/>
      <c r="BE453" s="13"/>
      <c r="BF453" s="13" t="s">
        <v>518</v>
      </c>
    </row>
    <row r="454" spans="1:58" ht="14.25" x14ac:dyDescent="0.2">
      <c r="A454" t="str">
        <f t="shared" si="76"/>
        <v>A96</v>
      </c>
      <c r="B454" s="2" t="s">
        <v>657</v>
      </c>
      <c r="C454">
        <f t="shared" si="77"/>
        <v>133.923</v>
      </c>
      <c r="D454" t="str">
        <f t="shared" si="89"/>
        <v>UFD</v>
      </c>
      <c r="E454" s="169" t="str">
        <f>IF(OR(A454="",B454="",C454=""),"eine der Spalten BAB, FR, km leer?",CONCATENATE(VLOOKUP(VALUE(I454),[1]Grundlage!$A$1:$B$14,2,0),IF(LEFT(A454,1)="A",IF(VALUE(MID(A454,2,10))&lt;10,"A00"&amp;VALUE(MID(A454,2,10)),IF(VALUE(MID(A454,2,10))&lt;100,"A0"&amp;VALUE(MID(A454,2,10)),IF(VALUE(MID(A454,2,10))&lt;1000,"A"&amp;VALUE(MID(A454,2,10))))),IF(LEFT(A454,1)="B",IF(VALUE(MID(A454,2,10))&lt;10,"B00"&amp;VALUE(MID(A454,2,10)),IF(VALUE(MID(A454,2,10))&lt;100,"B0"&amp;VALUE(MID(A454,2,10)),IF(VALUE(MID(A454,2,10))&lt;1000,"B"&amp;VALUE(MID(A454,2,10))))),A454)),"_",IF(NOT(OR(C454=1000,C454&gt;1000)),MID(TEXT((C454+1000)*1000,0),2,6),"keine Meter in Spalte km!!!"),IF(VALUE(I454)=1,CONCATENATE("_",VLOOKUP(IF(V454&gt;0,V454,J454),[1]Grundlage!$A$20:$B$181,2,0)),CONCATENATE("_",B454))))</f>
        <v>UQ_A096_133923_W</v>
      </c>
      <c r="F454" s="2" t="s">
        <v>205</v>
      </c>
      <c r="G454" s="167">
        <f t="shared" si="87"/>
        <v>37574</v>
      </c>
      <c r="H454">
        <f t="shared" si="88"/>
        <v>161</v>
      </c>
      <c r="I454" s="2">
        <f t="shared" si="79"/>
        <v>3</v>
      </c>
      <c r="J454" s="2">
        <f t="shared" si="80"/>
        <v>27</v>
      </c>
      <c r="K454" s="2">
        <v>207</v>
      </c>
      <c r="L454" s="2">
        <f t="shared" si="81"/>
        <v>9</v>
      </c>
      <c r="M454" s="2">
        <f t="shared" si="82"/>
        <v>63</v>
      </c>
      <c r="N454" s="2">
        <f t="shared" si="83"/>
        <v>9</v>
      </c>
      <c r="P454" s="168">
        <f t="shared" si="84"/>
        <v>69</v>
      </c>
      <c r="AI454" s="21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9">
        <v>3</v>
      </c>
      <c r="AU454" s="14">
        <v>27</v>
      </c>
      <c r="AV454" s="14">
        <v>18</v>
      </c>
      <c r="AW454" s="13"/>
      <c r="AX454" s="13"/>
      <c r="AY454" s="19">
        <v>63</v>
      </c>
      <c r="AZ454" s="14">
        <v>9</v>
      </c>
      <c r="BA454" s="14">
        <v>9</v>
      </c>
      <c r="BB454" s="13" t="s">
        <v>205</v>
      </c>
      <c r="BC454" s="25"/>
      <c r="BD454" s="25"/>
      <c r="BE454" s="13"/>
      <c r="BF454" s="13" t="s">
        <v>547</v>
      </c>
    </row>
    <row r="455" spans="1:58" ht="14.25" x14ac:dyDescent="0.2">
      <c r="A455" t="str">
        <f t="shared" si="76"/>
        <v>A96</v>
      </c>
      <c r="B455" s="2" t="s">
        <v>657</v>
      </c>
      <c r="C455">
        <f t="shared" si="77"/>
        <v>133.923</v>
      </c>
      <c r="D455" t="str">
        <f t="shared" si="89"/>
        <v>UFD</v>
      </c>
      <c r="E455" s="169" t="str">
        <f>IF(OR(A455="",B455="",C455=""),"eine der Spalten BAB, FR, km leer?",CONCATENATE(VLOOKUP(VALUE(I455),[1]Grundlage!$A$1:$B$14,2,0),IF(LEFT(A455,1)="A",IF(VALUE(MID(A455,2,10))&lt;10,"A00"&amp;VALUE(MID(A455,2,10)),IF(VALUE(MID(A455,2,10))&lt;100,"A0"&amp;VALUE(MID(A455,2,10)),IF(VALUE(MID(A455,2,10))&lt;1000,"A"&amp;VALUE(MID(A455,2,10))))),IF(LEFT(A455,1)="B",IF(VALUE(MID(A455,2,10))&lt;10,"B00"&amp;VALUE(MID(A455,2,10)),IF(VALUE(MID(A455,2,10))&lt;100,"B0"&amp;VALUE(MID(A455,2,10)),IF(VALUE(MID(A455,2,10))&lt;1000,"B"&amp;VALUE(MID(A455,2,10))))),A455)),"_",IF(NOT(OR(C455=1000,C455&gt;1000)),MID(TEXT((C455+1000)*1000,0),2,6),"keine Meter in Spalte km!!!"),IF(VALUE(I455)=1,CONCATENATE("_",VLOOKUP(IF(V455&gt;0,V455,J455),[1]Grundlage!$A$20:$B$181,2,0)),CONCATENATE("_",B455))))</f>
        <v>UQ_A096_133923_W</v>
      </c>
      <c r="F455" s="2" t="s">
        <v>271</v>
      </c>
      <c r="G455" s="167">
        <f t="shared" si="87"/>
        <v>37574</v>
      </c>
      <c r="H455">
        <f t="shared" si="88"/>
        <v>161</v>
      </c>
      <c r="I455" s="2">
        <f t="shared" si="79"/>
        <v>3</v>
      </c>
      <c r="J455" s="2">
        <f t="shared" si="80"/>
        <v>67</v>
      </c>
      <c r="K455" s="2">
        <v>207</v>
      </c>
      <c r="L455" s="2">
        <f t="shared" si="81"/>
        <v>9</v>
      </c>
      <c r="M455" s="2">
        <f t="shared" si="82"/>
        <v>1</v>
      </c>
      <c r="N455" s="2">
        <f t="shared" si="83"/>
        <v>10</v>
      </c>
      <c r="P455" s="168">
        <f t="shared" si="84"/>
        <v>53</v>
      </c>
      <c r="AI455" s="21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9">
        <v>3</v>
      </c>
      <c r="AU455" s="14">
        <v>67</v>
      </c>
      <c r="AV455" s="14">
        <v>43</v>
      </c>
      <c r="AW455" s="13"/>
      <c r="AX455" s="13"/>
      <c r="AY455" s="19">
        <v>1</v>
      </c>
      <c r="AZ455" s="14">
        <v>10</v>
      </c>
      <c r="BA455" s="34" t="s">
        <v>95</v>
      </c>
      <c r="BB455" s="13" t="s">
        <v>271</v>
      </c>
      <c r="BC455" s="25"/>
      <c r="BD455" s="25"/>
      <c r="BE455" s="13"/>
      <c r="BF455" s="13" t="s">
        <v>444</v>
      </c>
    </row>
    <row r="456" spans="1:58" ht="14.25" x14ac:dyDescent="0.2">
      <c r="A456" t="str">
        <f t="shared" si="76"/>
        <v>A96</v>
      </c>
      <c r="B456" s="2" t="s">
        <v>657</v>
      </c>
      <c r="C456">
        <f t="shared" si="77"/>
        <v>133.923</v>
      </c>
      <c r="D456" t="str">
        <f t="shared" si="89"/>
        <v>UFD</v>
      </c>
      <c r="E456" s="169" t="str">
        <f>IF(OR(A456="",B456="",C456=""),"eine der Spalten BAB, FR, km leer?",CONCATENATE(VLOOKUP(VALUE(I456),[1]Grundlage!$A$1:$B$14,2,0),IF(LEFT(A456,1)="A",IF(VALUE(MID(A456,2,10))&lt;10,"A00"&amp;VALUE(MID(A456,2,10)),IF(VALUE(MID(A456,2,10))&lt;100,"A0"&amp;VALUE(MID(A456,2,10)),IF(VALUE(MID(A456,2,10))&lt;1000,"A"&amp;VALUE(MID(A456,2,10))))),IF(LEFT(A456,1)="B",IF(VALUE(MID(A456,2,10))&lt;10,"B00"&amp;VALUE(MID(A456,2,10)),IF(VALUE(MID(A456,2,10))&lt;100,"B0"&amp;VALUE(MID(A456,2,10)),IF(VALUE(MID(A456,2,10))&lt;1000,"B"&amp;VALUE(MID(A456,2,10))))),A456)),"_",IF(NOT(OR(C456=1000,C456&gt;1000)),MID(TEXT((C456+1000)*1000,0),2,6),"keine Meter in Spalte km!!!"),IF(VALUE(I456)=1,CONCATENATE("_",VLOOKUP(IF(V456&gt;0,V456,J456),[1]Grundlage!$A$20:$B$181,2,0)),CONCATENATE("_",B456))))</f>
        <v>UQ_A096_133923_W</v>
      </c>
      <c r="F456" s="2" t="s">
        <v>272</v>
      </c>
      <c r="G456" s="167">
        <f t="shared" si="87"/>
        <v>37574</v>
      </c>
      <c r="H456">
        <f t="shared" si="88"/>
        <v>161</v>
      </c>
      <c r="I456" s="2">
        <f t="shared" si="79"/>
        <v>3</v>
      </c>
      <c r="J456" s="2">
        <f t="shared" si="80"/>
        <v>82</v>
      </c>
      <c r="K456" s="2">
        <v>207</v>
      </c>
      <c r="L456" s="2">
        <f t="shared" si="81"/>
        <v>9</v>
      </c>
      <c r="M456" s="2">
        <f t="shared" si="82"/>
        <v>1</v>
      </c>
      <c r="N456" s="2">
        <f t="shared" si="83"/>
        <v>11</v>
      </c>
      <c r="P456" s="168">
        <f t="shared" si="84"/>
        <v>72</v>
      </c>
      <c r="AI456" s="21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9">
        <v>3</v>
      </c>
      <c r="AU456" s="14">
        <v>82</v>
      </c>
      <c r="AV456" s="14">
        <v>52</v>
      </c>
      <c r="AW456" s="13"/>
      <c r="AX456" s="13"/>
      <c r="AY456" s="19">
        <v>1</v>
      </c>
      <c r="AZ456" s="14">
        <v>11</v>
      </c>
      <c r="BA456" s="34" t="s">
        <v>78</v>
      </c>
      <c r="BB456" s="13" t="s">
        <v>272</v>
      </c>
      <c r="BC456" s="25"/>
      <c r="BD456" s="25"/>
      <c r="BE456" s="13"/>
      <c r="BF456" s="13" t="s">
        <v>519</v>
      </c>
    </row>
    <row r="457" spans="1:58" ht="14.25" x14ac:dyDescent="0.2">
      <c r="A457" t="str">
        <f t="shared" si="76"/>
        <v>A96</v>
      </c>
      <c r="B457" s="2" t="s">
        <v>655</v>
      </c>
      <c r="C457">
        <f t="shared" si="77"/>
        <v>133.923</v>
      </c>
      <c r="D457" t="str">
        <f t="shared" si="89"/>
        <v/>
      </c>
      <c r="E457" s="169" t="str">
        <f>IF(OR(A457="",B457="",C457=""),"eine der Spalten BAB, FR, km leer?",CONCATENATE(VLOOKUP(VALUE(I457),[1]Grundlage!$A$1:$B$14,2,0),IF(LEFT(A457,1)="A",IF(VALUE(MID(A457,2,10))&lt;10,"A00"&amp;VALUE(MID(A457,2,10)),IF(VALUE(MID(A457,2,10))&lt;100,"A0"&amp;VALUE(MID(A457,2,10)),IF(VALUE(MID(A457,2,10))&lt;1000,"A"&amp;VALUE(MID(A457,2,10))))),IF(LEFT(A457,1)="B",IF(VALUE(MID(A457,2,10))&lt;10,"B00"&amp;VALUE(MID(A457,2,10)),IF(VALUE(MID(A457,2,10))&lt;100,"B0"&amp;VALUE(MID(A457,2,10)),IF(VALUE(MID(A457,2,10))&lt;1000,"B"&amp;VALUE(MID(A457,2,10))))),A457)),"_",IF(NOT(OR(C457=1000,C457&gt;1000)),MID(TEXT((C457+1000)*1000,0),2,6),"keine Meter in Spalte km!!!"),IF(VALUE(I457)=1,CONCATENATE("_",VLOOKUP(IF(V457&gt;0,V457,J457),[1]Grundlage!$A$20:$B$181,2,0)),CONCATENATE("_",B457))))</f>
        <v>SSt_A096_133923_S</v>
      </c>
      <c r="F457" s="2" t="s">
        <v>669</v>
      </c>
      <c r="G457" s="167">
        <f t="shared" si="87"/>
        <v>37574</v>
      </c>
      <c r="H457">
        <f t="shared" si="88"/>
        <v>161</v>
      </c>
      <c r="I457" s="2">
        <f t="shared" si="79"/>
        <v>0</v>
      </c>
      <c r="J457" s="2">
        <f t="shared" si="80"/>
        <v>0</v>
      </c>
      <c r="L457" s="2">
        <f t="shared" si="81"/>
        <v>9</v>
      </c>
      <c r="M457" s="2" t="str">
        <f t="shared" si="82"/>
        <v/>
      </c>
      <c r="N457" s="2" t="str">
        <f t="shared" si="83"/>
        <v/>
      </c>
      <c r="P457" s="168" t="str">
        <f t="shared" si="84"/>
        <v/>
      </c>
      <c r="AI457" s="21"/>
    </row>
    <row r="458" spans="1:58" ht="15" thickBot="1" x14ac:dyDescent="0.25">
      <c r="A458" t="str">
        <f t="shared" ref="A458:A521" si="90">IF(ISBLANK(AK458),A457,AK458)</f>
        <v>A96</v>
      </c>
      <c r="C458">
        <f t="shared" ref="C458:C521" si="91">IF(ISBLANK(AI458),C457,AI458)</f>
        <v>133.923</v>
      </c>
      <c r="D458" t="str">
        <f t="shared" si="89"/>
        <v/>
      </c>
      <c r="E458" s="169" t="str">
        <f>IF(OR(A458="",B458="",C458=""),"",CONCATENATE(VLOOKUP(VALUE(I458),[1]Grundlage!$A$1:$B$14,2,0),IF(LEFT(A458,1)="A",IF(VALUE(MID(A458,2,10))&lt;10,"A00"&amp;VALUE(MID(A458,2,10)),IF(VALUE(MID(A458,2,10))&lt;100,"A0"&amp;VALUE(MID(A458,2,10)),IF(VALUE(MID(A458,2,10))&lt;1000,"A"&amp;VALUE(MID(A458,2,10))))),IF(LEFT(A458,1)="B",IF(VALUE(MID(A458,2,10))&lt;10,"B00"&amp;VALUE(MID(A458,2,10)),IF(VALUE(MID(A458,2,10))&lt;100,"B0"&amp;VALUE(MID(A458,2,10)),IF(VALUE(MID(A458,2,10))&lt;1000,"B"&amp;VALUE(MID(A458,2,10))))),A458)),"_",IF(NOT(OR(C458=1000,C458&gt;1000)),MID(TEXT((C458+1000)*1000,0),2,6),"keine Meter in Spalte km!!!"),IF(VALUE(I458)=1,CONCATENATE("_",VLOOKUP(IF(V458&gt;0,V458,J458),[1]Grundlage!$A$20:$B$181,2,0)),CONCATENATE("_",B458))))</f>
        <v/>
      </c>
      <c r="F458" s="2" t="s">
        <v>669</v>
      </c>
      <c r="G458" s="167">
        <f t="shared" si="87"/>
        <v>37574</v>
      </c>
      <c r="H458">
        <f t="shared" si="88"/>
        <v>161</v>
      </c>
      <c r="I458" s="2">
        <f t="shared" ref="I458:I521" si="92">IF(D458="SS",254,AT458)</f>
        <v>0</v>
      </c>
      <c r="J458" s="2">
        <f t="shared" ref="J458:J521" si="93">IF(D458="SS",0,AU458)</f>
        <v>0</v>
      </c>
      <c r="L458" s="2">
        <f t="shared" ref="K458:L521" si="94">IF(ISBLANK(AX458),L457,AX458)</f>
        <v>9</v>
      </c>
      <c r="M458" s="2" t="str">
        <f t="shared" ref="M458:M521" si="95">IF(ISBLANK(AY458),"",AY458)</f>
        <v/>
      </c>
      <c r="N458" s="2" t="str">
        <f t="shared" ref="N458:N521" si="96">IF(ISBLANK(AZ458),"",AZ458)</f>
        <v/>
      </c>
      <c r="P458" s="168" t="str">
        <f t="shared" si="84"/>
        <v/>
      </c>
      <c r="AI458" s="21"/>
    </row>
    <row r="459" spans="1:58" ht="15.75" thickTop="1" thickBot="1" x14ac:dyDescent="0.25">
      <c r="A459" t="str">
        <f t="shared" si="90"/>
        <v>Rosenheim</v>
      </c>
      <c r="C459">
        <f t="shared" si="91"/>
        <v>133.923</v>
      </c>
      <c r="D459" t="str">
        <f t="shared" si="89"/>
        <v/>
      </c>
      <c r="E459" s="169" t="str">
        <f>IF(OR(A459="",B459="",C459=""),"",CONCATENATE(VLOOKUP(VALUE(I459),[1]Grundlage!$A$1:$B$14,2,0),IF(LEFT(A459,1)="A",IF(VALUE(MID(A459,2,10))&lt;10,"A00"&amp;VALUE(MID(A459,2,10)),IF(VALUE(MID(A459,2,10))&lt;100,"A0"&amp;VALUE(MID(A459,2,10)),IF(VALUE(MID(A459,2,10))&lt;1000,"A"&amp;VALUE(MID(A459,2,10))))),IF(LEFT(A459,1)="B",IF(VALUE(MID(A459,2,10))&lt;10,"B00"&amp;VALUE(MID(A459,2,10)),IF(VALUE(MID(A459,2,10))&lt;100,"B0"&amp;VALUE(MID(A459,2,10)),IF(VALUE(MID(A459,2,10))&lt;1000,"B"&amp;VALUE(MID(A459,2,10))))),A459)),"_",IF(NOT(OR(C459=1000,C459&gt;1000)),MID(TEXT((C459+1000)*1000,0),2,6),"keine Meter in Spalte km!!!"),IF(VALUE(I459)=1,CONCATENATE("_",VLOOKUP(IF(V459&gt;0,V459,J459),[1]Grundlage!$A$20:$B$181,2,0)),CONCATENATE("_",B459))))</f>
        <v/>
      </c>
      <c r="F459" s="2" t="s">
        <v>669</v>
      </c>
      <c r="G459" s="167">
        <f t="shared" si="87"/>
        <v>37574</v>
      </c>
      <c r="H459">
        <f t="shared" si="88"/>
        <v>161</v>
      </c>
      <c r="I459" s="2">
        <f t="shared" si="92"/>
        <v>0</v>
      </c>
      <c r="J459" s="2">
        <f t="shared" si="93"/>
        <v>0</v>
      </c>
      <c r="L459" s="2">
        <f t="shared" si="94"/>
        <v>9</v>
      </c>
      <c r="M459" s="2" t="str">
        <f t="shared" si="95"/>
        <v/>
      </c>
      <c r="N459" s="2" t="str">
        <f t="shared" si="96"/>
        <v/>
      </c>
      <c r="P459" s="168" t="str">
        <f t="shared" ref="P459:P522" si="97">IF(AT459&lt;&gt;3,"",IF(BB459="Helligkeitssensor",61,IF(BB459="Helligkeit",61,IF(BB460="Lichtsensor",61,IF(BB459="Lufttemperatur",48,IF(BB459="Niederschlagsart",71,IF(BB459="Niederschlagsintensität",53,IF(BB459="relative Luftfeuchte RLF",55,IF(BB459="Sichtweite",60,IF(BB459="Sichtweite 1",60,IF(BB459="Zustand der Fahrbahnoberfläche FBZ",79,IF(BB459="Wasserfilmdicke WFD",72,IF(BB459="Clusterkanal FG3","",IF(BB459="Gefriertemperatur GT",65,IF(BB459="Fahrbahnoberflächentemperatur FBT",49,VALUE(RIGHT(BB459,2)))))))))))))))))</f>
        <v/>
      </c>
      <c r="AI459" s="48"/>
      <c r="AJ459" s="55" t="s">
        <v>17</v>
      </c>
      <c r="AK459" s="49" t="s">
        <v>57</v>
      </c>
      <c r="AL459" s="49"/>
      <c r="AM459" s="49"/>
      <c r="AN459" s="49"/>
      <c r="AO459" s="49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1"/>
      <c r="BD459" s="51"/>
      <c r="BE459" s="50"/>
    </row>
    <row r="460" spans="1:58" ht="15" thickTop="1" x14ac:dyDescent="0.2">
      <c r="A460" t="str">
        <f t="shared" si="90"/>
        <v>Rosenheim</v>
      </c>
      <c r="C460">
        <f t="shared" si="91"/>
        <v>133.923</v>
      </c>
      <c r="D460" t="str">
        <f t="shared" si="89"/>
        <v/>
      </c>
      <c r="E460" s="169" t="str">
        <f>IF(OR(A460="",B460="",C460=""),"",CONCATENATE(VLOOKUP(VALUE(I460),[1]Grundlage!$A$1:$B$14,2,0),IF(LEFT(A460,1)="A",IF(VALUE(MID(A460,2,10))&lt;10,"A00"&amp;VALUE(MID(A460,2,10)),IF(VALUE(MID(A460,2,10))&lt;100,"A0"&amp;VALUE(MID(A460,2,10)),IF(VALUE(MID(A460,2,10))&lt;1000,"A"&amp;VALUE(MID(A460,2,10))))),IF(LEFT(A460,1)="B",IF(VALUE(MID(A460,2,10))&lt;10,"B00"&amp;VALUE(MID(A460,2,10)),IF(VALUE(MID(A460,2,10))&lt;100,"B0"&amp;VALUE(MID(A460,2,10)),IF(VALUE(MID(A460,2,10))&lt;1000,"B"&amp;VALUE(MID(A460,2,10))))),A460)),"_",IF(NOT(OR(C460=1000,C460&gt;1000)),MID(TEXT((C460+1000)*1000,0),2,6),"keine Meter in Spalte km!!!"),IF(VALUE(I460)=1,CONCATENATE("_",VLOOKUP(IF(V460&gt;0,V460,J460),[1]Grundlage!$A$20:$B$181,2,0)),CONCATENATE("_",B460))))</f>
        <v/>
      </c>
      <c r="F460" s="2" t="s">
        <v>669</v>
      </c>
      <c r="G460" s="167">
        <f t="shared" si="87"/>
        <v>37574</v>
      </c>
      <c r="H460">
        <f t="shared" si="88"/>
        <v>161</v>
      </c>
      <c r="I460" s="2">
        <f t="shared" si="92"/>
        <v>0</v>
      </c>
      <c r="J460" s="2">
        <f t="shared" si="93"/>
        <v>0</v>
      </c>
      <c r="L460" s="2">
        <f t="shared" si="94"/>
        <v>9</v>
      </c>
      <c r="M460" s="2" t="str">
        <f t="shared" si="95"/>
        <v/>
      </c>
      <c r="N460" s="2" t="str">
        <f t="shared" si="96"/>
        <v/>
      </c>
      <c r="P460" s="168" t="str">
        <f t="shared" si="97"/>
        <v/>
      </c>
    </row>
    <row r="461" spans="1:58" s="152" customFormat="1" ht="14.25" x14ac:dyDescent="0.2">
      <c r="A461" s="160" t="str">
        <f t="shared" si="90"/>
        <v>A93</v>
      </c>
      <c r="B461" s="152" t="s">
        <v>655</v>
      </c>
      <c r="C461" s="160">
        <f t="shared" si="91"/>
        <v>18.5</v>
      </c>
      <c r="D461" s="160"/>
      <c r="E461" s="170" t="str">
        <f>IF(OR(A461="",B461="",C461=""),"eine der Spalten BAB, FR, km leer?",CONCATENATE(VLOOKUP(VALUE(I461),[1]Grundlage!$A$1:$B$14,2,0),IF(LEFT(A461,1)="A",IF(VALUE(MID(A461,2,10))&lt;10,"A00"&amp;VALUE(MID(A461,2,10)),IF(VALUE(MID(A461,2,10))&lt;100,"A0"&amp;VALUE(MID(A461,2,10)),IF(VALUE(MID(A461,2,10))&lt;1000,"A"&amp;VALUE(MID(A461,2,10))))),IF(LEFT(A461,1)="B",IF(VALUE(MID(A461,2,10))&lt;10,"B00"&amp;VALUE(MID(A461,2,10)),IF(VALUE(MID(A461,2,10))&lt;100,"B0"&amp;VALUE(MID(A461,2,10)),IF(VALUE(MID(A461,2,10))&lt;1000,"B"&amp;VALUE(MID(A461,2,10))))),A461)),"_",IF(NOT(OR(C461=1000,C461&gt;1000)),MID(TEXT((C461+1000)*1000,0),2,6),"keine Meter in Spalte km!!!"),IF(VALUE(I461)=1,CONCATENATE("_",VLOOKUP(IF(V461&gt;0,V461,J461),[1]Grundlage!$A$20:$B$181,2,0)),CONCATENATE("_",B461))))</f>
        <v>SSt_A093_018500_S</v>
      </c>
      <c r="F461" s="152" t="s">
        <v>59</v>
      </c>
      <c r="G461" s="171">
        <f t="shared" si="87"/>
        <v>36405</v>
      </c>
      <c r="H461" s="160">
        <f t="shared" si="88"/>
        <v>70</v>
      </c>
      <c r="I461" s="152">
        <f t="shared" si="92"/>
        <v>0</v>
      </c>
      <c r="J461" s="152">
        <f t="shared" si="93"/>
        <v>0</v>
      </c>
      <c r="K461" s="152">
        <f t="shared" si="94"/>
        <v>201</v>
      </c>
      <c r="L461" s="152">
        <f t="shared" si="94"/>
        <v>1</v>
      </c>
      <c r="M461" s="152" t="str">
        <f t="shared" si="95"/>
        <v/>
      </c>
      <c r="N461" s="152" t="str">
        <f t="shared" si="96"/>
        <v/>
      </c>
      <c r="P461" s="172" t="str">
        <f t="shared" si="97"/>
        <v/>
      </c>
      <c r="AI461" s="179">
        <v>18.5</v>
      </c>
      <c r="AJ461" s="148" t="s">
        <v>19</v>
      </c>
      <c r="AK461" s="148" t="s">
        <v>58</v>
      </c>
      <c r="AL461" s="148"/>
      <c r="AM461" s="148"/>
      <c r="AN461" s="148"/>
      <c r="AO461" s="148"/>
      <c r="AP461" s="147">
        <v>9319750</v>
      </c>
      <c r="AQ461" s="147" t="s">
        <v>239</v>
      </c>
      <c r="AR461" s="147">
        <v>35</v>
      </c>
      <c r="AS461" s="147">
        <v>46</v>
      </c>
      <c r="AT461" s="148"/>
      <c r="AU461" s="148"/>
      <c r="AV461" s="148"/>
      <c r="AW461" s="148">
        <v>201</v>
      </c>
      <c r="AX461" s="148">
        <v>1</v>
      </c>
      <c r="AY461" s="148"/>
      <c r="AZ461" s="148"/>
      <c r="BA461" s="148"/>
      <c r="BB461" s="149" t="s">
        <v>59</v>
      </c>
      <c r="BC461" s="150"/>
      <c r="BD461" s="151" t="s">
        <v>163</v>
      </c>
      <c r="BE461" s="152" t="s">
        <v>57</v>
      </c>
      <c r="BF461" s="152" t="s">
        <v>457</v>
      </c>
    </row>
    <row r="462" spans="1:58" s="152" customFormat="1" ht="14.25" x14ac:dyDescent="0.2">
      <c r="A462" s="160" t="str">
        <f t="shared" si="90"/>
        <v>A93</v>
      </c>
      <c r="B462" s="152" t="s">
        <v>655</v>
      </c>
      <c r="C462" s="160">
        <f t="shared" si="91"/>
        <v>18.5</v>
      </c>
      <c r="D462" s="160"/>
      <c r="E462" s="170" t="str">
        <f>IF(OR(A462="",B462="",C462=""),"eine der Spalten BAB, FR, km leer?",CONCATENATE(VLOOKUP(VALUE(I462),[1]Grundlage!$A$1:$B$14,2,0),IF(LEFT(A462,1)="A",IF(VALUE(MID(A462,2,10))&lt;10,"A00"&amp;VALUE(MID(A462,2,10)),IF(VALUE(MID(A462,2,10))&lt;100,"A0"&amp;VALUE(MID(A462,2,10)),IF(VALUE(MID(A462,2,10))&lt;1000,"A"&amp;VALUE(MID(A462,2,10))))),IF(LEFT(A462,1)="B",IF(VALUE(MID(A462,2,10))&lt;10,"B00"&amp;VALUE(MID(A462,2,10)),IF(VALUE(MID(A462,2,10))&lt;100,"B0"&amp;VALUE(MID(A462,2,10)),IF(VALUE(MID(A462,2,10))&lt;1000,"B"&amp;VALUE(MID(A462,2,10))))),A462)),"_",IF(NOT(OR(C462=1000,C462&gt;1000)),MID(TEXT((C462+1000)*1000,0),2,6),"keine Meter in Spalte km!!!"),IF(VALUE(I462)=1,CONCATENATE("_",VLOOKUP(IF(V462&gt;0,V462,J462),[1]Grundlage!$A$20:$B$181,2,0)),CONCATENATE("_",B462))))</f>
        <v>UQ_A093_018500_S</v>
      </c>
      <c r="F462" s="152" t="s">
        <v>269</v>
      </c>
      <c r="G462" s="171">
        <f t="shared" si="87"/>
        <v>36405</v>
      </c>
      <c r="H462" s="160">
        <f t="shared" si="88"/>
        <v>70</v>
      </c>
      <c r="I462" s="152">
        <f t="shared" si="92"/>
        <v>3</v>
      </c>
      <c r="J462" s="152">
        <f t="shared" si="93"/>
        <v>6</v>
      </c>
      <c r="K462" s="152">
        <f t="shared" si="94"/>
        <v>201</v>
      </c>
      <c r="L462" s="152">
        <f t="shared" si="94"/>
        <v>1</v>
      </c>
      <c r="M462" s="152">
        <f t="shared" si="95"/>
        <v>1</v>
      </c>
      <c r="N462" s="152">
        <f t="shared" si="96"/>
        <v>1</v>
      </c>
      <c r="P462" s="172">
        <f t="shared" si="97"/>
        <v>71</v>
      </c>
      <c r="AI462" s="154"/>
      <c r="AP462" s="147"/>
      <c r="AQ462" s="147"/>
      <c r="AR462" s="147"/>
      <c r="AS462" s="147"/>
      <c r="AT462" s="148">
        <v>3</v>
      </c>
      <c r="AU462" s="155">
        <v>6</v>
      </c>
      <c r="AV462" s="156">
        <v>6</v>
      </c>
      <c r="AW462" s="148"/>
      <c r="AX462" s="148"/>
      <c r="AY462" s="148">
        <v>1</v>
      </c>
      <c r="AZ462" s="155">
        <v>1</v>
      </c>
      <c r="BA462" s="156">
        <v>1</v>
      </c>
      <c r="BB462" s="152" t="s">
        <v>269</v>
      </c>
      <c r="BC462" s="150"/>
      <c r="BD462" s="150"/>
      <c r="BF462" s="152" t="s">
        <v>440</v>
      </c>
    </row>
    <row r="463" spans="1:58" s="152" customFormat="1" ht="14.25" x14ac:dyDescent="0.2">
      <c r="A463" s="160" t="str">
        <f t="shared" si="90"/>
        <v>A93</v>
      </c>
      <c r="B463" s="152" t="s">
        <v>655</v>
      </c>
      <c r="C463" s="160">
        <f t="shared" si="91"/>
        <v>18.5</v>
      </c>
      <c r="D463" s="160"/>
      <c r="E463" s="170" t="str">
        <f>IF(OR(A463="",B463="",C463=""),"eine der Spalten BAB, FR, km leer?",CONCATENATE(VLOOKUP(VALUE(I463),[1]Grundlage!$A$1:$B$14,2,0),IF(LEFT(A463,1)="A",IF(VALUE(MID(A463,2,10))&lt;10,"A00"&amp;VALUE(MID(A463,2,10)),IF(VALUE(MID(A463,2,10))&lt;100,"A0"&amp;VALUE(MID(A463,2,10)),IF(VALUE(MID(A463,2,10))&lt;1000,"A"&amp;VALUE(MID(A463,2,10))))),IF(LEFT(A463,1)="B",IF(VALUE(MID(A463,2,10))&lt;10,"B00"&amp;VALUE(MID(A463,2,10)),IF(VALUE(MID(A463,2,10))&lt;100,"B0"&amp;VALUE(MID(A463,2,10)),IF(VALUE(MID(A463,2,10))&lt;1000,"B"&amp;VALUE(MID(A463,2,10))))),A463)),"_",IF(NOT(OR(C463=1000,C463&gt;1000)),MID(TEXT((C463+1000)*1000,0),2,6),"keine Meter in Spalte km!!!"),IF(VALUE(I463)=1,CONCATENATE("_",VLOOKUP(IF(V463&gt;0,V463,J463),[1]Grundlage!$A$20:$B$181,2,0)),CONCATENATE("_",B463))))</f>
        <v>UQ_A093_018500_S</v>
      </c>
      <c r="F463" s="152" t="s">
        <v>270</v>
      </c>
      <c r="G463" s="171">
        <f t="shared" si="87"/>
        <v>36405</v>
      </c>
      <c r="H463" s="160">
        <f t="shared" si="88"/>
        <v>70</v>
      </c>
      <c r="I463" s="152">
        <f t="shared" si="92"/>
        <v>3</v>
      </c>
      <c r="J463" s="152">
        <f t="shared" si="93"/>
        <v>11</v>
      </c>
      <c r="K463" s="152">
        <f t="shared" si="94"/>
        <v>201</v>
      </c>
      <c r="L463" s="152">
        <f t="shared" si="94"/>
        <v>1</v>
      </c>
      <c r="M463" s="152">
        <f t="shared" si="95"/>
        <v>1</v>
      </c>
      <c r="N463" s="152">
        <f t="shared" si="96"/>
        <v>2</v>
      </c>
      <c r="P463" s="172">
        <f t="shared" si="97"/>
        <v>70</v>
      </c>
      <c r="AI463" s="154"/>
      <c r="AT463" s="148">
        <v>3</v>
      </c>
      <c r="AU463" s="155">
        <v>11</v>
      </c>
      <c r="AV463" s="155" t="s">
        <v>78</v>
      </c>
      <c r="AY463" s="148">
        <v>1</v>
      </c>
      <c r="AZ463" s="155">
        <f>AZ462+1</f>
        <v>2</v>
      </c>
      <c r="BA463" s="155">
        <v>2</v>
      </c>
      <c r="BB463" s="152" t="s">
        <v>270</v>
      </c>
      <c r="BC463" s="150"/>
      <c r="BD463" s="150"/>
      <c r="BF463" s="152" t="s">
        <v>548</v>
      </c>
    </row>
    <row r="464" spans="1:58" s="152" customFormat="1" ht="14.25" x14ac:dyDescent="0.2">
      <c r="A464" s="160" t="str">
        <f t="shared" si="90"/>
        <v>A93</v>
      </c>
      <c r="B464" s="152" t="s">
        <v>655</v>
      </c>
      <c r="C464" s="160">
        <f t="shared" si="91"/>
        <v>18.5</v>
      </c>
      <c r="D464" s="160"/>
      <c r="E464" s="170" t="str">
        <f>IF(OR(A464="",B464="",C464=""),"eine der Spalten BAB, FR, km leer?",CONCATENATE(VLOOKUP(VALUE(I464),[1]Grundlage!$A$1:$B$14,2,0),IF(LEFT(A464,1)="A",IF(VALUE(MID(A464,2,10))&lt;10,"A00"&amp;VALUE(MID(A464,2,10)),IF(VALUE(MID(A464,2,10))&lt;100,"A0"&amp;VALUE(MID(A464,2,10)),IF(VALUE(MID(A464,2,10))&lt;1000,"A"&amp;VALUE(MID(A464,2,10))))),IF(LEFT(A464,1)="B",IF(VALUE(MID(A464,2,10))&lt;10,"B00"&amp;VALUE(MID(A464,2,10)),IF(VALUE(MID(A464,2,10))&lt;100,"B0"&amp;VALUE(MID(A464,2,10)),IF(VALUE(MID(A464,2,10))&lt;1000,"B"&amp;VALUE(MID(A464,2,10))))),A464)),"_",IF(NOT(OR(C464=1000,C464&gt;1000)),MID(TEXT((C464+1000)*1000,0),2,6),"keine Meter in Spalte km!!!"),IF(VALUE(I464)=1,CONCATENATE("_",VLOOKUP(IF(V464&gt;0,V464,J464),[1]Grundlage!$A$20:$B$181,2,0)),CONCATENATE("_",B464))))</f>
        <v>UQ_A093_018500_S</v>
      </c>
      <c r="F464" s="152" t="s">
        <v>25</v>
      </c>
      <c r="G464" s="171">
        <f t="shared" si="87"/>
        <v>36405</v>
      </c>
      <c r="H464" s="160">
        <f t="shared" si="88"/>
        <v>70</v>
      </c>
      <c r="I464" s="152">
        <f t="shared" si="92"/>
        <v>3</v>
      </c>
      <c r="J464" s="152">
        <f t="shared" si="93"/>
        <v>12</v>
      </c>
      <c r="K464" s="152">
        <f t="shared" si="94"/>
        <v>201</v>
      </c>
      <c r="L464" s="152">
        <f t="shared" si="94"/>
        <v>1</v>
      </c>
      <c r="M464" s="152">
        <f t="shared" si="95"/>
        <v>1</v>
      </c>
      <c r="N464" s="152">
        <f t="shared" si="96"/>
        <v>3</v>
      </c>
      <c r="P464" s="172">
        <f t="shared" si="97"/>
        <v>48</v>
      </c>
      <c r="AI464" s="154"/>
      <c r="AT464" s="148">
        <v>3</v>
      </c>
      <c r="AU464" s="155">
        <v>12</v>
      </c>
      <c r="AV464" s="155" t="s">
        <v>79</v>
      </c>
      <c r="AY464" s="148">
        <f>AY463</f>
        <v>1</v>
      </c>
      <c r="AZ464" s="155">
        <f t="shared" ref="AZ464:AZ474" si="98">AZ463+1</f>
        <v>3</v>
      </c>
      <c r="BA464" s="155">
        <v>3</v>
      </c>
      <c r="BB464" s="152" t="s">
        <v>25</v>
      </c>
      <c r="BC464" s="150"/>
      <c r="BD464" s="150"/>
      <c r="BF464" s="152" t="s">
        <v>441</v>
      </c>
    </row>
    <row r="465" spans="1:58" s="152" customFormat="1" ht="14.25" x14ac:dyDescent="0.2">
      <c r="A465" s="160" t="str">
        <f t="shared" si="90"/>
        <v>A93</v>
      </c>
      <c r="B465" s="152" t="s">
        <v>655</v>
      </c>
      <c r="C465" s="160">
        <f t="shared" si="91"/>
        <v>18.5</v>
      </c>
      <c r="D465" s="160"/>
      <c r="E465" s="170" t="str">
        <f>IF(OR(A465="",B465="",C465=""),"eine der Spalten BAB, FR, km leer?",CONCATENATE(VLOOKUP(VALUE(I465),[1]Grundlage!$A$1:$B$14,2,0),IF(LEFT(A465,1)="A",IF(VALUE(MID(A465,2,10))&lt;10,"A00"&amp;VALUE(MID(A465,2,10)),IF(VALUE(MID(A465,2,10))&lt;100,"A0"&amp;VALUE(MID(A465,2,10)),IF(VALUE(MID(A465,2,10))&lt;1000,"A"&amp;VALUE(MID(A465,2,10))))),IF(LEFT(A465,1)="B",IF(VALUE(MID(A465,2,10))&lt;10,"B00"&amp;VALUE(MID(A465,2,10)),IF(VALUE(MID(A465,2,10))&lt;100,"B0"&amp;VALUE(MID(A465,2,10)),IF(VALUE(MID(A465,2,10))&lt;1000,"B"&amp;VALUE(MID(A465,2,10))))),A465)),"_",IF(NOT(OR(C465=1000,C465&gt;1000)),MID(TEXT((C465+1000)*1000,0),2,6),"keine Meter in Spalte km!!!"),IF(VALUE(I465)=1,CONCATENATE("_",VLOOKUP(IF(V465&gt;0,V465,J465),[1]Grundlage!$A$20:$B$181,2,0)),CONCATENATE("_",B465))))</f>
        <v>UQ_A093_018500_S</v>
      </c>
      <c r="F465" s="152" t="s">
        <v>26</v>
      </c>
      <c r="G465" s="171">
        <f t="shared" si="87"/>
        <v>36405</v>
      </c>
      <c r="H465" s="160">
        <f t="shared" si="88"/>
        <v>70</v>
      </c>
      <c r="I465" s="152">
        <f t="shared" si="92"/>
        <v>3</v>
      </c>
      <c r="J465" s="152">
        <f t="shared" si="93"/>
        <v>13</v>
      </c>
      <c r="K465" s="152">
        <f t="shared" si="94"/>
        <v>201</v>
      </c>
      <c r="L465" s="152">
        <f t="shared" si="94"/>
        <v>1</v>
      </c>
      <c r="M465" s="152">
        <f t="shared" si="95"/>
        <v>1</v>
      </c>
      <c r="N465" s="152">
        <f t="shared" si="96"/>
        <v>4</v>
      </c>
      <c r="P465" s="172">
        <f t="shared" si="97"/>
        <v>55</v>
      </c>
      <c r="AI465" s="154"/>
      <c r="AT465" s="148">
        <v>3</v>
      </c>
      <c r="AU465" s="155">
        <v>13</v>
      </c>
      <c r="AV465" s="155" t="s">
        <v>80</v>
      </c>
      <c r="AY465" s="148">
        <f t="shared" ref="AY465:AY474" si="99">AY464</f>
        <v>1</v>
      </c>
      <c r="AZ465" s="155">
        <f t="shared" si="98"/>
        <v>4</v>
      </c>
      <c r="BA465" s="155">
        <v>4</v>
      </c>
      <c r="BB465" s="152" t="s">
        <v>26</v>
      </c>
      <c r="BC465" s="150"/>
      <c r="BD465" s="150"/>
      <c r="BF465" s="152" t="s">
        <v>442</v>
      </c>
    </row>
    <row r="466" spans="1:58" s="152" customFormat="1" ht="14.25" x14ac:dyDescent="0.2">
      <c r="A466" s="160" t="str">
        <f t="shared" si="90"/>
        <v>A93</v>
      </c>
      <c r="B466" s="152" t="s">
        <v>655</v>
      </c>
      <c r="C466" s="160">
        <f t="shared" si="91"/>
        <v>18.5</v>
      </c>
      <c r="D466" s="160"/>
      <c r="E466" s="170" t="str">
        <f>IF(OR(A466="",B466="",C466=""),"eine der Spalten BAB, FR, km leer?",CONCATENATE(VLOOKUP(VALUE(I466),[1]Grundlage!$A$1:$B$14,2,0),IF(LEFT(A466,1)="A",IF(VALUE(MID(A466,2,10))&lt;10,"A00"&amp;VALUE(MID(A466,2,10)),IF(VALUE(MID(A466,2,10))&lt;100,"A0"&amp;VALUE(MID(A466,2,10)),IF(VALUE(MID(A466,2,10))&lt;1000,"A"&amp;VALUE(MID(A466,2,10))))),IF(LEFT(A466,1)="B",IF(VALUE(MID(A466,2,10))&lt;10,"B00"&amp;VALUE(MID(A466,2,10)),IF(VALUE(MID(A466,2,10))&lt;100,"B0"&amp;VALUE(MID(A466,2,10)),IF(VALUE(MID(A466,2,10))&lt;1000,"B"&amp;VALUE(MID(A466,2,10))))),A466)),"_",IF(NOT(OR(C466=1000,C466&gt;1000)),MID(TEXT((C466+1000)*1000,0),2,6),"keine Meter in Spalte km!!!"),IF(VALUE(I466)=1,CONCATENATE("_",VLOOKUP(IF(V466&gt;0,V466,J466),[1]Grundlage!$A$20:$B$181,2,0)),CONCATENATE("_",B466))))</f>
        <v>UQ_A093_018500_S</v>
      </c>
      <c r="F466" s="152" t="s">
        <v>27</v>
      </c>
      <c r="G466" s="171">
        <f t="shared" si="87"/>
        <v>36405</v>
      </c>
      <c r="H466" s="160">
        <f t="shared" si="88"/>
        <v>70</v>
      </c>
      <c r="I466" s="152">
        <f t="shared" si="92"/>
        <v>3</v>
      </c>
      <c r="J466" s="152">
        <f t="shared" si="93"/>
        <v>14</v>
      </c>
      <c r="K466" s="152">
        <f t="shared" si="94"/>
        <v>201</v>
      </c>
      <c r="L466" s="152">
        <f t="shared" si="94"/>
        <v>1</v>
      </c>
      <c r="M466" s="152">
        <f t="shared" si="95"/>
        <v>1</v>
      </c>
      <c r="N466" s="152">
        <f t="shared" si="96"/>
        <v>5</v>
      </c>
      <c r="P466" s="172">
        <f t="shared" si="97"/>
        <v>66</v>
      </c>
      <c r="AI466" s="154"/>
      <c r="AT466" s="148">
        <v>3</v>
      </c>
      <c r="AU466" s="155">
        <v>14</v>
      </c>
      <c r="AV466" s="155" t="s">
        <v>81</v>
      </c>
      <c r="AY466" s="148">
        <f t="shared" si="99"/>
        <v>1</v>
      </c>
      <c r="AZ466" s="155">
        <f t="shared" si="98"/>
        <v>5</v>
      </c>
      <c r="BA466" s="155">
        <v>5</v>
      </c>
      <c r="BB466" s="152" t="s">
        <v>27</v>
      </c>
      <c r="BC466" s="150"/>
      <c r="BD466" s="150"/>
      <c r="BF466" s="152" t="s">
        <v>443</v>
      </c>
    </row>
    <row r="467" spans="1:58" s="152" customFormat="1" ht="14.25" x14ac:dyDescent="0.2">
      <c r="A467" s="160" t="str">
        <f t="shared" si="90"/>
        <v>A93</v>
      </c>
      <c r="B467" s="152" t="s">
        <v>655</v>
      </c>
      <c r="C467" s="160">
        <f t="shared" si="91"/>
        <v>18.5</v>
      </c>
      <c r="D467" s="160"/>
      <c r="E467" s="170" t="str">
        <f>IF(OR(A467="",B467="",C467=""),"eine der Spalten BAB, FR, km leer?",CONCATENATE(VLOOKUP(VALUE(I467),[1]Grundlage!$A$1:$B$14,2,0),IF(LEFT(A467,1)="A",IF(VALUE(MID(A467,2,10))&lt;10,"A00"&amp;VALUE(MID(A467,2,10)),IF(VALUE(MID(A467,2,10))&lt;100,"A0"&amp;VALUE(MID(A467,2,10)),IF(VALUE(MID(A467,2,10))&lt;1000,"A"&amp;VALUE(MID(A467,2,10))))),IF(LEFT(A467,1)="B",IF(VALUE(MID(A467,2,10))&lt;10,"B00"&amp;VALUE(MID(A467,2,10)),IF(VALUE(MID(A467,2,10))&lt;100,"B0"&amp;VALUE(MID(A467,2,10)),IF(VALUE(MID(A467,2,10))&lt;1000,"B"&amp;VALUE(MID(A467,2,10))))),A467)),"_",IF(NOT(OR(C467=1000,C467&gt;1000)),MID(TEXT((C467+1000)*1000,0),2,6),"keine Meter in Spalte km!!!"),IF(VALUE(I467)=1,CONCATENATE("_",VLOOKUP(IF(V467&gt;0,V467,J467),[1]Grundlage!$A$20:$B$181,2,0)),CONCATENATE("_",B467))))</f>
        <v>UQ_A093_018500_S</v>
      </c>
      <c r="F467" s="152" t="s">
        <v>28</v>
      </c>
      <c r="G467" s="171">
        <f t="shared" si="87"/>
        <v>36405</v>
      </c>
      <c r="H467" s="160">
        <f t="shared" si="88"/>
        <v>70</v>
      </c>
      <c r="I467" s="152">
        <f t="shared" si="92"/>
        <v>3</v>
      </c>
      <c r="J467" s="152">
        <f t="shared" si="93"/>
        <v>15</v>
      </c>
      <c r="K467" s="152">
        <f t="shared" si="94"/>
        <v>201</v>
      </c>
      <c r="L467" s="152">
        <f t="shared" si="94"/>
        <v>1</v>
      </c>
      <c r="M467" s="152">
        <f t="shared" si="95"/>
        <v>1</v>
      </c>
      <c r="N467" s="152">
        <f t="shared" si="96"/>
        <v>6</v>
      </c>
      <c r="P467" s="172">
        <f t="shared" si="97"/>
        <v>65</v>
      </c>
      <c r="AI467" s="154"/>
      <c r="AT467" s="148">
        <v>3</v>
      </c>
      <c r="AU467" s="155">
        <v>15</v>
      </c>
      <c r="AV467" s="155" t="s">
        <v>82</v>
      </c>
      <c r="AY467" s="148">
        <f t="shared" si="99"/>
        <v>1</v>
      </c>
      <c r="AZ467" s="155">
        <f t="shared" si="98"/>
        <v>6</v>
      </c>
      <c r="BA467" s="155">
        <v>6</v>
      </c>
      <c r="BB467" s="152" t="s">
        <v>28</v>
      </c>
      <c r="BC467" s="150"/>
      <c r="BD467" s="150"/>
      <c r="BF467" s="152" t="s">
        <v>549</v>
      </c>
    </row>
    <row r="468" spans="1:58" s="152" customFormat="1" ht="14.25" x14ac:dyDescent="0.2">
      <c r="A468" s="160" t="str">
        <f t="shared" si="90"/>
        <v>A93</v>
      </c>
      <c r="B468" s="152" t="s">
        <v>655</v>
      </c>
      <c r="C468" s="160">
        <f t="shared" si="91"/>
        <v>18.5</v>
      </c>
      <c r="D468" s="160"/>
      <c r="E468" s="170" t="str">
        <f>IF(OR(A468="",B468="",C468=""),"eine der Spalten BAB, FR, km leer?",CONCATENATE(VLOOKUP(VALUE(I468),[1]Grundlage!$A$1:$B$14,2,0),IF(LEFT(A468,1)="A",IF(VALUE(MID(A468,2,10))&lt;10,"A00"&amp;VALUE(MID(A468,2,10)),IF(VALUE(MID(A468,2,10))&lt;100,"A0"&amp;VALUE(MID(A468,2,10)),IF(VALUE(MID(A468,2,10))&lt;1000,"A"&amp;VALUE(MID(A468,2,10))))),IF(LEFT(A468,1)="B",IF(VALUE(MID(A468,2,10))&lt;10,"B00"&amp;VALUE(MID(A468,2,10)),IF(VALUE(MID(A468,2,10))&lt;100,"B0"&amp;VALUE(MID(A468,2,10)),IF(VALUE(MID(A468,2,10))&lt;1000,"B"&amp;VALUE(MID(A468,2,10))))),A468)),"_",IF(NOT(OR(C468=1000,C468&gt;1000)),MID(TEXT((C468+1000)*1000,0),2,6),"keine Meter in Spalte km!!!"),IF(VALUE(I468)=1,CONCATENATE("_",VLOOKUP(IF(V468&gt;0,V468,J468),[1]Grundlage!$A$20:$B$181,2,0)),CONCATENATE("_",B468))))</f>
        <v>UQ_A093_018500_S</v>
      </c>
      <c r="F468" s="152" t="s">
        <v>29</v>
      </c>
      <c r="G468" s="171">
        <f t="shared" si="87"/>
        <v>36405</v>
      </c>
      <c r="H468" s="160">
        <f t="shared" si="88"/>
        <v>70</v>
      </c>
      <c r="I468" s="152">
        <f t="shared" si="92"/>
        <v>3</v>
      </c>
      <c r="J468" s="152">
        <f t="shared" si="93"/>
        <v>19</v>
      </c>
      <c r="K468" s="152">
        <f t="shared" si="94"/>
        <v>201</v>
      </c>
      <c r="L468" s="152">
        <f t="shared" si="94"/>
        <v>1</v>
      </c>
      <c r="M468" s="152">
        <f t="shared" si="95"/>
        <v>1</v>
      </c>
      <c r="N468" s="152">
        <f t="shared" si="96"/>
        <v>7</v>
      </c>
      <c r="P468" s="172">
        <f t="shared" si="97"/>
        <v>49</v>
      </c>
      <c r="AI468" s="154"/>
      <c r="AT468" s="148">
        <v>3</v>
      </c>
      <c r="AU468" s="155">
        <v>19</v>
      </c>
      <c r="AV468" s="155">
        <v>13</v>
      </c>
      <c r="AY468" s="148">
        <f t="shared" si="99"/>
        <v>1</v>
      </c>
      <c r="AZ468" s="155">
        <f t="shared" si="98"/>
        <v>7</v>
      </c>
      <c r="BA468" s="155">
        <v>7</v>
      </c>
      <c r="BB468" s="152" t="s">
        <v>29</v>
      </c>
      <c r="BC468" s="150"/>
      <c r="BD468" s="150"/>
      <c r="BF468" s="152" t="s">
        <v>550</v>
      </c>
    </row>
    <row r="469" spans="1:58" s="152" customFormat="1" ht="14.25" x14ac:dyDescent="0.2">
      <c r="A469" s="160" t="str">
        <f t="shared" si="90"/>
        <v>A93</v>
      </c>
      <c r="B469" s="152" t="s">
        <v>655</v>
      </c>
      <c r="C469" s="160">
        <f t="shared" si="91"/>
        <v>18.5</v>
      </c>
      <c r="D469" s="160"/>
      <c r="E469" s="170" t="str">
        <f>IF(OR(A469="",B469="",C469=""),"eine der Spalten BAB, FR, km leer?",CONCATENATE(VLOOKUP(VALUE(I469),[1]Grundlage!$A$1:$B$14,2,0),IF(LEFT(A469,1)="A",IF(VALUE(MID(A469,2,10))&lt;10,"A00"&amp;VALUE(MID(A469,2,10)),IF(VALUE(MID(A469,2,10))&lt;100,"A0"&amp;VALUE(MID(A469,2,10)),IF(VALUE(MID(A469,2,10))&lt;1000,"A"&amp;VALUE(MID(A469,2,10))))),IF(LEFT(A469,1)="B",IF(VALUE(MID(A469,2,10))&lt;10,"B00"&amp;VALUE(MID(A469,2,10)),IF(VALUE(MID(A469,2,10))&lt;100,"B0"&amp;VALUE(MID(A469,2,10)),IF(VALUE(MID(A469,2,10))&lt;1000,"B"&amp;VALUE(MID(A469,2,10))))),A469)),"_",IF(NOT(OR(C469=1000,C469&gt;1000)),MID(TEXT((C469+1000)*1000,0),2,6),"keine Meter in Spalte km!!!"),IF(VALUE(I469)=1,CONCATENATE("_",VLOOKUP(IF(V469&gt;0,V469,J469),[1]Grundlage!$A$20:$B$181,2,0)),CONCATENATE("_",B469))))</f>
        <v>UQ_A093_018500_S</v>
      </c>
      <c r="F469" s="152" t="s">
        <v>30</v>
      </c>
      <c r="G469" s="171">
        <f t="shared" si="87"/>
        <v>36405</v>
      </c>
      <c r="H469" s="160">
        <f t="shared" si="88"/>
        <v>70</v>
      </c>
      <c r="I469" s="152">
        <f t="shared" si="92"/>
        <v>3</v>
      </c>
      <c r="J469" s="152">
        <f t="shared" si="93"/>
        <v>21</v>
      </c>
      <c r="K469" s="152">
        <f t="shared" si="94"/>
        <v>201</v>
      </c>
      <c r="L469" s="152">
        <f t="shared" si="94"/>
        <v>1</v>
      </c>
      <c r="M469" s="152">
        <f t="shared" si="95"/>
        <v>1</v>
      </c>
      <c r="N469" s="152">
        <f t="shared" si="96"/>
        <v>8</v>
      </c>
      <c r="P469" s="172">
        <f t="shared" si="97"/>
        <v>67</v>
      </c>
      <c r="AI469" s="154"/>
      <c r="AT469" s="148">
        <v>3</v>
      </c>
      <c r="AU469" s="155">
        <v>21</v>
      </c>
      <c r="AV469" s="155">
        <v>15</v>
      </c>
      <c r="AY469" s="148">
        <f t="shared" si="99"/>
        <v>1</v>
      </c>
      <c r="AZ469" s="155">
        <f t="shared" si="98"/>
        <v>8</v>
      </c>
      <c r="BA469" s="155">
        <v>8</v>
      </c>
      <c r="BB469" s="152" t="s">
        <v>30</v>
      </c>
      <c r="BC469" s="150"/>
      <c r="BD469" s="150"/>
      <c r="BF469" s="152" t="s">
        <v>551</v>
      </c>
    </row>
    <row r="470" spans="1:58" s="152" customFormat="1" ht="14.25" x14ac:dyDescent="0.2">
      <c r="A470" s="160" t="str">
        <f t="shared" si="90"/>
        <v>A93</v>
      </c>
      <c r="B470" s="152" t="s">
        <v>655</v>
      </c>
      <c r="C470" s="160">
        <f t="shared" si="91"/>
        <v>18.5</v>
      </c>
      <c r="D470" s="160"/>
      <c r="E470" s="170" t="str">
        <f>IF(OR(A470="",B470="",C470=""),"eine der Spalten BAB, FR, km leer?",CONCATENATE(VLOOKUP(VALUE(I470),[1]Grundlage!$A$1:$B$14,2,0),IF(LEFT(A470,1)="A",IF(VALUE(MID(A470,2,10))&lt;10,"A00"&amp;VALUE(MID(A470,2,10)),IF(VALUE(MID(A470,2,10))&lt;100,"A0"&amp;VALUE(MID(A470,2,10)),IF(VALUE(MID(A470,2,10))&lt;1000,"A"&amp;VALUE(MID(A470,2,10))))),IF(LEFT(A470,1)="B",IF(VALUE(MID(A470,2,10))&lt;10,"B00"&amp;VALUE(MID(A470,2,10)),IF(VALUE(MID(A470,2,10))&lt;100,"B0"&amp;VALUE(MID(A470,2,10)),IF(VALUE(MID(A470,2,10))&lt;1000,"B"&amp;VALUE(MID(A470,2,10))))),A470)),"_",IF(NOT(OR(C470=1000,C470&gt;1000)),MID(TEXT((C470+1000)*1000,0),2,6),"keine Meter in Spalte km!!!"),IF(VALUE(I470)=1,CONCATENATE("_",VLOOKUP(IF(V470&gt;0,V470,J470),[1]Grundlage!$A$20:$B$181,2,0)),CONCATENATE("_",B470))))</f>
        <v>UQ_A093_018500_S</v>
      </c>
      <c r="F470" s="152" t="s">
        <v>41</v>
      </c>
      <c r="G470" s="171">
        <f t="shared" si="87"/>
        <v>36405</v>
      </c>
      <c r="H470" s="160">
        <f t="shared" si="88"/>
        <v>70</v>
      </c>
      <c r="I470" s="152">
        <f t="shared" si="92"/>
        <v>3</v>
      </c>
      <c r="J470" s="152">
        <f t="shared" si="93"/>
        <v>24</v>
      </c>
      <c r="K470" s="152">
        <f t="shared" si="94"/>
        <v>201</v>
      </c>
      <c r="L470" s="152">
        <f t="shared" si="94"/>
        <v>1</v>
      </c>
      <c r="M470" s="152">
        <f t="shared" si="95"/>
        <v>1</v>
      </c>
      <c r="N470" s="152">
        <f t="shared" si="96"/>
        <v>9</v>
      </c>
      <c r="P470" s="172">
        <f t="shared" si="97"/>
        <v>69</v>
      </c>
      <c r="AI470" s="154"/>
      <c r="AT470" s="148">
        <v>3</v>
      </c>
      <c r="AU470" s="155">
        <v>24</v>
      </c>
      <c r="AV470" s="155">
        <v>18</v>
      </c>
      <c r="AY470" s="148">
        <f t="shared" si="99"/>
        <v>1</v>
      </c>
      <c r="AZ470" s="155">
        <f t="shared" si="98"/>
        <v>9</v>
      </c>
      <c r="BA470" s="155">
        <v>9</v>
      </c>
      <c r="BB470" s="152" t="s">
        <v>41</v>
      </c>
      <c r="BC470" s="150"/>
      <c r="BD470" s="150"/>
      <c r="BF470" s="152" t="s">
        <v>552</v>
      </c>
    </row>
    <row r="471" spans="1:58" s="152" customFormat="1" ht="14.25" x14ac:dyDescent="0.2">
      <c r="A471" s="160" t="str">
        <f t="shared" si="90"/>
        <v>A93</v>
      </c>
      <c r="B471" s="152" t="s">
        <v>655</v>
      </c>
      <c r="C471" s="160">
        <f t="shared" si="91"/>
        <v>18.5</v>
      </c>
      <c r="D471" s="160"/>
      <c r="E471" s="170" t="str">
        <f>IF(OR(A471="",B471="",C471=""),"eine der Spalten BAB, FR, km leer?",CONCATENATE(VLOOKUP(VALUE(I471),[1]Grundlage!$A$1:$B$14,2,0),IF(LEFT(A471,1)="A",IF(VALUE(MID(A471,2,10))&lt;10,"A00"&amp;VALUE(MID(A471,2,10)),IF(VALUE(MID(A471,2,10))&lt;100,"A0"&amp;VALUE(MID(A471,2,10)),IF(VALUE(MID(A471,2,10))&lt;1000,"A"&amp;VALUE(MID(A471,2,10))))),IF(LEFT(A471,1)="B",IF(VALUE(MID(A471,2,10))&lt;10,"B00"&amp;VALUE(MID(A471,2,10)),IF(VALUE(MID(A471,2,10))&lt;100,"B0"&amp;VALUE(MID(A471,2,10)),IF(VALUE(MID(A471,2,10))&lt;1000,"B"&amp;VALUE(MID(A471,2,10))))),A471)),"_",IF(NOT(OR(C471=1000,C471&gt;1000)),MID(TEXT((C471+1000)*1000,0),2,6),"keine Meter in Spalte km!!!"),IF(VALUE(I471)=1,CONCATENATE("_",VLOOKUP(IF(V471&gt;0,V471,J471),[1]Grundlage!$A$20:$B$181,2,0)),CONCATENATE("_",B471))))</f>
        <v>UQ_A093_018500_S</v>
      </c>
      <c r="F471" s="152" t="s">
        <v>42</v>
      </c>
      <c r="G471" s="171">
        <f t="shared" si="87"/>
        <v>36405</v>
      </c>
      <c r="H471" s="160">
        <f t="shared" si="88"/>
        <v>70</v>
      </c>
      <c r="I471" s="152">
        <f t="shared" si="92"/>
        <v>3</v>
      </c>
      <c r="J471" s="152">
        <f t="shared" si="93"/>
        <v>25</v>
      </c>
      <c r="K471" s="152">
        <f t="shared" si="94"/>
        <v>201</v>
      </c>
      <c r="L471" s="152">
        <f t="shared" si="94"/>
        <v>1</v>
      </c>
      <c r="M471" s="152">
        <f t="shared" si="95"/>
        <v>1</v>
      </c>
      <c r="N471" s="152">
        <f t="shared" si="96"/>
        <v>10</v>
      </c>
      <c r="P471" s="172">
        <f>IF(AT471&lt;&gt;3,"",IF(BB471="Helligkeitssensor",61,IF(BB471="Helligkeit",61,IF(BB472="Lichtsensor",61,IF(BB471="Lufttemperatur",48,IF(BB471="Niederschlagsart",71,IF(BB471="Niederschlagsintensität",53,IF(BB471="relative Luftfeuchte RLF",55,IF(BB471="Sichtweite",60,IF(BB471="Sichtweite 1",60,IF(BB471="Zustand der Fahrbahnoberfläche FBZ",79,IF(BB471="Wasserfilmdicke WFD",72,IF(BB471="Clusterkanal FG3","",IF(BB471="Gefriertemperatur GT",65,IF(BB471="Fahrbahnoberflächentemperatur FBT",49,IF(BB471="Windrichtung  Typ 56 ",56,VALUE(RIGHT(BB471,2))))))))))))))))))</f>
        <v>56</v>
      </c>
      <c r="AI471" s="154"/>
      <c r="AT471" s="148">
        <v>3</v>
      </c>
      <c r="AU471" s="155">
        <v>25</v>
      </c>
      <c r="AV471" s="155">
        <v>19</v>
      </c>
      <c r="AY471" s="148">
        <f t="shared" si="99"/>
        <v>1</v>
      </c>
      <c r="AZ471" s="155">
        <f t="shared" si="98"/>
        <v>10</v>
      </c>
      <c r="BA471" s="155" t="s">
        <v>95</v>
      </c>
      <c r="BB471" s="152" t="s">
        <v>42</v>
      </c>
      <c r="BC471" s="150"/>
      <c r="BD471" s="150"/>
      <c r="BF471" s="152" t="s">
        <v>515</v>
      </c>
    </row>
    <row r="472" spans="1:58" s="152" customFormat="1" ht="14.25" x14ac:dyDescent="0.2">
      <c r="A472" s="160" t="str">
        <f t="shared" si="90"/>
        <v>A93</v>
      </c>
      <c r="B472" s="152" t="s">
        <v>655</v>
      </c>
      <c r="C472" s="160">
        <f t="shared" si="91"/>
        <v>18.5</v>
      </c>
      <c r="D472" s="160"/>
      <c r="E472" s="170" t="str">
        <f>IF(OR(A472="",B472="",C472=""),"eine der Spalten BAB, FR, km leer?",CONCATENATE(VLOOKUP(VALUE(I472),[1]Grundlage!$A$1:$B$14,2,0),IF(LEFT(A472,1)="A",IF(VALUE(MID(A472,2,10))&lt;10,"A00"&amp;VALUE(MID(A472,2,10)),IF(VALUE(MID(A472,2,10))&lt;100,"A0"&amp;VALUE(MID(A472,2,10)),IF(VALUE(MID(A472,2,10))&lt;1000,"A"&amp;VALUE(MID(A472,2,10))))),IF(LEFT(A472,1)="B",IF(VALUE(MID(A472,2,10))&lt;10,"B00"&amp;VALUE(MID(A472,2,10)),IF(VALUE(MID(A472,2,10))&lt;100,"B0"&amp;VALUE(MID(A472,2,10)),IF(VALUE(MID(A472,2,10))&lt;1000,"B"&amp;VALUE(MID(A472,2,10))))),A472)),"_",IF(NOT(OR(C472=1000,C472&gt;1000)),MID(TEXT((C472+1000)*1000,0),2,6),"keine Meter in Spalte km!!!"),IF(VALUE(I472)=1,CONCATENATE("_",VLOOKUP(IF(V472&gt;0,V472,J472),[1]Grundlage!$A$20:$B$181,2,0)),CONCATENATE("_",B472))))</f>
        <v>UQ_A093_018500_S</v>
      </c>
      <c r="F472" s="152" t="s">
        <v>43</v>
      </c>
      <c r="G472" s="171">
        <f t="shared" si="87"/>
        <v>36405</v>
      </c>
      <c r="H472" s="160">
        <f t="shared" si="88"/>
        <v>70</v>
      </c>
      <c r="I472" s="152">
        <f t="shared" si="92"/>
        <v>3</v>
      </c>
      <c r="J472" s="152">
        <f t="shared" si="93"/>
        <v>26</v>
      </c>
      <c r="K472" s="152">
        <f t="shared" si="94"/>
        <v>201</v>
      </c>
      <c r="L472" s="152">
        <f t="shared" si="94"/>
        <v>1</v>
      </c>
      <c r="M472" s="152">
        <f t="shared" si="95"/>
        <v>1</v>
      </c>
      <c r="N472" s="152">
        <f t="shared" si="96"/>
        <v>11</v>
      </c>
      <c r="P472" s="172">
        <f t="shared" si="97"/>
        <v>57</v>
      </c>
      <c r="AI472" s="154"/>
      <c r="AT472" s="148">
        <v>3</v>
      </c>
      <c r="AU472" s="155">
        <v>26</v>
      </c>
      <c r="AV472" s="155" t="s">
        <v>86</v>
      </c>
      <c r="AY472" s="148">
        <f t="shared" si="99"/>
        <v>1</v>
      </c>
      <c r="AZ472" s="155">
        <f t="shared" si="98"/>
        <v>11</v>
      </c>
      <c r="BA472" s="155" t="s">
        <v>78</v>
      </c>
      <c r="BB472" s="152" t="s">
        <v>43</v>
      </c>
      <c r="BC472" s="150"/>
      <c r="BD472" s="150"/>
      <c r="BF472" s="152" t="s">
        <v>446</v>
      </c>
    </row>
    <row r="473" spans="1:58" s="152" customFormat="1" ht="14.25" x14ac:dyDescent="0.2">
      <c r="A473" s="160" t="str">
        <f t="shared" si="90"/>
        <v>A93</v>
      </c>
      <c r="B473" s="152" t="s">
        <v>655</v>
      </c>
      <c r="C473" s="160">
        <f t="shared" si="91"/>
        <v>18.5</v>
      </c>
      <c r="D473" s="160"/>
      <c r="E473" s="170" t="str">
        <f>IF(OR(A473="",B473="",C473=""),"eine der Spalten BAB, FR, km leer?",CONCATENATE(VLOOKUP(VALUE(I473),[1]Grundlage!$A$1:$B$14,2,0),IF(LEFT(A473,1)="A",IF(VALUE(MID(A473,2,10))&lt;10,"A00"&amp;VALUE(MID(A473,2,10)),IF(VALUE(MID(A473,2,10))&lt;100,"A0"&amp;VALUE(MID(A473,2,10)),IF(VALUE(MID(A473,2,10))&lt;1000,"A"&amp;VALUE(MID(A473,2,10))))),IF(LEFT(A473,1)="B",IF(VALUE(MID(A473,2,10))&lt;10,"B00"&amp;VALUE(MID(A473,2,10)),IF(VALUE(MID(A473,2,10))&lt;100,"B0"&amp;VALUE(MID(A473,2,10)),IF(VALUE(MID(A473,2,10))&lt;1000,"B"&amp;VALUE(MID(A473,2,10))))),A473)),"_",IF(NOT(OR(C473=1000,C473&gt;1000)),MID(TEXT((C473+1000)*1000,0),2,6),"keine Meter in Spalte km!!!"),IF(VALUE(I473)=1,CONCATENATE("_",VLOOKUP(IF(V473&gt;0,V473,J473),[1]Grundlage!$A$20:$B$181,2,0)),CONCATENATE("_",B473))))</f>
        <v>UQ_A093_018500_S</v>
      </c>
      <c r="F473" s="152" t="s">
        <v>271</v>
      </c>
      <c r="G473" s="171">
        <f t="shared" si="87"/>
        <v>36405</v>
      </c>
      <c r="H473" s="160">
        <f t="shared" si="88"/>
        <v>70</v>
      </c>
      <c r="I473" s="152">
        <f t="shared" si="92"/>
        <v>3</v>
      </c>
      <c r="J473" s="152">
        <f t="shared" si="93"/>
        <v>67</v>
      </c>
      <c r="K473" s="152">
        <f t="shared" si="94"/>
        <v>201</v>
      </c>
      <c r="L473" s="152">
        <f t="shared" si="94"/>
        <v>1</v>
      </c>
      <c r="M473" s="152">
        <f t="shared" si="95"/>
        <v>1</v>
      </c>
      <c r="N473" s="152">
        <f t="shared" si="96"/>
        <v>12</v>
      </c>
      <c r="P473" s="172">
        <f t="shared" si="97"/>
        <v>53</v>
      </c>
      <c r="AI473" s="154"/>
      <c r="AT473" s="148">
        <v>3</v>
      </c>
      <c r="AU473" s="155">
        <v>67</v>
      </c>
      <c r="AV473" s="155">
        <v>43</v>
      </c>
      <c r="AY473" s="148">
        <f t="shared" si="99"/>
        <v>1</v>
      </c>
      <c r="AZ473" s="155">
        <f t="shared" si="98"/>
        <v>12</v>
      </c>
      <c r="BA473" s="174" t="s">
        <v>79</v>
      </c>
      <c r="BB473" s="152" t="s">
        <v>271</v>
      </c>
      <c r="BC473" s="150"/>
      <c r="BD473" s="150"/>
      <c r="BF473" s="152" t="s">
        <v>444</v>
      </c>
    </row>
    <row r="474" spans="1:58" s="152" customFormat="1" ht="14.25" x14ac:dyDescent="0.2">
      <c r="A474" s="160" t="str">
        <f t="shared" si="90"/>
        <v>A93</v>
      </c>
      <c r="B474" s="152" t="s">
        <v>655</v>
      </c>
      <c r="C474" s="160">
        <f t="shared" si="91"/>
        <v>18.5</v>
      </c>
      <c r="D474" s="160"/>
      <c r="E474" s="170" t="str">
        <f>IF(OR(A474="",B474="",C474=""),"eine der Spalten BAB, FR, km leer?",CONCATENATE(VLOOKUP(VALUE(I474),[1]Grundlage!$A$1:$B$14,2,0),IF(LEFT(A474,1)="A",IF(VALUE(MID(A474,2,10))&lt;10,"A00"&amp;VALUE(MID(A474,2,10)),IF(VALUE(MID(A474,2,10))&lt;100,"A0"&amp;VALUE(MID(A474,2,10)),IF(VALUE(MID(A474,2,10))&lt;1000,"A"&amp;VALUE(MID(A474,2,10))))),IF(LEFT(A474,1)="B",IF(VALUE(MID(A474,2,10))&lt;10,"B00"&amp;VALUE(MID(A474,2,10)),IF(VALUE(MID(A474,2,10))&lt;100,"B0"&amp;VALUE(MID(A474,2,10)),IF(VALUE(MID(A474,2,10))&lt;1000,"B"&amp;VALUE(MID(A474,2,10))))),A474)),"_",IF(NOT(OR(C474=1000,C474&gt;1000)),MID(TEXT((C474+1000)*1000,0),2,6),"keine Meter in Spalte km!!!"),IF(VALUE(I474)=1,CONCATENATE("_",VLOOKUP(IF(V474&gt;0,V474,J474),[1]Grundlage!$A$20:$B$181,2,0)),CONCATENATE("_",B474))))</f>
        <v>UQ_A093_018500_S</v>
      </c>
      <c r="F474" s="152" t="s">
        <v>272</v>
      </c>
      <c r="G474" s="171">
        <f t="shared" si="87"/>
        <v>36405</v>
      </c>
      <c r="H474" s="160">
        <f t="shared" si="88"/>
        <v>70</v>
      </c>
      <c r="I474" s="152">
        <f t="shared" si="92"/>
        <v>3</v>
      </c>
      <c r="J474" s="152">
        <f t="shared" si="93"/>
        <v>82</v>
      </c>
      <c r="K474" s="152">
        <f t="shared" si="94"/>
        <v>201</v>
      </c>
      <c r="L474" s="152">
        <f t="shared" si="94"/>
        <v>1</v>
      </c>
      <c r="M474" s="152">
        <f t="shared" si="95"/>
        <v>1</v>
      </c>
      <c r="N474" s="152">
        <f t="shared" si="96"/>
        <v>13</v>
      </c>
      <c r="P474" s="172">
        <f t="shared" si="97"/>
        <v>72</v>
      </c>
      <c r="AI474" s="154"/>
      <c r="AT474" s="148">
        <v>3</v>
      </c>
      <c r="AU474" s="155">
        <v>82</v>
      </c>
      <c r="AV474" s="155">
        <v>52</v>
      </c>
      <c r="AY474" s="148">
        <f t="shared" si="99"/>
        <v>1</v>
      </c>
      <c r="AZ474" s="155">
        <f t="shared" si="98"/>
        <v>13</v>
      </c>
      <c r="BA474" s="174" t="s">
        <v>80</v>
      </c>
      <c r="BB474" s="152" t="s">
        <v>272</v>
      </c>
      <c r="BC474" s="150"/>
      <c r="BD474" s="150"/>
      <c r="BF474" s="152" t="s">
        <v>553</v>
      </c>
    </row>
    <row r="475" spans="1:58" ht="14.25" x14ac:dyDescent="0.2">
      <c r="A475" t="str">
        <f t="shared" si="90"/>
        <v>A93</v>
      </c>
      <c r="C475">
        <f t="shared" si="91"/>
        <v>18.5</v>
      </c>
      <c r="D475"/>
      <c r="E475" s="169" t="str">
        <f>IF(OR(A475="",B475="",C475=""),"",CONCATENATE(VLOOKUP(VALUE(I475),[1]Grundlage!$A$1:$B$14,2,0),IF(LEFT(A475,1)="A",IF(VALUE(MID(A475,2,10))&lt;10,"A00"&amp;VALUE(MID(A475,2,10)),IF(VALUE(MID(A475,2,10))&lt;100,"A0"&amp;VALUE(MID(A475,2,10)),IF(VALUE(MID(A475,2,10))&lt;1000,"A"&amp;VALUE(MID(A475,2,10))))),IF(LEFT(A475,1)="B",IF(VALUE(MID(A475,2,10))&lt;10,"B00"&amp;VALUE(MID(A475,2,10)),IF(VALUE(MID(A475,2,10))&lt;100,"B0"&amp;VALUE(MID(A475,2,10)),IF(VALUE(MID(A475,2,10))&lt;1000,"B"&amp;VALUE(MID(A475,2,10))))),A475)),"_",IF(NOT(OR(C475=1000,C475&gt;1000)),MID(TEXT((C475+1000)*1000,0),2,6),"keine Meter in Spalte km!!!"),IF(VALUE(I475)=1,CONCATENATE("_",VLOOKUP(IF(V475&gt;0,V475,J475),[1]Grundlage!$A$20:$B$181,2,0)),CONCATENATE("_",B475))))</f>
        <v/>
      </c>
      <c r="F475" s="2" t="s">
        <v>669</v>
      </c>
      <c r="G475" s="167">
        <f t="shared" si="87"/>
        <v>36405</v>
      </c>
      <c r="H475">
        <f t="shared" si="88"/>
        <v>70</v>
      </c>
      <c r="I475" s="2">
        <f t="shared" si="92"/>
        <v>0</v>
      </c>
      <c r="J475" s="2">
        <f t="shared" si="93"/>
        <v>0</v>
      </c>
      <c r="K475" s="2">
        <f t="shared" si="94"/>
        <v>201</v>
      </c>
      <c r="L475" s="2">
        <f t="shared" si="94"/>
        <v>1</v>
      </c>
      <c r="M475" s="2" t="str">
        <f t="shared" si="95"/>
        <v/>
      </c>
      <c r="N475" s="2" t="str">
        <f t="shared" si="96"/>
        <v/>
      </c>
      <c r="P475" s="168" t="str">
        <f t="shared" si="97"/>
        <v/>
      </c>
      <c r="AT475" s="13"/>
      <c r="AU475" s="13"/>
      <c r="AV475" s="13"/>
      <c r="AW475" s="13"/>
      <c r="AX475" s="13"/>
      <c r="AY475" s="13"/>
      <c r="AZ475" s="13"/>
      <c r="BA475" s="13"/>
      <c r="BB475" s="13"/>
    </row>
    <row r="476" spans="1:58" s="152" customFormat="1" ht="14.25" x14ac:dyDescent="0.2">
      <c r="A476" s="160" t="s">
        <v>168</v>
      </c>
      <c r="B476" s="152" t="s">
        <v>658</v>
      </c>
      <c r="C476" s="160">
        <f t="shared" si="91"/>
        <v>58.59</v>
      </c>
      <c r="D476" s="160"/>
      <c r="E476" s="170" t="str">
        <f>IF(OR(A476="",B476="",C476=""),"eine der Spalten BAB, FR, km leer?",CONCATENATE(VLOOKUP(VALUE(I476),[1]Grundlage!$A$1:$B$14,2,0),IF(LEFT(A476,1)="A",IF(VALUE(MID(A476,2,10))&lt;10,"A00"&amp;VALUE(MID(A476,2,10)),IF(VALUE(MID(A476,2,10))&lt;100,"A0"&amp;VALUE(MID(A476,2,10)),IF(VALUE(MID(A476,2,10))&lt;1000,"A"&amp;VALUE(MID(A476,2,10))))),IF(LEFT(A476,1)="B",IF(VALUE(MID(A476,2,10))&lt;10,"B00"&amp;VALUE(MID(A476,2,10)),IF(VALUE(MID(A476,2,10))&lt;100,"B0"&amp;VALUE(MID(A476,2,10)),IF(VALUE(MID(A476,2,10))&lt;1000,"B"&amp;VALUE(MID(A476,2,10))))),A476)),"_",IF(NOT(OR(C476=1000,C476&gt;1000)),MID(TEXT((C476+1000)*1000,0),2,6),"keine Meter in Spalte km!!!"),IF(VALUE(I476)=1,CONCATENATE("_",VLOOKUP(IF(V476&gt;0,V476,J476),[1]Grundlage!$A$20:$B$181,2,0)),CONCATENATE("_",B476))))</f>
        <v>SSt_A008_058590_O</v>
      </c>
      <c r="F476" s="152" t="s">
        <v>145</v>
      </c>
      <c r="G476" s="171">
        <f t="shared" si="87"/>
        <v>3154</v>
      </c>
      <c r="H476" s="160">
        <f t="shared" si="88"/>
        <v>41</v>
      </c>
      <c r="I476" s="152">
        <f t="shared" si="92"/>
        <v>0</v>
      </c>
      <c r="J476" s="152">
        <f t="shared" si="93"/>
        <v>0</v>
      </c>
      <c r="K476" s="152">
        <f t="shared" si="94"/>
        <v>200</v>
      </c>
      <c r="L476" s="152">
        <f t="shared" si="94"/>
        <v>3</v>
      </c>
      <c r="M476" s="152" t="str">
        <f t="shared" si="95"/>
        <v/>
      </c>
      <c r="N476" s="152" t="str">
        <f t="shared" si="96"/>
        <v/>
      </c>
      <c r="P476" s="172" t="str">
        <f t="shared" si="97"/>
        <v/>
      </c>
      <c r="AI476" s="173">
        <v>58.59</v>
      </c>
      <c r="AJ476" s="148" t="s">
        <v>19</v>
      </c>
      <c r="AK476" s="148" t="s">
        <v>60</v>
      </c>
      <c r="AL476" s="148"/>
      <c r="AM476" s="148"/>
      <c r="AN476" s="148"/>
      <c r="AO476" s="148"/>
      <c r="AP476" s="148">
        <v>807465</v>
      </c>
      <c r="AQ476" s="158" t="s">
        <v>79</v>
      </c>
      <c r="AR476" s="148">
        <v>52</v>
      </c>
      <c r="AS476" s="148">
        <v>29</v>
      </c>
      <c r="AT476" s="148"/>
      <c r="AU476" s="148"/>
      <c r="AV476" s="148"/>
      <c r="AW476" s="148">
        <v>200</v>
      </c>
      <c r="AX476" s="148">
        <v>3</v>
      </c>
      <c r="AY476" s="148"/>
      <c r="AZ476" s="148"/>
      <c r="BA476" s="148"/>
      <c r="BB476" s="149" t="s">
        <v>145</v>
      </c>
      <c r="BC476" s="150"/>
      <c r="BD476" s="158" t="s">
        <v>163</v>
      </c>
      <c r="BE476" s="152" t="s">
        <v>57</v>
      </c>
      <c r="BF476" s="152" t="s">
        <v>458</v>
      </c>
    </row>
    <row r="477" spans="1:58" s="152" customFormat="1" ht="14.25" x14ac:dyDescent="0.2">
      <c r="A477" s="160" t="str">
        <f t="shared" si="90"/>
        <v>A8</v>
      </c>
      <c r="B477" s="152" t="s">
        <v>658</v>
      </c>
      <c r="C477" s="160">
        <f t="shared" si="91"/>
        <v>58.59</v>
      </c>
      <c r="D477" s="160"/>
      <c r="E477" s="170" t="str">
        <f>IF(OR(A477="",B477="",C477=""),"eine der Spalten BAB, FR, km leer?",CONCATENATE(VLOOKUP(VALUE(I477),[1]Grundlage!$A$1:$B$14,2,0),IF(LEFT(A477,1)="A",IF(VALUE(MID(A477,2,10))&lt;10,"A00"&amp;VALUE(MID(A477,2,10)),IF(VALUE(MID(A477,2,10))&lt;100,"A0"&amp;VALUE(MID(A477,2,10)),IF(VALUE(MID(A477,2,10))&lt;1000,"A"&amp;VALUE(MID(A477,2,10))))),IF(LEFT(A477,1)="B",IF(VALUE(MID(A477,2,10))&lt;10,"B00"&amp;VALUE(MID(A477,2,10)),IF(VALUE(MID(A477,2,10))&lt;100,"B0"&amp;VALUE(MID(A477,2,10)),IF(VALUE(MID(A477,2,10))&lt;1000,"B"&amp;VALUE(MID(A477,2,10))))),A477)),"_",IF(NOT(OR(C477=1000,C477&gt;1000)),MID(TEXT((C477+1000)*1000,0),2,6),"keine Meter in Spalte km!!!"),IF(VALUE(I477)=1,CONCATENATE("_",VLOOKUP(IF(V477&gt;0,V477,J477),[1]Grundlage!$A$20:$B$181,2,0)),CONCATENATE("_",B477))))</f>
        <v>UQ_A008_058590_O</v>
      </c>
      <c r="F477" s="152" t="s">
        <v>269</v>
      </c>
      <c r="G477" s="171">
        <f t="shared" si="87"/>
        <v>3154</v>
      </c>
      <c r="H477" s="160">
        <f t="shared" si="88"/>
        <v>41</v>
      </c>
      <c r="I477" s="152">
        <f t="shared" si="92"/>
        <v>3</v>
      </c>
      <c r="J477" s="152">
        <f t="shared" si="93"/>
        <v>6</v>
      </c>
      <c r="K477" s="152">
        <f t="shared" si="94"/>
        <v>200</v>
      </c>
      <c r="L477" s="152">
        <f t="shared" si="94"/>
        <v>3</v>
      </c>
      <c r="M477" s="152">
        <f t="shared" si="95"/>
        <v>1</v>
      </c>
      <c r="N477" s="152">
        <f t="shared" si="96"/>
        <v>1</v>
      </c>
      <c r="P477" s="172">
        <f t="shared" si="97"/>
        <v>71</v>
      </c>
      <c r="AI477" s="154"/>
      <c r="AQ477" s="152">
        <v>12</v>
      </c>
      <c r="AR477" s="152">
        <v>82</v>
      </c>
      <c r="AS477" s="152">
        <v>41</v>
      </c>
      <c r="AT477" s="148">
        <v>3</v>
      </c>
      <c r="AU477" s="155">
        <v>6</v>
      </c>
      <c r="AV477" s="156">
        <v>6</v>
      </c>
      <c r="AW477" s="148"/>
      <c r="AX477" s="148"/>
      <c r="AY477" s="148">
        <v>1</v>
      </c>
      <c r="AZ477" s="155">
        <v>1</v>
      </c>
      <c r="BA477" s="156"/>
      <c r="BB477" s="152" t="s">
        <v>269</v>
      </c>
      <c r="BC477" s="150"/>
      <c r="BD477" s="150"/>
      <c r="BF477" s="152" t="s">
        <v>607</v>
      </c>
    </row>
    <row r="478" spans="1:58" s="152" customFormat="1" ht="14.25" x14ac:dyDescent="0.2">
      <c r="A478" s="160" t="str">
        <f t="shared" si="90"/>
        <v>A8</v>
      </c>
      <c r="B478" s="152" t="s">
        <v>658</v>
      </c>
      <c r="C478" s="160">
        <f t="shared" si="91"/>
        <v>58.59</v>
      </c>
      <c r="D478" s="160"/>
      <c r="E478" s="170" t="str">
        <f>IF(OR(A478="",B478="",C478=""),"eine der Spalten BAB, FR, km leer?",CONCATENATE(VLOOKUP(VALUE(I478),[1]Grundlage!$A$1:$B$14,2,0),IF(LEFT(A478,1)="A",IF(VALUE(MID(A478,2,10))&lt;10,"A00"&amp;VALUE(MID(A478,2,10)),IF(VALUE(MID(A478,2,10))&lt;100,"A0"&amp;VALUE(MID(A478,2,10)),IF(VALUE(MID(A478,2,10))&lt;1000,"A"&amp;VALUE(MID(A478,2,10))))),IF(LEFT(A478,1)="B",IF(VALUE(MID(A478,2,10))&lt;10,"B00"&amp;VALUE(MID(A478,2,10)),IF(VALUE(MID(A478,2,10))&lt;100,"B0"&amp;VALUE(MID(A478,2,10)),IF(VALUE(MID(A478,2,10))&lt;1000,"B"&amp;VALUE(MID(A478,2,10))))),A478)),"_",IF(NOT(OR(C478=1000,C478&gt;1000)),MID(TEXT((C478+1000)*1000,0),2,6),"keine Meter in Spalte km!!!"),IF(VALUE(I478)=1,CONCATENATE("_",VLOOKUP(IF(V478&gt;0,V478,J478),[1]Grundlage!$A$20:$B$181,2,0)),CONCATENATE("_",B478))))</f>
        <v>UQ_A008_058590_O</v>
      </c>
      <c r="F478" s="152" t="s">
        <v>270</v>
      </c>
      <c r="G478" s="171">
        <f t="shared" si="87"/>
        <v>3154</v>
      </c>
      <c r="H478" s="160">
        <f t="shared" si="88"/>
        <v>41</v>
      </c>
      <c r="I478" s="152">
        <f t="shared" si="92"/>
        <v>3</v>
      </c>
      <c r="J478" s="152">
        <f t="shared" si="93"/>
        <v>11</v>
      </c>
      <c r="K478" s="152">
        <f t="shared" si="94"/>
        <v>200</v>
      </c>
      <c r="L478" s="152">
        <f t="shared" si="94"/>
        <v>3</v>
      </c>
      <c r="M478" s="152">
        <f t="shared" si="95"/>
        <v>1</v>
      </c>
      <c r="N478" s="152">
        <f t="shared" si="96"/>
        <v>2</v>
      </c>
      <c r="P478" s="172">
        <f t="shared" si="97"/>
        <v>70</v>
      </c>
      <c r="AI478" s="154"/>
      <c r="AT478" s="148">
        <v>3</v>
      </c>
      <c r="AU478" s="155">
        <v>11</v>
      </c>
      <c r="AV478" s="155" t="s">
        <v>78</v>
      </c>
      <c r="AY478" s="148">
        <v>1</v>
      </c>
      <c r="AZ478" s="155">
        <v>2</v>
      </c>
      <c r="BA478" s="155"/>
      <c r="BB478" s="152" t="s">
        <v>270</v>
      </c>
      <c r="BC478" s="150"/>
      <c r="BD478" s="150"/>
      <c r="BF478" s="152" t="s">
        <v>473</v>
      </c>
    </row>
    <row r="479" spans="1:58" s="152" customFormat="1" ht="14.25" x14ac:dyDescent="0.2">
      <c r="A479" s="160" t="str">
        <f t="shared" si="90"/>
        <v>A8</v>
      </c>
      <c r="B479" s="152" t="s">
        <v>658</v>
      </c>
      <c r="C479" s="160">
        <f t="shared" si="91"/>
        <v>58.59</v>
      </c>
      <c r="D479" s="160"/>
      <c r="E479" s="170" t="str">
        <f>IF(OR(A479="",B479="",C479=""),"eine der Spalten BAB, FR, km leer?",CONCATENATE(VLOOKUP(VALUE(I479),[1]Grundlage!$A$1:$B$14,2,0),IF(LEFT(A479,1)="A",IF(VALUE(MID(A479,2,10))&lt;10,"A00"&amp;VALUE(MID(A479,2,10)),IF(VALUE(MID(A479,2,10))&lt;100,"A0"&amp;VALUE(MID(A479,2,10)),IF(VALUE(MID(A479,2,10))&lt;1000,"A"&amp;VALUE(MID(A479,2,10))))),IF(LEFT(A479,1)="B",IF(VALUE(MID(A479,2,10))&lt;10,"B00"&amp;VALUE(MID(A479,2,10)),IF(VALUE(MID(A479,2,10))&lt;100,"B0"&amp;VALUE(MID(A479,2,10)),IF(VALUE(MID(A479,2,10))&lt;1000,"B"&amp;VALUE(MID(A479,2,10))))),A479)),"_",IF(NOT(OR(C479=1000,C479&gt;1000)),MID(TEXT((C479+1000)*1000,0),2,6),"keine Meter in Spalte km!!!"),IF(VALUE(I479)=1,CONCATENATE("_",VLOOKUP(IF(V479&gt;0,V479,J479),[1]Grundlage!$A$20:$B$181,2,0)),CONCATENATE("_",B479))))</f>
        <v>UQ_A008_058590_O</v>
      </c>
      <c r="F479" s="152" t="s">
        <v>25</v>
      </c>
      <c r="G479" s="171">
        <f t="shared" si="87"/>
        <v>3154</v>
      </c>
      <c r="H479" s="160">
        <f t="shared" si="88"/>
        <v>41</v>
      </c>
      <c r="I479" s="152">
        <f t="shared" si="92"/>
        <v>3</v>
      </c>
      <c r="J479" s="152">
        <f t="shared" si="93"/>
        <v>12</v>
      </c>
      <c r="K479" s="152">
        <f t="shared" si="94"/>
        <v>200</v>
      </c>
      <c r="L479" s="152">
        <f t="shared" si="94"/>
        <v>3</v>
      </c>
      <c r="M479" s="152">
        <f t="shared" si="95"/>
        <v>1</v>
      </c>
      <c r="N479" s="152">
        <f t="shared" si="96"/>
        <v>3</v>
      </c>
      <c r="P479" s="172">
        <f t="shared" si="97"/>
        <v>48</v>
      </c>
      <c r="AI479" s="154"/>
      <c r="AT479" s="148">
        <v>3</v>
      </c>
      <c r="AU479" s="155">
        <v>12</v>
      </c>
      <c r="AV479" s="155" t="s">
        <v>79</v>
      </c>
      <c r="AY479" s="148">
        <v>1</v>
      </c>
      <c r="AZ479" s="155">
        <f>AZ478+1</f>
        <v>3</v>
      </c>
      <c r="BA479" s="155"/>
      <c r="BB479" s="152" t="s">
        <v>25</v>
      </c>
      <c r="BC479" s="150"/>
      <c r="BD479" s="150"/>
      <c r="BF479" s="152" t="s">
        <v>441</v>
      </c>
    </row>
    <row r="480" spans="1:58" s="152" customFormat="1" ht="14.25" x14ac:dyDescent="0.2">
      <c r="A480" s="160" t="str">
        <f t="shared" si="90"/>
        <v>A8</v>
      </c>
      <c r="B480" s="152" t="s">
        <v>658</v>
      </c>
      <c r="C480" s="160">
        <f t="shared" si="91"/>
        <v>58.59</v>
      </c>
      <c r="D480" s="160"/>
      <c r="E480" s="170" t="str">
        <f>IF(OR(A480="",B480="",C480=""),"eine der Spalten BAB, FR, km leer?",CONCATENATE(VLOOKUP(VALUE(I480),[1]Grundlage!$A$1:$B$14,2,0),IF(LEFT(A480,1)="A",IF(VALUE(MID(A480,2,10))&lt;10,"A00"&amp;VALUE(MID(A480,2,10)),IF(VALUE(MID(A480,2,10))&lt;100,"A0"&amp;VALUE(MID(A480,2,10)),IF(VALUE(MID(A480,2,10))&lt;1000,"A"&amp;VALUE(MID(A480,2,10))))),IF(LEFT(A480,1)="B",IF(VALUE(MID(A480,2,10))&lt;10,"B00"&amp;VALUE(MID(A480,2,10)),IF(VALUE(MID(A480,2,10))&lt;100,"B0"&amp;VALUE(MID(A480,2,10)),IF(VALUE(MID(A480,2,10))&lt;1000,"B"&amp;VALUE(MID(A480,2,10))))),A480)),"_",IF(NOT(OR(C480=1000,C480&gt;1000)),MID(TEXT((C480+1000)*1000,0),2,6),"keine Meter in Spalte km!!!"),IF(VALUE(I480)=1,CONCATENATE("_",VLOOKUP(IF(V480&gt;0,V480,J480),[1]Grundlage!$A$20:$B$181,2,0)),CONCATENATE("_",B480))))</f>
        <v>UQ_A008_058590_O</v>
      </c>
      <c r="F480" s="152" t="s">
        <v>26</v>
      </c>
      <c r="G480" s="171">
        <f t="shared" si="87"/>
        <v>3154</v>
      </c>
      <c r="H480" s="160">
        <f t="shared" si="88"/>
        <v>41</v>
      </c>
      <c r="I480" s="152">
        <f t="shared" si="92"/>
        <v>3</v>
      </c>
      <c r="J480" s="152">
        <f t="shared" si="93"/>
        <v>13</v>
      </c>
      <c r="K480" s="152">
        <f t="shared" si="94"/>
        <v>200</v>
      </c>
      <c r="L480" s="152">
        <f t="shared" si="94"/>
        <v>3</v>
      </c>
      <c r="M480" s="152">
        <f t="shared" si="95"/>
        <v>1</v>
      </c>
      <c r="N480" s="152">
        <f t="shared" si="96"/>
        <v>4</v>
      </c>
      <c r="P480" s="172">
        <f t="shared" si="97"/>
        <v>55</v>
      </c>
      <c r="AI480" s="154"/>
      <c r="AT480" s="148">
        <v>3</v>
      </c>
      <c r="AU480" s="155">
        <v>13</v>
      </c>
      <c r="AV480" s="155" t="s">
        <v>80</v>
      </c>
      <c r="AY480" s="148">
        <v>1</v>
      </c>
      <c r="AZ480" s="155">
        <v>4</v>
      </c>
      <c r="BA480" s="155"/>
      <c r="BB480" s="152" t="s">
        <v>26</v>
      </c>
      <c r="BC480" s="150"/>
      <c r="BD480" s="150"/>
      <c r="BF480" s="152" t="s">
        <v>442</v>
      </c>
    </row>
    <row r="481" spans="1:58" s="152" customFormat="1" ht="14.25" x14ac:dyDescent="0.2">
      <c r="A481" s="160" t="str">
        <f t="shared" si="90"/>
        <v>A8</v>
      </c>
      <c r="B481" s="152" t="s">
        <v>658</v>
      </c>
      <c r="C481" s="160">
        <f t="shared" si="91"/>
        <v>58.59</v>
      </c>
      <c r="D481" s="160"/>
      <c r="E481" s="170" t="str">
        <f>IF(OR(A481="",B481="",C481=""),"eine der Spalten BAB, FR, km leer?",CONCATENATE(VLOOKUP(VALUE(I481),[1]Grundlage!$A$1:$B$14,2,0),IF(LEFT(A481,1)="A",IF(VALUE(MID(A481,2,10))&lt;10,"A00"&amp;VALUE(MID(A481,2,10)),IF(VALUE(MID(A481,2,10))&lt;100,"A0"&amp;VALUE(MID(A481,2,10)),IF(VALUE(MID(A481,2,10))&lt;1000,"A"&amp;VALUE(MID(A481,2,10))))),IF(LEFT(A481,1)="B",IF(VALUE(MID(A481,2,10))&lt;10,"B00"&amp;VALUE(MID(A481,2,10)),IF(VALUE(MID(A481,2,10))&lt;100,"B0"&amp;VALUE(MID(A481,2,10)),IF(VALUE(MID(A481,2,10))&lt;1000,"B"&amp;VALUE(MID(A481,2,10))))),A481)),"_",IF(NOT(OR(C481=1000,C481&gt;1000)),MID(TEXT((C481+1000)*1000,0),2,6),"keine Meter in Spalte km!!!"),IF(VALUE(I481)=1,CONCATENATE("_",VLOOKUP(IF(V481&gt;0,V481,J481),[1]Grundlage!$A$20:$B$181,2,0)),CONCATENATE("_",B481))))</f>
        <v>UQ_A008_058590_O</v>
      </c>
      <c r="F481" s="152" t="s">
        <v>27</v>
      </c>
      <c r="G481" s="171">
        <f t="shared" si="87"/>
        <v>3154</v>
      </c>
      <c r="H481" s="160">
        <f t="shared" si="88"/>
        <v>41</v>
      </c>
      <c r="I481" s="152">
        <f t="shared" si="92"/>
        <v>3</v>
      </c>
      <c r="J481" s="152">
        <f t="shared" si="93"/>
        <v>14</v>
      </c>
      <c r="K481" s="152">
        <f t="shared" si="94"/>
        <v>200</v>
      </c>
      <c r="L481" s="152">
        <f t="shared" si="94"/>
        <v>3</v>
      </c>
      <c r="M481" s="152">
        <f t="shared" si="95"/>
        <v>1</v>
      </c>
      <c r="N481" s="152">
        <f t="shared" si="96"/>
        <v>5</v>
      </c>
      <c r="P481" s="172">
        <f t="shared" si="97"/>
        <v>66</v>
      </c>
      <c r="AI481" s="154"/>
      <c r="AT481" s="148">
        <v>3</v>
      </c>
      <c r="AU481" s="155">
        <v>14</v>
      </c>
      <c r="AV481" s="155" t="s">
        <v>81</v>
      </c>
      <c r="AY481" s="148">
        <v>1</v>
      </c>
      <c r="AZ481" s="155">
        <v>5</v>
      </c>
      <c r="BA481" s="155"/>
      <c r="BB481" s="152" t="s">
        <v>27</v>
      </c>
      <c r="BC481" s="150"/>
      <c r="BD481" s="150"/>
      <c r="BF481" s="152" t="s">
        <v>443</v>
      </c>
    </row>
    <row r="482" spans="1:58" s="152" customFormat="1" ht="14.25" x14ac:dyDescent="0.2">
      <c r="A482" s="160" t="str">
        <f t="shared" si="90"/>
        <v>A8</v>
      </c>
      <c r="B482" s="152" t="s">
        <v>658</v>
      </c>
      <c r="C482" s="160">
        <f t="shared" si="91"/>
        <v>58.59</v>
      </c>
      <c r="D482" s="160"/>
      <c r="E482" s="170" t="str">
        <f>IF(OR(A482="",B482="",C482=""),"eine der Spalten BAB, FR, km leer?",CONCATENATE(VLOOKUP(VALUE(I482),[1]Grundlage!$A$1:$B$14,2,0),IF(LEFT(A482,1)="A",IF(VALUE(MID(A482,2,10))&lt;10,"A00"&amp;VALUE(MID(A482,2,10)),IF(VALUE(MID(A482,2,10))&lt;100,"A0"&amp;VALUE(MID(A482,2,10)),IF(VALUE(MID(A482,2,10))&lt;1000,"A"&amp;VALUE(MID(A482,2,10))))),IF(LEFT(A482,1)="B",IF(VALUE(MID(A482,2,10))&lt;10,"B00"&amp;VALUE(MID(A482,2,10)),IF(VALUE(MID(A482,2,10))&lt;100,"B0"&amp;VALUE(MID(A482,2,10)),IF(VALUE(MID(A482,2,10))&lt;1000,"B"&amp;VALUE(MID(A482,2,10))))),A482)),"_",IF(NOT(OR(C482=1000,C482&gt;1000)),MID(TEXT((C482+1000)*1000,0),2,6),"keine Meter in Spalte km!!!"),IF(VALUE(I482)=1,CONCATENATE("_",VLOOKUP(IF(V482&gt;0,V482,J482),[1]Grundlage!$A$20:$B$181,2,0)),CONCATENATE("_",B482))))</f>
        <v>UQ_A008_058590_O</v>
      </c>
      <c r="F482" s="152" t="s">
        <v>28</v>
      </c>
      <c r="G482" s="171">
        <f t="shared" si="87"/>
        <v>3154</v>
      </c>
      <c r="H482" s="160">
        <f t="shared" si="88"/>
        <v>41</v>
      </c>
      <c r="I482" s="152">
        <f t="shared" si="92"/>
        <v>3</v>
      </c>
      <c r="J482" s="152">
        <f t="shared" si="93"/>
        <v>15</v>
      </c>
      <c r="K482" s="152">
        <f t="shared" si="94"/>
        <v>200</v>
      </c>
      <c r="L482" s="152">
        <f t="shared" si="94"/>
        <v>3</v>
      </c>
      <c r="M482" s="152">
        <f t="shared" si="95"/>
        <v>1</v>
      </c>
      <c r="N482" s="152">
        <f t="shared" si="96"/>
        <v>6</v>
      </c>
      <c r="P482" s="172">
        <f t="shared" si="97"/>
        <v>65</v>
      </c>
      <c r="AI482" s="154"/>
      <c r="AT482" s="148">
        <v>3</v>
      </c>
      <c r="AU482" s="155">
        <v>15</v>
      </c>
      <c r="AV482" s="155" t="s">
        <v>82</v>
      </c>
      <c r="AY482" s="148">
        <v>1</v>
      </c>
      <c r="AZ482" s="155">
        <v>6</v>
      </c>
      <c r="BA482" s="155"/>
      <c r="BB482" s="152" t="s">
        <v>28</v>
      </c>
      <c r="BC482" s="150"/>
      <c r="BD482" s="150"/>
      <c r="BF482" s="152" t="s">
        <v>474</v>
      </c>
    </row>
    <row r="483" spans="1:58" s="152" customFormat="1" ht="14.25" x14ac:dyDescent="0.2">
      <c r="A483" s="160" t="str">
        <f t="shared" si="90"/>
        <v>A8</v>
      </c>
      <c r="B483" s="152" t="s">
        <v>658</v>
      </c>
      <c r="C483" s="160">
        <f t="shared" si="91"/>
        <v>58.59</v>
      </c>
      <c r="D483" s="160"/>
      <c r="E483" s="170" t="str">
        <f>IF(OR(A483="",B483="",C483=""),"eine der Spalten BAB, FR, km leer?",CONCATENATE(VLOOKUP(VALUE(I483),[1]Grundlage!$A$1:$B$14,2,0),IF(LEFT(A483,1)="A",IF(VALUE(MID(A483,2,10))&lt;10,"A00"&amp;VALUE(MID(A483,2,10)),IF(VALUE(MID(A483,2,10))&lt;100,"A0"&amp;VALUE(MID(A483,2,10)),IF(VALUE(MID(A483,2,10))&lt;1000,"A"&amp;VALUE(MID(A483,2,10))))),IF(LEFT(A483,1)="B",IF(VALUE(MID(A483,2,10))&lt;10,"B00"&amp;VALUE(MID(A483,2,10)),IF(VALUE(MID(A483,2,10))&lt;100,"B0"&amp;VALUE(MID(A483,2,10)),IF(VALUE(MID(A483,2,10))&lt;1000,"B"&amp;VALUE(MID(A483,2,10))))),A483)),"_",IF(NOT(OR(C483=1000,C483&gt;1000)),MID(TEXT((C483+1000)*1000,0),2,6),"keine Meter in Spalte km!!!"),IF(VALUE(I483)=1,CONCATENATE("_",VLOOKUP(IF(V483&gt;0,V483,J483),[1]Grundlage!$A$20:$B$181,2,0)),CONCATENATE("_",B483))))</f>
        <v>UQ_A008_058590_O</v>
      </c>
      <c r="F483" s="152" t="s">
        <v>29</v>
      </c>
      <c r="G483" s="171">
        <f t="shared" si="87"/>
        <v>3154</v>
      </c>
      <c r="H483" s="160">
        <f t="shared" si="88"/>
        <v>41</v>
      </c>
      <c r="I483" s="152">
        <f t="shared" si="92"/>
        <v>3</v>
      </c>
      <c r="J483" s="152">
        <f t="shared" si="93"/>
        <v>19</v>
      </c>
      <c r="K483" s="152">
        <f t="shared" si="94"/>
        <v>200</v>
      </c>
      <c r="L483" s="152">
        <f t="shared" si="94"/>
        <v>3</v>
      </c>
      <c r="M483" s="152">
        <f t="shared" si="95"/>
        <v>1</v>
      </c>
      <c r="N483" s="152">
        <f t="shared" si="96"/>
        <v>7</v>
      </c>
      <c r="P483" s="172">
        <f t="shared" si="97"/>
        <v>49</v>
      </c>
      <c r="AI483" s="154"/>
      <c r="AT483" s="148">
        <v>3</v>
      </c>
      <c r="AU483" s="155">
        <v>19</v>
      </c>
      <c r="AV483" s="155">
        <v>13</v>
      </c>
      <c r="AY483" s="148">
        <v>1</v>
      </c>
      <c r="AZ483" s="155">
        <v>7</v>
      </c>
      <c r="BA483" s="155"/>
      <c r="BB483" s="152" t="s">
        <v>29</v>
      </c>
      <c r="BC483" s="150"/>
      <c r="BD483" s="150"/>
      <c r="BF483" s="152" t="s">
        <v>475</v>
      </c>
    </row>
    <row r="484" spans="1:58" s="152" customFormat="1" ht="14.25" x14ac:dyDescent="0.2">
      <c r="A484" s="160" t="str">
        <f t="shared" si="90"/>
        <v>A8</v>
      </c>
      <c r="B484" s="152" t="s">
        <v>658</v>
      </c>
      <c r="C484" s="160">
        <f t="shared" si="91"/>
        <v>58.59</v>
      </c>
      <c r="D484" s="160"/>
      <c r="E484" s="170" t="str">
        <f>IF(OR(A484="",B484="",C484=""),"eine der Spalten BAB, FR, km leer?",CONCATENATE(VLOOKUP(VALUE(I484),[1]Grundlage!$A$1:$B$14,2,0),IF(LEFT(A484,1)="A",IF(VALUE(MID(A484,2,10))&lt;10,"A00"&amp;VALUE(MID(A484,2,10)),IF(VALUE(MID(A484,2,10))&lt;100,"A0"&amp;VALUE(MID(A484,2,10)),IF(VALUE(MID(A484,2,10))&lt;1000,"A"&amp;VALUE(MID(A484,2,10))))),IF(LEFT(A484,1)="B",IF(VALUE(MID(A484,2,10))&lt;10,"B00"&amp;VALUE(MID(A484,2,10)),IF(VALUE(MID(A484,2,10))&lt;100,"B0"&amp;VALUE(MID(A484,2,10)),IF(VALUE(MID(A484,2,10))&lt;1000,"B"&amp;VALUE(MID(A484,2,10))))),A484)),"_",IF(NOT(OR(C484=1000,C484&gt;1000)),MID(TEXT((C484+1000)*1000,0),2,6),"keine Meter in Spalte km!!!"),IF(VALUE(I484)=1,CONCATENATE("_",VLOOKUP(IF(V484&gt;0,V484,J484),[1]Grundlage!$A$20:$B$181,2,0)),CONCATENATE("_",B484))))</f>
        <v>UQ_A008_058590_O</v>
      </c>
      <c r="F484" s="152" t="s">
        <v>30</v>
      </c>
      <c r="G484" s="171">
        <f t="shared" si="87"/>
        <v>3154</v>
      </c>
      <c r="H484" s="160">
        <f t="shared" si="88"/>
        <v>41</v>
      </c>
      <c r="I484" s="152">
        <f t="shared" si="92"/>
        <v>3</v>
      </c>
      <c r="J484" s="152">
        <f t="shared" si="93"/>
        <v>21</v>
      </c>
      <c r="K484" s="152">
        <f t="shared" si="94"/>
        <v>200</v>
      </c>
      <c r="L484" s="152">
        <f t="shared" si="94"/>
        <v>3</v>
      </c>
      <c r="M484" s="152">
        <f t="shared" si="95"/>
        <v>1</v>
      </c>
      <c r="N484" s="152">
        <f t="shared" si="96"/>
        <v>8</v>
      </c>
      <c r="P484" s="172">
        <f t="shared" si="97"/>
        <v>67</v>
      </c>
      <c r="AI484" s="154"/>
      <c r="AT484" s="148">
        <v>3</v>
      </c>
      <c r="AU484" s="155">
        <v>21</v>
      </c>
      <c r="AV484" s="155">
        <v>15</v>
      </c>
      <c r="AY484" s="148">
        <v>1</v>
      </c>
      <c r="AZ484" s="155">
        <v>8</v>
      </c>
      <c r="BA484" s="155"/>
      <c r="BB484" s="152" t="s">
        <v>30</v>
      </c>
      <c r="BC484" s="150"/>
      <c r="BD484" s="150"/>
      <c r="BF484" s="152" t="s">
        <v>476</v>
      </c>
    </row>
    <row r="485" spans="1:58" s="152" customFormat="1" ht="14.25" x14ac:dyDescent="0.2">
      <c r="A485" s="160" t="str">
        <f t="shared" si="90"/>
        <v>A8</v>
      </c>
      <c r="B485" s="152" t="s">
        <v>658</v>
      </c>
      <c r="C485" s="160">
        <f t="shared" si="91"/>
        <v>58.59</v>
      </c>
      <c r="D485" s="160"/>
      <c r="E485" s="170" t="str">
        <f>IF(OR(A485="",B485="",C485=""),"eine der Spalten BAB, FR, km leer?",CONCATENATE(VLOOKUP(VALUE(I485),[1]Grundlage!$A$1:$B$14,2,0),IF(LEFT(A485,1)="A",IF(VALUE(MID(A485,2,10))&lt;10,"A00"&amp;VALUE(MID(A485,2,10)),IF(VALUE(MID(A485,2,10))&lt;100,"A0"&amp;VALUE(MID(A485,2,10)),IF(VALUE(MID(A485,2,10))&lt;1000,"A"&amp;VALUE(MID(A485,2,10))))),IF(LEFT(A485,1)="B",IF(VALUE(MID(A485,2,10))&lt;10,"B00"&amp;VALUE(MID(A485,2,10)),IF(VALUE(MID(A485,2,10))&lt;100,"B0"&amp;VALUE(MID(A485,2,10)),IF(VALUE(MID(A485,2,10))&lt;1000,"B"&amp;VALUE(MID(A485,2,10))))),A485)),"_",IF(NOT(OR(C485=1000,C485&gt;1000)),MID(TEXT((C485+1000)*1000,0),2,6),"keine Meter in Spalte km!!!"),IF(VALUE(I485)=1,CONCATENATE("_",VLOOKUP(IF(V485&gt;0,V485,J485),[1]Grundlage!$A$20:$B$181,2,0)),CONCATENATE("_",B485))))</f>
        <v>UQ_A008_058590_O</v>
      </c>
      <c r="F485" s="152" t="s">
        <v>42</v>
      </c>
      <c r="G485" s="171">
        <f t="shared" si="87"/>
        <v>3154</v>
      </c>
      <c r="H485" s="160">
        <f t="shared" si="88"/>
        <v>41</v>
      </c>
      <c r="I485" s="152">
        <f t="shared" si="92"/>
        <v>3</v>
      </c>
      <c r="J485" s="152">
        <f t="shared" si="93"/>
        <v>25</v>
      </c>
      <c r="K485" s="152">
        <f t="shared" si="94"/>
        <v>200</v>
      </c>
      <c r="L485" s="152">
        <f t="shared" si="94"/>
        <v>3</v>
      </c>
      <c r="M485" s="152">
        <f t="shared" si="95"/>
        <v>1</v>
      </c>
      <c r="N485" s="152">
        <f t="shared" si="96"/>
        <v>9</v>
      </c>
      <c r="P485" s="172">
        <f>IF(AT485&lt;&gt;3,"",IF(BB485="Helligkeitssensor",61,IF(BB485="Helligkeit",61,IF(BB486="Lichtsensor",61,IF(BB485="Lufttemperatur",48,IF(BB485="Niederschlagsart",71,IF(BB485="Niederschlagsintensität",53,IF(BB485="relative Luftfeuchte RLF",55,IF(BB485="Sichtweite",60,IF(BB485="Sichtweite 1",60,IF(BB485="Zustand der Fahrbahnoberfläche FBZ",79,IF(BB485="Wasserfilmdicke WFD",72,IF(BB485="Clusterkanal FG3","",IF(BB485="Gefriertemperatur GT",65,IF(BB485="Fahrbahnoberflächentemperatur FBT",49,IF(BB485="Windrichtung  Typ 56 ",56,VALUE(RIGHT(BB485,2))))))))))))))))))</f>
        <v>56</v>
      </c>
      <c r="AI485" s="154"/>
      <c r="AT485" s="148">
        <v>3</v>
      </c>
      <c r="AU485" s="155">
        <v>25</v>
      </c>
      <c r="AV485" s="155">
        <v>19</v>
      </c>
      <c r="AY485" s="148">
        <v>1</v>
      </c>
      <c r="AZ485" s="155">
        <v>9</v>
      </c>
      <c r="BA485" s="155"/>
      <c r="BB485" s="152" t="s">
        <v>42</v>
      </c>
      <c r="BC485" s="150"/>
      <c r="BD485" s="150"/>
      <c r="BF485" s="152" t="s">
        <v>515</v>
      </c>
    </row>
    <row r="486" spans="1:58" s="152" customFormat="1" ht="14.25" x14ac:dyDescent="0.2">
      <c r="A486" s="160" t="str">
        <f t="shared" si="90"/>
        <v>A8</v>
      </c>
      <c r="B486" s="152" t="s">
        <v>658</v>
      </c>
      <c r="C486" s="160">
        <f t="shared" si="91"/>
        <v>58.59</v>
      </c>
      <c r="D486" s="160"/>
      <c r="E486" s="170" t="str">
        <f>IF(OR(A486="",B486="",C486=""),"eine der Spalten BAB, FR, km leer?",CONCATENATE(VLOOKUP(VALUE(I486),[1]Grundlage!$A$1:$B$14,2,0),IF(LEFT(A486,1)="A",IF(VALUE(MID(A486,2,10))&lt;10,"A00"&amp;VALUE(MID(A486,2,10)),IF(VALUE(MID(A486,2,10))&lt;100,"A0"&amp;VALUE(MID(A486,2,10)),IF(VALUE(MID(A486,2,10))&lt;1000,"A"&amp;VALUE(MID(A486,2,10))))),IF(LEFT(A486,1)="B",IF(VALUE(MID(A486,2,10))&lt;10,"B00"&amp;VALUE(MID(A486,2,10)),IF(VALUE(MID(A486,2,10))&lt;100,"B0"&amp;VALUE(MID(A486,2,10)),IF(VALUE(MID(A486,2,10))&lt;1000,"B"&amp;VALUE(MID(A486,2,10))))),A486)),"_",IF(NOT(OR(C486=1000,C486&gt;1000)),MID(TEXT((C486+1000)*1000,0),2,6),"keine Meter in Spalte km!!!"),IF(VALUE(I486)=1,CONCATENATE("_",VLOOKUP(IF(V486&gt;0,V486,J486),[1]Grundlage!$A$20:$B$181,2,0)),CONCATENATE("_",B486))))</f>
        <v>UQ_A008_058590_O</v>
      </c>
      <c r="F486" s="152" t="s">
        <v>43</v>
      </c>
      <c r="G486" s="171">
        <f t="shared" si="87"/>
        <v>3154</v>
      </c>
      <c r="H486" s="160">
        <f t="shared" si="88"/>
        <v>41</v>
      </c>
      <c r="I486" s="152">
        <f t="shared" si="92"/>
        <v>3</v>
      </c>
      <c r="J486" s="152">
        <f t="shared" si="93"/>
        <v>26</v>
      </c>
      <c r="K486" s="152">
        <f t="shared" si="94"/>
        <v>200</v>
      </c>
      <c r="L486" s="152">
        <f t="shared" si="94"/>
        <v>3</v>
      </c>
      <c r="M486" s="152">
        <f t="shared" si="95"/>
        <v>1</v>
      </c>
      <c r="N486" s="152">
        <f t="shared" si="96"/>
        <v>10</v>
      </c>
      <c r="P486" s="172">
        <f t="shared" si="97"/>
        <v>57</v>
      </c>
      <c r="AI486" s="154"/>
      <c r="AT486" s="148">
        <v>3</v>
      </c>
      <c r="AU486" s="155">
        <v>26</v>
      </c>
      <c r="AV486" s="155" t="s">
        <v>86</v>
      </c>
      <c r="AY486" s="148">
        <v>1</v>
      </c>
      <c r="AZ486" s="155">
        <v>10</v>
      </c>
      <c r="BA486" s="155"/>
      <c r="BB486" s="152" t="s">
        <v>43</v>
      </c>
      <c r="BC486" s="150"/>
      <c r="BD486" s="150"/>
      <c r="BF486" s="152" t="s">
        <v>446</v>
      </c>
    </row>
    <row r="487" spans="1:58" s="152" customFormat="1" ht="14.25" x14ac:dyDescent="0.2">
      <c r="A487" s="160" t="str">
        <f t="shared" si="90"/>
        <v>A8</v>
      </c>
      <c r="B487" s="152" t="s">
        <v>658</v>
      </c>
      <c r="C487" s="160">
        <f t="shared" si="91"/>
        <v>58.59</v>
      </c>
      <c r="D487" s="160"/>
      <c r="E487" s="170" t="str">
        <f>IF(OR(A487="",B487="",C487=""),"eine der Spalten BAB, FR, km leer?",CONCATENATE(VLOOKUP(VALUE(I487),[1]Grundlage!$A$1:$B$14,2,0),IF(LEFT(A487,1)="A",IF(VALUE(MID(A487,2,10))&lt;10,"A00"&amp;VALUE(MID(A487,2,10)),IF(VALUE(MID(A487,2,10))&lt;100,"A0"&amp;VALUE(MID(A487,2,10)),IF(VALUE(MID(A487,2,10))&lt;1000,"A"&amp;VALUE(MID(A487,2,10))))),IF(LEFT(A487,1)="B",IF(VALUE(MID(A487,2,10))&lt;10,"B00"&amp;VALUE(MID(A487,2,10)),IF(VALUE(MID(A487,2,10))&lt;100,"B0"&amp;VALUE(MID(A487,2,10)),IF(VALUE(MID(A487,2,10))&lt;1000,"B"&amp;VALUE(MID(A487,2,10))))),A487)),"_",IF(NOT(OR(C487=1000,C487&gt;1000)),MID(TEXT((C487+1000)*1000,0),2,6),"keine Meter in Spalte km!!!"),IF(VALUE(I487)=1,CONCATENATE("_",VLOOKUP(IF(V487&gt;0,V487,J487),[1]Grundlage!$A$20:$B$181,2,0)),CONCATENATE("_",B487))))</f>
        <v>UQ_A008_058590_O</v>
      </c>
      <c r="F487" s="152" t="s">
        <v>271</v>
      </c>
      <c r="G487" s="171">
        <f t="shared" ref="G487:G550" si="100">IF(ISBLANK(AP487),G486,INT(AP487/256))</f>
        <v>3154</v>
      </c>
      <c r="H487" s="160">
        <f t="shared" ref="H487:H550" si="101">IF(ISBLANK(AP487),H486,MOD(AP487,256))</f>
        <v>41</v>
      </c>
      <c r="I487" s="152">
        <f t="shared" si="92"/>
        <v>3</v>
      </c>
      <c r="J487" s="152">
        <f t="shared" si="93"/>
        <v>67</v>
      </c>
      <c r="K487" s="152">
        <f t="shared" si="94"/>
        <v>200</v>
      </c>
      <c r="L487" s="152">
        <f t="shared" si="94"/>
        <v>3</v>
      </c>
      <c r="M487" s="152">
        <f t="shared" si="95"/>
        <v>1</v>
      </c>
      <c r="N487" s="152">
        <f t="shared" si="96"/>
        <v>11</v>
      </c>
      <c r="P487" s="172">
        <f t="shared" si="97"/>
        <v>53</v>
      </c>
      <c r="AI487" s="154"/>
      <c r="AT487" s="148">
        <v>3</v>
      </c>
      <c r="AU487" s="155">
        <v>67</v>
      </c>
      <c r="AV487" s="155">
        <v>43</v>
      </c>
      <c r="AY487" s="148">
        <v>1</v>
      </c>
      <c r="AZ487" s="155">
        <v>11</v>
      </c>
      <c r="BA487" s="174"/>
      <c r="BB487" s="152" t="s">
        <v>271</v>
      </c>
      <c r="BC487" s="150"/>
      <c r="BD487" s="150"/>
      <c r="BF487" s="152" t="s">
        <v>444</v>
      </c>
    </row>
    <row r="488" spans="1:58" s="152" customFormat="1" ht="14.25" x14ac:dyDescent="0.2">
      <c r="A488" s="160" t="str">
        <f t="shared" si="90"/>
        <v>A8</v>
      </c>
      <c r="B488" s="152" t="s">
        <v>658</v>
      </c>
      <c r="C488" s="160">
        <f t="shared" si="91"/>
        <v>58.59</v>
      </c>
      <c r="D488" s="160"/>
      <c r="E488" s="170" t="str">
        <f>IF(OR(A488="",B488="",C488=""),"eine der Spalten BAB, FR, km leer?",CONCATENATE(VLOOKUP(VALUE(I488),[1]Grundlage!$A$1:$B$14,2,0),IF(LEFT(A488,1)="A",IF(VALUE(MID(A488,2,10))&lt;10,"A00"&amp;VALUE(MID(A488,2,10)),IF(VALUE(MID(A488,2,10))&lt;100,"A0"&amp;VALUE(MID(A488,2,10)),IF(VALUE(MID(A488,2,10))&lt;1000,"A"&amp;VALUE(MID(A488,2,10))))),IF(LEFT(A488,1)="B",IF(VALUE(MID(A488,2,10))&lt;10,"B00"&amp;VALUE(MID(A488,2,10)),IF(VALUE(MID(A488,2,10))&lt;100,"B0"&amp;VALUE(MID(A488,2,10)),IF(VALUE(MID(A488,2,10))&lt;1000,"B"&amp;VALUE(MID(A488,2,10))))),A488)),"_",IF(NOT(OR(C488=1000,C488&gt;1000)),MID(TEXT((C488+1000)*1000,0),2,6),"keine Meter in Spalte km!!!"),IF(VALUE(I488)=1,CONCATENATE("_",VLOOKUP(IF(V488&gt;0,V488,J488),[1]Grundlage!$A$20:$B$181,2,0)),CONCATENATE("_",B488))))</f>
        <v>UQ_A008_058590_O</v>
      </c>
      <c r="F488" s="152" t="s">
        <v>272</v>
      </c>
      <c r="G488" s="171">
        <f t="shared" si="100"/>
        <v>3154</v>
      </c>
      <c r="H488" s="160">
        <f t="shared" si="101"/>
        <v>41</v>
      </c>
      <c r="I488" s="152">
        <f t="shared" si="92"/>
        <v>3</v>
      </c>
      <c r="J488" s="152">
        <f t="shared" si="93"/>
        <v>82</v>
      </c>
      <c r="K488" s="152">
        <f t="shared" si="94"/>
        <v>200</v>
      </c>
      <c r="L488" s="152">
        <f t="shared" si="94"/>
        <v>3</v>
      </c>
      <c r="M488" s="152">
        <f t="shared" si="95"/>
        <v>1</v>
      </c>
      <c r="N488" s="152">
        <f t="shared" si="96"/>
        <v>12</v>
      </c>
      <c r="P488" s="172">
        <f t="shared" si="97"/>
        <v>72</v>
      </c>
      <c r="AI488" s="154"/>
      <c r="AT488" s="148">
        <v>3</v>
      </c>
      <c r="AU488" s="155">
        <v>82</v>
      </c>
      <c r="AV488" s="155">
        <v>52</v>
      </c>
      <c r="AY488" s="148">
        <v>1</v>
      </c>
      <c r="AZ488" s="155">
        <v>12</v>
      </c>
      <c r="BA488" s="174"/>
      <c r="BB488" s="152" t="s">
        <v>272</v>
      </c>
      <c r="BC488" s="150"/>
      <c r="BD488" s="150"/>
      <c r="BF488" s="152" t="s">
        <v>477</v>
      </c>
    </row>
    <row r="489" spans="1:58" ht="14.25" x14ac:dyDescent="0.2">
      <c r="A489" t="str">
        <f t="shared" si="90"/>
        <v>A8</v>
      </c>
      <c r="C489">
        <f t="shared" si="91"/>
        <v>58.59</v>
      </c>
      <c r="D489" t="str">
        <f t="shared" ref="D489:D531" si="102">IF(AJ489="SST","SS",IF(AND(AJ489="",ISTEXT(BF489)),"UFD",""))</f>
        <v/>
      </c>
      <c r="E489" s="169" t="str">
        <f>IF(OR(A489="",B489="",C489=""),"",CONCATENATE(VLOOKUP(VALUE(I489),[1]Grundlage!$A$1:$B$14,2,0),IF(LEFT(A489,1)="A",IF(VALUE(MID(A489,2,10))&lt;10,"A00"&amp;VALUE(MID(A489,2,10)),IF(VALUE(MID(A489,2,10))&lt;100,"A0"&amp;VALUE(MID(A489,2,10)),IF(VALUE(MID(A489,2,10))&lt;1000,"A"&amp;VALUE(MID(A489,2,10))))),IF(LEFT(A489,1)="B",IF(VALUE(MID(A489,2,10))&lt;10,"B00"&amp;VALUE(MID(A489,2,10)),IF(VALUE(MID(A489,2,10))&lt;100,"B0"&amp;VALUE(MID(A489,2,10)),IF(VALUE(MID(A489,2,10))&lt;1000,"B"&amp;VALUE(MID(A489,2,10))))),A489)),"_",IF(NOT(OR(C489=1000,C489&gt;1000)),MID(TEXT((C489+1000)*1000,0),2,6),"keine Meter in Spalte km!!!"),IF(VALUE(I489)=1,CONCATENATE("_",VLOOKUP(IF(V489&gt;0,V489,J489),[1]Grundlage!$A$20:$B$181,2,0)),CONCATENATE("_",B489))))</f>
        <v/>
      </c>
      <c r="F489" s="2" t="s">
        <v>669</v>
      </c>
      <c r="G489" s="167">
        <f t="shared" si="100"/>
        <v>3154</v>
      </c>
      <c r="H489">
        <f t="shared" si="101"/>
        <v>41</v>
      </c>
      <c r="I489" s="2">
        <f t="shared" si="92"/>
        <v>0</v>
      </c>
      <c r="J489" s="2">
        <f t="shared" si="93"/>
        <v>0</v>
      </c>
      <c r="K489" s="2">
        <f t="shared" si="94"/>
        <v>200</v>
      </c>
      <c r="L489" s="2">
        <f t="shared" si="94"/>
        <v>3</v>
      </c>
      <c r="M489" s="2" t="str">
        <f t="shared" si="95"/>
        <v/>
      </c>
      <c r="N489" s="2" t="str">
        <f t="shared" si="96"/>
        <v/>
      </c>
      <c r="P489" s="168" t="str">
        <f t="shared" si="97"/>
        <v/>
      </c>
      <c r="AT489" s="1"/>
      <c r="AU489" s="11"/>
      <c r="AV489" s="11"/>
      <c r="AZ489" s="14"/>
      <c r="BA489" s="11"/>
      <c r="BB489" s="13"/>
    </row>
    <row r="490" spans="1:58" s="152" customFormat="1" ht="14.25" x14ac:dyDescent="0.2">
      <c r="A490" s="160" t="str">
        <f t="shared" si="90"/>
        <v>A93</v>
      </c>
      <c r="B490" s="152" t="s">
        <v>655</v>
      </c>
      <c r="C490" s="160">
        <f t="shared" si="91"/>
        <v>25.13</v>
      </c>
      <c r="D490" s="160"/>
      <c r="E490" s="170" t="str">
        <f>IF(OR(A490="",B490="",C490=""),"eine der Spalten BAB, FR, km leer?",CONCATENATE(VLOOKUP(VALUE(I490),[1]Grundlage!$A$1:$B$14,2,0),IF(LEFT(A490,1)="A",IF(VALUE(MID(A490,2,10))&lt;10,"A00"&amp;VALUE(MID(A490,2,10)),IF(VALUE(MID(A490,2,10))&lt;100,"A0"&amp;VALUE(MID(A490,2,10)),IF(VALUE(MID(A490,2,10))&lt;1000,"A"&amp;VALUE(MID(A490,2,10))))),IF(LEFT(A490,1)="B",IF(VALUE(MID(A490,2,10))&lt;10,"B00"&amp;VALUE(MID(A490,2,10)),IF(VALUE(MID(A490,2,10))&lt;100,"B0"&amp;VALUE(MID(A490,2,10)),IF(VALUE(MID(A490,2,10))&lt;1000,"B"&amp;VALUE(MID(A490,2,10))))),A490)),"_",IF(NOT(OR(C490=1000,C490&gt;1000)),MID(TEXT((C490+1000)*1000,0),2,6),"keine Meter in Spalte km!!!"),IF(VALUE(I490)=1,CONCATENATE("_",VLOOKUP(IF(V490&gt;0,V490,J490),[1]Grundlage!$A$20:$B$181,2,0)),CONCATENATE("_",B490))))</f>
        <v>SSt_A093_025130_S</v>
      </c>
      <c r="F490" s="152" t="s">
        <v>146</v>
      </c>
      <c r="G490" s="171">
        <f t="shared" si="100"/>
        <v>36406</v>
      </c>
      <c r="H490" s="160">
        <f t="shared" si="101"/>
        <v>52</v>
      </c>
      <c r="I490" s="152">
        <f t="shared" si="92"/>
        <v>0</v>
      </c>
      <c r="J490" s="152">
        <f t="shared" si="93"/>
        <v>0</v>
      </c>
      <c r="K490" s="152">
        <f t="shared" si="94"/>
        <v>201</v>
      </c>
      <c r="L490" s="152">
        <f t="shared" si="94"/>
        <v>4</v>
      </c>
      <c r="M490" s="152" t="str">
        <f t="shared" si="95"/>
        <v/>
      </c>
      <c r="N490" s="152" t="str">
        <f t="shared" si="96"/>
        <v/>
      </c>
      <c r="P490" s="172" t="str">
        <f t="shared" si="97"/>
        <v/>
      </c>
      <c r="AI490" s="173">
        <v>25.13</v>
      </c>
      <c r="AJ490" s="148" t="s">
        <v>19</v>
      </c>
      <c r="AK490" s="148" t="s">
        <v>58</v>
      </c>
      <c r="AL490" s="148"/>
      <c r="AM490" s="148"/>
      <c r="AN490" s="148"/>
      <c r="AO490" s="148"/>
      <c r="AP490" s="147">
        <v>9319988</v>
      </c>
      <c r="AQ490" s="180" t="s">
        <v>239</v>
      </c>
      <c r="AR490" s="181">
        <v>36</v>
      </c>
      <c r="AS490" s="181">
        <v>34</v>
      </c>
      <c r="AT490" s="148"/>
      <c r="AU490" s="148"/>
      <c r="AV490" s="148"/>
      <c r="AW490" s="148">
        <v>201</v>
      </c>
      <c r="AX490" s="148">
        <v>4</v>
      </c>
      <c r="AY490" s="148"/>
      <c r="AZ490" s="148"/>
      <c r="BA490" s="148"/>
      <c r="BB490" s="149" t="s">
        <v>146</v>
      </c>
      <c r="BC490" s="150"/>
      <c r="BD490" s="158" t="s">
        <v>163</v>
      </c>
      <c r="BE490" s="152" t="s">
        <v>57</v>
      </c>
      <c r="BF490" s="152" t="s">
        <v>457</v>
      </c>
    </row>
    <row r="491" spans="1:58" s="152" customFormat="1" ht="14.25" x14ac:dyDescent="0.2">
      <c r="A491" s="160" t="str">
        <f t="shared" si="90"/>
        <v>A93</v>
      </c>
      <c r="B491" s="152" t="s">
        <v>655</v>
      </c>
      <c r="C491" s="160">
        <f t="shared" si="91"/>
        <v>25.13</v>
      </c>
      <c r="D491" s="160"/>
      <c r="E491" s="170" t="str">
        <f>IF(OR(A491="",B491="",C491=""),"eine der Spalten BAB, FR, km leer?",CONCATENATE(VLOOKUP(VALUE(I491),[1]Grundlage!$A$1:$B$14,2,0),IF(LEFT(A491,1)="A",IF(VALUE(MID(A491,2,10))&lt;10,"A00"&amp;VALUE(MID(A491,2,10)),IF(VALUE(MID(A491,2,10))&lt;100,"A0"&amp;VALUE(MID(A491,2,10)),IF(VALUE(MID(A491,2,10))&lt;1000,"A"&amp;VALUE(MID(A491,2,10))))),IF(LEFT(A491,1)="B",IF(VALUE(MID(A491,2,10))&lt;10,"B00"&amp;VALUE(MID(A491,2,10)),IF(VALUE(MID(A491,2,10))&lt;100,"B0"&amp;VALUE(MID(A491,2,10)),IF(VALUE(MID(A491,2,10))&lt;1000,"B"&amp;VALUE(MID(A491,2,10))))),A491)),"_",IF(NOT(OR(C491=1000,C491&gt;1000)),MID(TEXT((C491+1000)*1000,0),2,6),"keine Meter in Spalte km!!!"),IF(VALUE(I491)=1,CONCATENATE("_",VLOOKUP(IF(V491&gt;0,V491,J491),[1]Grundlage!$A$20:$B$181,2,0)),CONCATENATE("_",B491))))</f>
        <v>UQ_A093_025130_S</v>
      </c>
      <c r="F491" s="152" t="s">
        <v>269</v>
      </c>
      <c r="G491" s="171">
        <f t="shared" si="100"/>
        <v>36406</v>
      </c>
      <c r="H491" s="160">
        <f t="shared" si="101"/>
        <v>52</v>
      </c>
      <c r="I491" s="152">
        <f t="shared" si="92"/>
        <v>3</v>
      </c>
      <c r="J491" s="152">
        <f t="shared" si="93"/>
        <v>6</v>
      </c>
      <c r="K491" s="152">
        <f t="shared" si="94"/>
        <v>201</v>
      </c>
      <c r="L491" s="152">
        <f t="shared" si="94"/>
        <v>4</v>
      </c>
      <c r="M491" s="152">
        <f t="shared" si="95"/>
        <v>1</v>
      </c>
      <c r="N491" s="152">
        <f t="shared" si="96"/>
        <v>1</v>
      </c>
      <c r="P491" s="172">
        <f t="shared" si="97"/>
        <v>71</v>
      </c>
      <c r="AI491" s="154"/>
      <c r="AP491" s="147"/>
      <c r="AQ491" s="147"/>
      <c r="AR491" s="147"/>
      <c r="AS491" s="147"/>
      <c r="AT491" s="148">
        <v>3</v>
      </c>
      <c r="AU491" s="155">
        <v>6</v>
      </c>
      <c r="AV491" s="156">
        <v>6</v>
      </c>
      <c r="AW491" s="148"/>
      <c r="AX491" s="148"/>
      <c r="AY491" s="148">
        <v>1</v>
      </c>
      <c r="AZ491" s="155">
        <v>1</v>
      </c>
      <c r="BA491" s="156"/>
      <c r="BB491" s="152" t="s">
        <v>269</v>
      </c>
      <c r="BC491" s="150"/>
      <c r="BD491" s="150"/>
      <c r="BF491" s="152" t="s">
        <v>440</v>
      </c>
    </row>
    <row r="492" spans="1:58" s="152" customFormat="1" ht="14.25" x14ac:dyDescent="0.2">
      <c r="A492" s="160" t="str">
        <f t="shared" si="90"/>
        <v>A93</v>
      </c>
      <c r="B492" s="152" t="s">
        <v>655</v>
      </c>
      <c r="C492" s="160">
        <f t="shared" si="91"/>
        <v>25.13</v>
      </c>
      <c r="D492" s="160"/>
      <c r="E492" s="170" t="str">
        <f>IF(OR(A492="",B492="",C492=""),"eine der Spalten BAB, FR, km leer?",CONCATENATE(VLOOKUP(VALUE(I492),[1]Grundlage!$A$1:$B$14,2,0),IF(LEFT(A492,1)="A",IF(VALUE(MID(A492,2,10))&lt;10,"A00"&amp;VALUE(MID(A492,2,10)),IF(VALUE(MID(A492,2,10))&lt;100,"A0"&amp;VALUE(MID(A492,2,10)),IF(VALUE(MID(A492,2,10))&lt;1000,"A"&amp;VALUE(MID(A492,2,10))))),IF(LEFT(A492,1)="B",IF(VALUE(MID(A492,2,10))&lt;10,"B00"&amp;VALUE(MID(A492,2,10)),IF(VALUE(MID(A492,2,10))&lt;100,"B0"&amp;VALUE(MID(A492,2,10)),IF(VALUE(MID(A492,2,10))&lt;1000,"B"&amp;VALUE(MID(A492,2,10))))),A492)),"_",IF(NOT(OR(C492=1000,C492&gt;1000)),MID(TEXT((C492+1000)*1000,0),2,6),"keine Meter in Spalte km!!!"),IF(VALUE(I492)=1,CONCATENATE("_",VLOOKUP(IF(V492&gt;0,V492,J492),[1]Grundlage!$A$20:$B$181,2,0)),CONCATENATE("_",B492))))</f>
        <v>UQ_A093_025130_S</v>
      </c>
      <c r="F492" s="152" t="s">
        <v>270</v>
      </c>
      <c r="G492" s="171">
        <f t="shared" si="100"/>
        <v>36406</v>
      </c>
      <c r="H492" s="160">
        <f t="shared" si="101"/>
        <v>52</v>
      </c>
      <c r="I492" s="152">
        <f t="shared" si="92"/>
        <v>3</v>
      </c>
      <c r="J492" s="152">
        <f t="shared" si="93"/>
        <v>11</v>
      </c>
      <c r="K492" s="152">
        <f t="shared" si="94"/>
        <v>201</v>
      </c>
      <c r="L492" s="152">
        <f t="shared" si="94"/>
        <v>4</v>
      </c>
      <c r="M492" s="152">
        <f t="shared" si="95"/>
        <v>1</v>
      </c>
      <c r="N492" s="152">
        <f t="shared" si="96"/>
        <v>2</v>
      </c>
      <c r="P492" s="172">
        <f t="shared" si="97"/>
        <v>70</v>
      </c>
      <c r="AI492" s="154"/>
      <c r="AT492" s="148">
        <v>3</v>
      </c>
      <c r="AU492" s="155">
        <v>11</v>
      </c>
      <c r="AV492" s="155" t="s">
        <v>78</v>
      </c>
      <c r="AY492" s="148">
        <v>1</v>
      </c>
      <c r="AZ492" s="155">
        <v>2</v>
      </c>
      <c r="BA492" s="155"/>
      <c r="BB492" s="152" t="s">
        <v>270</v>
      </c>
      <c r="BC492" s="150"/>
      <c r="BD492" s="150"/>
      <c r="BF492" s="152" t="s">
        <v>548</v>
      </c>
    </row>
    <row r="493" spans="1:58" s="152" customFormat="1" ht="14.25" x14ac:dyDescent="0.2">
      <c r="A493" s="160" t="str">
        <f t="shared" si="90"/>
        <v>A93</v>
      </c>
      <c r="B493" s="152" t="s">
        <v>655</v>
      </c>
      <c r="C493" s="160">
        <f t="shared" si="91"/>
        <v>25.13</v>
      </c>
      <c r="D493" s="160"/>
      <c r="E493" s="170" t="str">
        <f>IF(OR(A493="",B493="",C493=""),"eine der Spalten BAB, FR, km leer?",CONCATENATE(VLOOKUP(VALUE(I493),[1]Grundlage!$A$1:$B$14,2,0),IF(LEFT(A493,1)="A",IF(VALUE(MID(A493,2,10))&lt;10,"A00"&amp;VALUE(MID(A493,2,10)),IF(VALUE(MID(A493,2,10))&lt;100,"A0"&amp;VALUE(MID(A493,2,10)),IF(VALUE(MID(A493,2,10))&lt;1000,"A"&amp;VALUE(MID(A493,2,10))))),IF(LEFT(A493,1)="B",IF(VALUE(MID(A493,2,10))&lt;10,"B00"&amp;VALUE(MID(A493,2,10)),IF(VALUE(MID(A493,2,10))&lt;100,"B0"&amp;VALUE(MID(A493,2,10)),IF(VALUE(MID(A493,2,10))&lt;1000,"B"&amp;VALUE(MID(A493,2,10))))),A493)),"_",IF(NOT(OR(C493=1000,C493&gt;1000)),MID(TEXT((C493+1000)*1000,0),2,6),"keine Meter in Spalte km!!!"),IF(VALUE(I493)=1,CONCATENATE("_",VLOOKUP(IF(V493&gt;0,V493,J493),[1]Grundlage!$A$20:$B$181,2,0)),CONCATENATE("_",B493))))</f>
        <v>UQ_A093_025130_S</v>
      </c>
      <c r="F493" s="152" t="s">
        <v>25</v>
      </c>
      <c r="G493" s="171">
        <f t="shared" si="100"/>
        <v>36406</v>
      </c>
      <c r="H493" s="160">
        <f t="shared" si="101"/>
        <v>52</v>
      </c>
      <c r="I493" s="152">
        <f t="shared" si="92"/>
        <v>3</v>
      </c>
      <c r="J493" s="152">
        <f t="shared" si="93"/>
        <v>12</v>
      </c>
      <c r="K493" s="152">
        <f t="shared" si="94"/>
        <v>201</v>
      </c>
      <c r="L493" s="152">
        <f t="shared" si="94"/>
        <v>4</v>
      </c>
      <c r="M493" s="152">
        <f t="shared" si="95"/>
        <v>1</v>
      </c>
      <c r="N493" s="152">
        <f t="shared" si="96"/>
        <v>3</v>
      </c>
      <c r="P493" s="172">
        <f t="shared" si="97"/>
        <v>48</v>
      </c>
      <c r="AI493" s="154"/>
      <c r="AT493" s="148">
        <v>3</v>
      </c>
      <c r="AU493" s="155">
        <v>12</v>
      </c>
      <c r="AV493" s="155" t="s">
        <v>79</v>
      </c>
      <c r="AY493" s="148">
        <v>1</v>
      </c>
      <c r="AZ493" s="155">
        <v>3</v>
      </c>
      <c r="BA493" s="155"/>
      <c r="BB493" s="152" t="s">
        <v>25</v>
      </c>
      <c r="BC493" s="150"/>
      <c r="BD493" s="150"/>
      <c r="BF493" s="152" t="s">
        <v>441</v>
      </c>
    </row>
    <row r="494" spans="1:58" s="152" customFormat="1" ht="14.25" x14ac:dyDescent="0.2">
      <c r="A494" s="160" t="str">
        <f t="shared" si="90"/>
        <v>A93</v>
      </c>
      <c r="B494" s="152" t="s">
        <v>655</v>
      </c>
      <c r="C494" s="160">
        <f t="shared" si="91"/>
        <v>25.13</v>
      </c>
      <c r="D494" s="160"/>
      <c r="E494" s="170" t="str">
        <f>IF(OR(A494="",B494="",C494=""),"eine der Spalten BAB, FR, km leer?",CONCATENATE(VLOOKUP(VALUE(I494),[1]Grundlage!$A$1:$B$14,2,0),IF(LEFT(A494,1)="A",IF(VALUE(MID(A494,2,10))&lt;10,"A00"&amp;VALUE(MID(A494,2,10)),IF(VALUE(MID(A494,2,10))&lt;100,"A0"&amp;VALUE(MID(A494,2,10)),IF(VALUE(MID(A494,2,10))&lt;1000,"A"&amp;VALUE(MID(A494,2,10))))),IF(LEFT(A494,1)="B",IF(VALUE(MID(A494,2,10))&lt;10,"B00"&amp;VALUE(MID(A494,2,10)),IF(VALUE(MID(A494,2,10))&lt;100,"B0"&amp;VALUE(MID(A494,2,10)),IF(VALUE(MID(A494,2,10))&lt;1000,"B"&amp;VALUE(MID(A494,2,10))))),A494)),"_",IF(NOT(OR(C494=1000,C494&gt;1000)),MID(TEXT((C494+1000)*1000,0),2,6),"keine Meter in Spalte km!!!"),IF(VALUE(I494)=1,CONCATENATE("_",VLOOKUP(IF(V494&gt;0,V494,J494),[1]Grundlage!$A$20:$B$181,2,0)),CONCATENATE("_",B494))))</f>
        <v>UQ_A093_025130_S</v>
      </c>
      <c r="F494" s="152" t="s">
        <v>26</v>
      </c>
      <c r="G494" s="171">
        <f t="shared" si="100"/>
        <v>36406</v>
      </c>
      <c r="H494" s="160">
        <f t="shared" si="101"/>
        <v>52</v>
      </c>
      <c r="I494" s="152">
        <f t="shared" si="92"/>
        <v>3</v>
      </c>
      <c r="J494" s="152">
        <f t="shared" si="93"/>
        <v>13</v>
      </c>
      <c r="K494" s="152">
        <f t="shared" si="94"/>
        <v>201</v>
      </c>
      <c r="L494" s="152">
        <f t="shared" si="94"/>
        <v>4</v>
      </c>
      <c r="M494" s="152">
        <f t="shared" si="95"/>
        <v>1</v>
      </c>
      <c r="N494" s="152">
        <f t="shared" si="96"/>
        <v>4</v>
      </c>
      <c r="P494" s="172">
        <f t="shared" si="97"/>
        <v>55</v>
      </c>
      <c r="AI494" s="154"/>
      <c r="AT494" s="148">
        <v>3</v>
      </c>
      <c r="AU494" s="155">
        <v>13</v>
      </c>
      <c r="AV494" s="155" t="s">
        <v>80</v>
      </c>
      <c r="AY494" s="148">
        <v>1</v>
      </c>
      <c r="AZ494" s="155">
        <v>4</v>
      </c>
      <c r="BA494" s="155"/>
      <c r="BB494" s="152" t="s">
        <v>26</v>
      </c>
      <c r="BC494" s="150"/>
      <c r="BD494" s="150"/>
      <c r="BF494" s="152" t="s">
        <v>442</v>
      </c>
    </row>
    <row r="495" spans="1:58" s="152" customFormat="1" ht="14.25" x14ac:dyDescent="0.2">
      <c r="A495" s="160" t="str">
        <f t="shared" si="90"/>
        <v>A93</v>
      </c>
      <c r="B495" s="152" t="s">
        <v>655</v>
      </c>
      <c r="C495" s="160">
        <f t="shared" si="91"/>
        <v>25.13</v>
      </c>
      <c r="D495" s="160"/>
      <c r="E495" s="170" t="str">
        <f>IF(OR(A495="",B495="",C495=""),"eine der Spalten BAB, FR, km leer?",CONCATENATE(VLOOKUP(VALUE(I495),[1]Grundlage!$A$1:$B$14,2,0),IF(LEFT(A495,1)="A",IF(VALUE(MID(A495,2,10))&lt;10,"A00"&amp;VALUE(MID(A495,2,10)),IF(VALUE(MID(A495,2,10))&lt;100,"A0"&amp;VALUE(MID(A495,2,10)),IF(VALUE(MID(A495,2,10))&lt;1000,"A"&amp;VALUE(MID(A495,2,10))))),IF(LEFT(A495,1)="B",IF(VALUE(MID(A495,2,10))&lt;10,"B00"&amp;VALUE(MID(A495,2,10)),IF(VALUE(MID(A495,2,10))&lt;100,"B0"&amp;VALUE(MID(A495,2,10)),IF(VALUE(MID(A495,2,10))&lt;1000,"B"&amp;VALUE(MID(A495,2,10))))),A495)),"_",IF(NOT(OR(C495=1000,C495&gt;1000)),MID(TEXT((C495+1000)*1000,0),2,6),"keine Meter in Spalte km!!!"),IF(VALUE(I495)=1,CONCATENATE("_",VLOOKUP(IF(V495&gt;0,V495,J495),[1]Grundlage!$A$20:$B$181,2,0)),CONCATENATE("_",B495))))</f>
        <v>UQ_A093_025130_S</v>
      </c>
      <c r="F495" s="152" t="s">
        <v>27</v>
      </c>
      <c r="G495" s="171">
        <f t="shared" si="100"/>
        <v>36406</v>
      </c>
      <c r="H495" s="160">
        <f t="shared" si="101"/>
        <v>52</v>
      </c>
      <c r="I495" s="152">
        <f t="shared" si="92"/>
        <v>3</v>
      </c>
      <c r="J495" s="152">
        <f t="shared" si="93"/>
        <v>14</v>
      </c>
      <c r="K495" s="152">
        <f t="shared" si="94"/>
        <v>201</v>
      </c>
      <c r="L495" s="152">
        <f t="shared" si="94"/>
        <v>4</v>
      </c>
      <c r="M495" s="152">
        <f t="shared" si="95"/>
        <v>1</v>
      </c>
      <c r="N495" s="152">
        <f t="shared" si="96"/>
        <v>5</v>
      </c>
      <c r="P495" s="172">
        <f t="shared" si="97"/>
        <v>66</v>
      </c>
      <c r="AI495" s="154"/>
      <c r="AT495" s="148">
        <v>3</v>
      </c>
      <c r="AU495" s="155">
        <v>14</v>
      </c>
      <c r="AV495" s="155" t="s">
        <v>81</v>
      </c>
      <c r="AY495" s="148">
        <v>1</v>
      </c>
      <c r="AZ495" s="155">
        <v>5</v>
      </c>
      <c r="BA495" s="155"/>
      <c r="BB495" s="152" t="s">
        <v>27</v>
      </c>
      <c r="BC495" s="150"/>
      <c r="BD495" s="150"/>
      <c r="BF495" s="152" t="s">
        <v>443</v>
      </c>
    </row>
    <row r="496" spans="1:58" s="152" customFormat="1" ht="14.25" x14ac:dyDescent="0.2">
      <c r="A496" s="160" t="str">
        <f t="shared" si="90"/>
        <v>A93</v>
      </c>
      <c r="B496" s="152" t="s">
        <v>655</v>
      </c>
      <c r="C496" s="160">
        <f t="shared" si="91"/>
        <v>25.13</v>
      </c>
      <c r="D496" s="160"/>
      <c r="E496" s="170" t="str">
        <f>IF(OR(A496="",B496="",C496=""),"eine der Spalten BAB, FR, km leer?",CONCATENATE(VLOOKUP(VALUE(I496),[1]Grundlage!$A$1:$B$14,2,0),IF(LEFT(A496,1)="A",IF(VALUE(MID(A496,2,10))&lt;10,"A00"&amp;VALUE(MID(A496,2,10)),IF(VALUE(MID(A496,2,10))&lt;100,"A0"&amp;VALUE(MID(A496,2,10)),IF(VALUE(MID(A496,2,10))&lt;1000,"A"&amp;VALUE(MID(A496,2,10))))),IF(LEFT(A496,1)="B",IF(VALUE(MID(A496,2,10))&lt;10,"B00"&amp;VALUE(MID(A496,2,10)),IF(VALUE(MID(A496,2,10))&lt;100,"B0"&amp;VALUE(MID(A496,2,10)),IF(VALUE(MID(A496,2,10))&lt;1000,"B"&amp;VALUE(MID(A496,2,10))))),A496)),"_",IF(NOT(OR(C496=1000,C496&gt;1000)),MID(TEXT((C496+1000)*1000,0),2,6),"keine Meter in Spalte km!!!"),IF(VALUE(I496)=1,CONCATENATE("_",VLOOKUP(IF(V496&gt;0,V496,J496),[1]Grundlage!$A$20:$B$181,2,0)),CONCATENATE("_",B496))))</f>
        <v>UQ_A093_025130_S</v>
      </c>
      <c r="F496" s="152" t="s">
        <v>28</v>
      </c>
      <c r="G496" s="171">
        <f t="shared" si="100"/>
        <v>36406</v>
      </c>
      <c r="H496" s="160">
        <f t="shared" si="101"/>
        <v>52</v>
      </c>
      <c r="I496" s="152">
        <f t="shared" si="92"/>
        <v>3</v>
      </c>
      <c r="J496" s="152">
        <f t="shared" si="93"/>
        <v>15</v>
      </c>
      <c r="K496" s="152">
        <f t="shared" si="94"/>
        <v>201</v>
      </c>
      <c r="L496" s="152">
        <f t="shared" si="94"/>
        <v>4</v>
      </c>
      <c r="M496" s="152">
        <f t="shared" si="95"/>
        <v>1</v>
      </c>
      <c r="N496" s="152">
        <f t="shared" si="96"/>
        <v>6</v>
      </c>
      <c r="P496" s="172">
        <f t="shared" si="97"/>
        <v>65</v>
      </c>
      <c r="AI496" s="154"/>
      <c r="AT496" s="148">
        <v>3</v>
      </c>
      <c r="AU496" s="155">
        <v>15</v>
      </c>
      <c r="AV496" s="155" t="s">
        <v>82</v>
      </c>
      <c r="AY496" s="148">
        <v>1</v>
      </c>
      <c r="AZ496" s="155">
        <v>6</v>
      </c>
      <c r="BA496" s="155"/>
      <c r="BB496" s="152" t="s">
        <v>28</v>
      </c>
      <c r="BC496" s="150"/>
      <c r="BD496" s="150"/>
      <c r="BF496" s="152" t="s">
        <v>549</v>
      </c>
    </row>
    <row r="497" spans="1:58" s="152" customFormat="1" ht="14.25" x14ac:dyDescent="0.2">
      <c r="A497" s="160" t="str">
        <f t="shared" si="90"/>
        <v>A93</v>
      </c>
      <c r="B497" s="152" t="s">
        <v>655</v>
      </c>
      <c r="C497" s="160">
        <f t="shared" si="91"/>
        <v>25.13</v>
      </c>
      <c r="D497" s="160"/>
      <c r="E497" s="170" t="str">
        <f>IF(OR(A497="",B497="",C497=""),"eine der Spalten BAB, FR, km leer?",CONCATENATE(VLOOKUP(VALUE(I497),[1]Grundlage!$A$1:$B$14,2,0),IF(LEFT(A497,1)="A",IF(VALUE(MID(A497,2,10))&lt;10,"A00"&amp;VALUE(MID(A497,2,10)),IF(VALUE(MID(A497,2,10))&lt;100,"A0"&amp;VALUE(MID(A497,2,10)),IF(VALUE(MID(A497,2,10))&lt;1000,"A"&amp;VALUE(MID(A497,2,10))))),IF(LEFT(A497,1)="B",IF(VALUE(MID(A497,2,10))&lt;10,"B00"&amp;VALUE(MID(A497,2,10)),IF(VALUE(MID(A497,2,10))&lt;100,"B0"&amp;VALUE(MID(A497,2,10)),IF(VALUE(MID(A497,2,10))&lt;1000,"B"&amp;VALUE(MID(A497,2,10))))),A497)),"_",IF(NOT(OR(C497=1000,C497&gt;1000)),MID(TEXT((C497+1000)*1000,0),2,6),"keine Meter in Spalte km!!!"),IF(VALUE(I497)=1,CONCATENATE("_",VLOOKUP(IF(V497&gt;0,V497,J497),[1]Grundlage!$A$20:$B$181,2,0)),CONCATENATE("_",B497))))</f>
        <v>UQ_A093_025130_S</v>
      </c>
      <c r="F497" s="152" t="s">
        <v>29</v>
      </c>
      <c r="G497" s="171">
        <f t="shared" si="100"/>
        <v>36406</v>
      </c>
      <c r="H497" s="160">
        <f t="shared" si="101"/>
        <v>52</v>
      </c>
      <c r="I497" s="152">
        <f t="shared" si="92"/>
        <v>3</v>
      </c>
      <c r="J497" s="152">
        <f t="shared" si="93"/>
        <v>19</v>
      </c>
      <c r="K497" s="152">
        <f t="shared" si="94"/>
        <v>201</v>
      </c>
      <c r="L497" s="152">
        <f t="shared" si="94"/>
        <v>4</v>
      </c>
      <c r="M497" s="152">
        <f t="shared" si="95"/>
        <v>1</v>
      </c>
      <c r="N497" s="152">
        <f t="shared" si="96"/>
        <v>7</v>
      </c>
      <c r="P497" s="172">
        <f t="shared" si="97"/>
        <v>49</v>
      </c>
      <c r="AI497" s="154"/>
      <c r="AT497" s="148">
        <v>3</v>
      </c>
      <c r="AU497" s="155">
        <v>19</v>
      </c>
      <c r="AV497" s="155">
        <v>13</v>
      </c>
      <c r="AY497" s="148">
        <v>1</v>
      </c>
      <c r="AZ497" s="155">
        <v>7</v>
      </c>
      <c r="BA497" s="155"/>
      <c r="BB497" s="152" t="s">
        <v>29</v>
      </c>
      <c r="BC497" s="150"/>
      <c r="BD497" s="150"/>
      <c r="BF497" s="152" t="s">
        <v>550</v>
      </c>
    </row>
    <row r="498" spans="1:58" s="152" customFormat="1" ht="14.25" x14ac:dyDescent="0.2">
      <c r="A498" s="160" t="str">
        <f t="shared" si="90"/>
        <v>A93</v>
      </c>
      <c r="B498" s="152" t="s">
        <v>655</v>
      </c>
      <c r="C498" s="160">
        <f t="shared" si="91"/>
        <v>25.13</v>
      </c>
      <c r="D498" s="160"/>
      <c r="E498" s="170" t="str">
        <f>IF(OR(A498="",B498="",C498=""),"eine der Spalten BAB, FR, km leer?",CONCATENATE(VLOOKUP(VALUE(I498),[1]Grundlage!$A$1:$B$14,2,0),IF(LEFT(A498,1)="A",IF(VALUE(MID(A498,2,10))&lt;10,"A00"&amp;VALUE(MID(A498,2,10)),IF(VALUE(MID(A498,2,10))&lt;100,"A0"&amp;VALUE(MID(A498,2,10)),IF(VALUE(MID(A498,2,10))&lt;1000,"A"&amp;VALUE(MID(A498,2,10))))),IF(LEFT(A498,1)="B",IF(VALUE(MID(A498,2,10))&lt;10,"B00"&amp;VALUE(MID(A498,2,10)),IF(VALUE(MID(A498,2,10))&lt;100,"B0"&amp;VALUE(MID(A498,2,10)),IF(VALUE(MID(A498,2,10))&lt;1000,"B"&amp;VALUE(MID(A498,2,10))))),A498)),"_",IF(NOT(OR(C498=1000,C498&gt;1000)),MID(TEXT((C498+1000)*1000,0),2,6),"keine Meter in Spalte km!!!"),IF(VALUE(I498)=1,CONCATENATE("_",VLOOKUP(IF(V498&gt;0,V498,J498),[1]Grundlage!$A$20:$B$181,2,0)),CONCATENATE("_",B498))))</f>
        <v>UQ_A093_025130_S</v>
      </c>
      <c r="F498" s="152" t="s">
        <v>30</v>
      </c>
      <c r="G498" s="171">
        <f t="shared" si="100"/>
        <v>36406</v>
      </c>
      <c r="H498" s="160">
        <f t="shared" si="101"/>
        <v>52</v>
      </c>
      <c r="I498" s="152">
        <f t="shared" si="92"/>
        <v>3</v>
      </c>
      <c r="J498" s="152">
        <f t="shared" si="93"/>
        <v>21</v>
      </c>
      <c r="K498" s="152">
        <f t="shared" si="94"/>
        <v>201</v>
      </c>
      <c r="L498" s="152">
        <f t="shared" si="94"/>
        <v>4</v>
      </c>
      <c r="M498" s="152">
        <f t="shared" si="95"/>
        <v>1</v>
      </c>
      <c r="N498" s="152">
        <f t="shared" si="96"/>
        <v>8</v>
      </c>
      <c r="P498" s="172">
        <f t="shared" si="97"/>
        <v>67</v>
      </c>
      <c r="AI498" s="154"/>
      <c r="AT498" s="148">
        <v>3</v>
      </c>
      <c r="AU498" s="155">
        <v>21</v>
      </c>
      <c r="AV498" s="155">
        <v>15</v>
      </c>
      <c r="AY498" s="148">
        <v>1</v>
      </c>
      <c r="AZ498" s="155">
        <v>8</v>
      </c>
      <c r="BA498" s="155"/>
      <c r="BB498" s="152" t="s">
        <v>30</v>
      </c>
      <c r="BC498" s="150"/>
      <c r="BD498" s="150"/>
      <c r="BF498" s="152" t="s">
        <v>551</v>
      </c>
    </row>
    <row r="499" spans="1:58" s="152" customFormat="1" ht="14.25" x14ac:dyDescent="0.2">
      <c r="A499" s="160" t="str">
        <f t="shared" si="90"/>
        <v>A93</v>
      </c>
      <c r="B499" s="152" t="s">
        <v>655</v>
      </c>
      <c r="C499" s="160">
        <f t="shared" si="91"/>
        <v>25.13</v>
      </c>
      <c r="D499" s="160"/>
      <c r="E499" s="170" t="str">
        <f>IF(OR(A499="",B499="",C499=""),"eine der Spalten BAB, FR, km leer?",CONCATENATE(VLOOKUP(VALUE(I499),[1]Grundlage!$A$1:$B$14,2,0),IF(LEFT(A499,1)="A",IF(VALUE(MID(A499,2,10))&lt;10,"A00"&amp;VALUE(MID(A499,2,10)),IF(VALUE(MID(A499,2,10))&lt;100,"A0"&amp;VALUE(MID(A499,2,10)),IF(VALUE(MID(A499,2,10))&lt;1000,"A"&amp;VALUE(MID(A499,2,10))))),IF(LEFT(A499,1)="B",IF(VALUE(MID(A499,2,10))&lt;10,"B00"&amp;VALUE(MID(A499,2,10)),IF(VALUE(MID(A499,2,10))&lt;100,"B0"&amp;VALUE(MID(A499,2,10)),IF(VALUE(MID(A499,2,10))&lt;1000,"B"&amp;VALUE(MID(A499,2,10))))),A499)),"_",IF(NOT(OR(C499=1000,C499&gt;1000)),MID(TEXT((C499+1000)*1000,0),2,6),"keine Meter in Spalte km!!!"),IF(VALUE(I499)=1,CONCATENATE("_",VLOOKUP(IF(V499&gt;0,V499,J499),[1]Grundlage!$A$20:$B$181,2,0)),CONCATENATE("_",B499))))</f>
        <v>UQ_A093_025130_S</v>
      </c>
      <c r="F499" s="152" t="s">
        <v>42</v>
      </c>
      <c r="G499" s="171">
        <f t="shared" si="100"/>
        <v>36406</v>
      </c>
      <c r="H499" s="160">
        <f t="shared" si="101"/>
        <v>52</v>
      </c>
      <c r="I499" s="152">
        <f t="shared" si="92"/>
        <v>3</v>
      </c>
      <c r="J499" s="152">
        <f t="shared" si="93"/>
        <v>25</v>
      </c>
      <c r="K499" s="152">
        <f t="shared" si="94"/>
        <v>201</v>
      </c>
      <c r="L499" s="152">
        <f t="shared" si="94"/>
        <v>4</v>
      </c>
      <c r="M499" s="152">
        <f t="shared" si="95"/>
        <v>1</v>
      </c>
      <c r="N499" s="152">
        <f t="shared" si="96"/>
        <v>9</v>
      </c>
      <c r="P499" s="172">
        <f>IF(AT499&lt;&gt;3,"",IF(BB499="Helligkeitssensor",61,IF(BB499="Helligkeit",61,IF(BB500="Lichtsensor",61,IF(BB499="Lufttemperatur",48,IF(BB499="Niederschlagsart",71,IF(BB499="Niederschlagsintensität",53,IF(BB499="relative Luftfeuchte RLF",55,IF(BB499="Sichtweite",60,IF(BB499="Sichtweite 1",60,IF(BB499="Zustand der Fahrbahnoberfläche FBZ",79,IF(BB499="Wasserfilmdicke WFD",72,IF(BB499="Clusterkanal FG3","",IF(BB499="Gefriertemperatur GT",65,IF(BB499="Fahrbahnoberflächentemperatur FBT",49,IF(BB499="Windrichtung  Typ 56 ",56,VALUE(RIGHT(BB499,2))))))))))))))))))</f>
        <v>56</v>
      </c>
      <c r="AI499" s="154"/>
      <c r="AT499" s="148">
        <v>3</v>
      </c>
      <c r="AU499" s="155">
        <v>25</v>
      </c>
      <c r="AV499" s="155">
        <v>19</v>
      </c>
      <c r="AY499" s="148">
        <v>1</v>
      </c>
      <c r="AZ499" s="155">
        <v>9</v>
      </c>
      <c r="BA499" s="155"/>
      <c r="BB499" s="152" t="s">
        <v>42</v>
      </c>
      <c r="BC499" s="150"/>
      <c r="BD499" s="150"/>
      <c r="BF499" s="152" t="s">
        <v>515</v>
      </c>
    </row>
    <row r="500" spans="1:58" s="152" customFormat="1" ht="14.25" x14ac:dyDescent="0.2">
      <c r="A500" s="160" t="str">
        <f t="shared" si="90"/>
        <v>A93</v>
      </c>
      <c r="B500" s="152" t="s">
        <v>655</v>
      </c>
      <c r="C500" s="160">
        <f t="shared" si="91"/>
        <v>25.13</v>
      </c>
      <c r="D500" s="160"/>
      <c r="E500" s="170" t="str">
        <f>IF(OR(A500="",B500="",C500=""),"eine der Spalten BAB, FR, km leer?",CONCATENATE(VLOOKUP(VALUE(I500),[1]Grundlage!$A$1:$B$14,2,0),IF(LEFT(A500,1)="A",IF(VALUE(MID(A500,2,10))&lt;10,"A00"&amp;VALUE(MID(A500,2,10)),IF(VALUE(MID(A500,2,10))&lt;100,"A0"&amp;VALUE(MID(A500,2,10)),IF(VALUE(MID(A500,2,10))&lt;1000,"A"&amp;VALUE(MID(A500,2,10))))),IF(LEFT(A500,1)="B",IF(VALUE(MID(A500,2,10))&lt;10,"B00"&amp;VALUE(MID(A500,2,10)),IF(VALUE(MID(A500,2,10))&lt;100,"B0"&amp;VALUE(MID(A500,2,10)),IF(VALUE(MID(A500,2,10))&lt;1000,"B"&amp;VALUE(MID(A500,2,10))))),A500)),"_",IF(NOT(OR(C500=1000,C500&gt;1000)),MID(TEXT((C500+1000)*1000,0),2,6),"keine Meter in Spalte km!!!"),IF(VALUE(I500)=1,CONCATENATE("_",VLOOKUP(IF(V500&gt;0,V500,J500),[1]Grundlage!$A$20:$B$181,2,0)),CONCATENATE("_",B500))))</f>
        <v>UQ_A093_025130_S</v>
      </c>
      <c r="F500" s="152" t="s">
        <v>43</v>
      </c>
      <c r="G500" s="171">
        <f t="shared" si="100"/>
        <v>36406</v>
      </c>
      <c r="H500" s="160">
        <f t="shared" si="101"/>
        <v>52</v>
      </c>
      <c r="I500" s="152">
        <f t="shared" si="92"/>
        <v>3</v>
      </c>
      <c r="J500" s="152">
        <f t="shared" si="93"/>
        <v>26</v>
      </c>
      <c r="K500" s="152">
        <f t="shared" si="94"/>
        <v>201</v>
      </c>
      <c r="L500" s="152">
        <f t="shared" si="94"/>
        <v>4</v>
      </c>
      <c r="M500" s="152">
        <f t="shared" si="95"/>
        <v>1</v>
      </c>
      <c r="N500" s="152">
        <f t="shared" si="96"/>
        <v>10</v>
      </c>
      <c r="P500" s="172">
        <f t="shared" si="97"/>
        <v>57</v>
      </c>
      <c r="AI500" s="154"/>
      <c r="AT500" s="148">
        <v>3</v>
      </c>
      <c r="AU500" s="155">
        <v>26</v>
      </c>
      <c r="AV500" s="155" t="s">
        <v>86</v>
      </c>
      <c r="AY500" s="148">
        <v>1</v>
      </c>
      <c r="AZ500" s="155">
        <v>10</v>
      </c>
      <c r="BA500" s="155"/>
      <c r="BB500" s="152" t="s">
        <v>43</v>
      </c>
      <c r="BC500" s="150"/>
      <c r="BD500" s="150"/>
      <c r="BF500" s="152" t="s">
        <v>446</v>
      </c>
    </row>
    <row r="501" spans="1:58" s="152" customFormat="1" ht="14.25" x14ac:dyDescent="0.2">
      <c r="A501" s="160" t="str">
        <f t="shared" si="90"/>
        <v>A93</v>
      </c>
      <c r="B501" s="152" t="s">
        <v>655</v>
      </c>
      <c r="C501" s="160">
        <f t="shared" si="91"/>
        <v>25.13</v>
      </c>
      <c r="D501" s="160"/>
      <c r="E501" s="170" t="str">
        <f>IF(OR(A501="",B501="",C501=""),"eine der Spalten BAB, FR, km leer?",CONCATENATE(VLOOKUP(VALUE(I501),[1]Grundlage!$A$1:$B$14,2,0),IF(LEFT(A501,1)="A",IF(VALUE(MID(A501,2,10))&lt;10,"A00"&amp;VALUE(MID(A501,2,10)),IF(VALUE(MID(A501,2,10))&lt;100,"A0"&amp;VALUE(MID(A501,2,10)),IF(VALUE(MID(A501,2,10))&lt;1000,"A"&amp;VALUE(MID(A501,2,10))))),IF(LEFT(A501,1)="B",IF(VALUE(MID(A501,2,10))&lt;10,"B00"&amp;VALUE(MID(A501,2,10)),IF(VALUE(MID(A501,2,10))&lt;100,"B0"&amp;VALUE(MID(A501,2,10)),IF(VALUE(MID(A501,2,10))&lt;1000,"B"&amp;VALUE(MID(A501,2,10))))),A501)),"_",IF(NOT(OR(C501=1000,C501&gt;1000)),MID(TEXT((C501+1000)*1000,0),2,6),"keine Meter in Spalte km!!!"),IF(VALUE(I501)=1,CONCATENATE("_",VLOOKUP(IF(V501&gt;0,V501,J501),[1]Grundlage!$A$20:$B$181,2,0)),CONCATENATE("_",B501))))</f>
        <v>UQ_A093_025130_S</v>
      </c>
      <c r="F501" s="152" t="s">
        <v>271</v>
      </c>
      <c r="G501" s="171">
        <f t="shared" si="100"/>
        <v>36406</v>
      </c>
      <c r="H501" s="160">
        <f t="shared" si="101"/>
        <v>52</v>
      </c>
      <c r="I501" s="152">
        <f t="shared" si="92"/>
        <v>3</v>
      </c>
      <c r="J501" s="152">
        <f t="shared" si="93"/>
        <v>67</v>
      </c>
      <c r="K501" s="152">
        <f t="shared" si="94"/>
        <v>201</v>
      </c>
      <c r="L501" s="152">
        <f t="shared" si="94"/>
        <v>4</v>
      </c>
      <c r="M501" s="152">
        <f t="shared" si="95"/>
        <v>1</v>
      </c>
      <c r="N501" s="152">
        <f t="shared" si="96"/>
        <v>11</v>
      </c>
      <c r="P501" s="172">
        <f t="shared" si="97"/>
        <v>53</v>
      </c>
      <c r="AI501" s="154"/>
      <c r="AT501" s="148">
        <v>3</v>
      </c>
      <c r="AU501" s="155">
        <v>67</v>
      </c>
      <c r="AV501" s="155">
        <v>43</v>
      </c>
      <c r="AY501" s="148">
        <v>1</v>
      </c>
      <c r="AZ501" s="155">
        <v>11</v>
      </c>
      <c r="BA501" s="174"/>
      <c r="BB501" s="152" t="s">
        <v>271</v>
      </c>
      <c r="BC501" s="150"/>
      <c r="BD501" s="150"/>
      <c r="BF501" s="152" t="s">
        <v>444</v>
      </c>
    </row>
    <row r="502" spans="1:58" s="152" customFormat="1" ht="14.25" x14ac:dyDescent="0.2">
      <c r="A502" s="160" t="str">
        <f t="shared" si="90"/>
        <v>A93</v>
      </c>
      <c r="B502" s="152" t="s">
        <v>655</v>
      </c>
      <c r="C502" s="160">
        <f t="shared" si="91"/>
        <v>25.13</v>
      </c>
      <c r="D502" s="160"/>
      <c r="E502" s="170" t="str">
        <f>IF(OR(A502="",B502="",C502=""),"eine der Spalten BAB, FR, km leer?",CONCATENATE(VLOOKUP(VALUE(I502),[1]Grundlage!$A$1:$B$14,2,0),IF(LEFT(A502,1)="A",IF(VALUE(MID(A502,2,10))&lt;10,"A00"&amp;VALUE(MID(A502,2,10)),IF(VALUE(MID(A502,2,10))&lt;100,"A0"&amp;VALUE(MID(A502,2,10)),IF(VALUE(MID(A502,2,10))&lt;1000,"A"&amp;VALUE(MID(A502,2,10))))),IF(LEFT(A502,1)="B",IF(VALUE(MID(A502,2,10))&lt;10,"B00"&amp;VALUE(MID(A502,2,10)),IF(VALUE(MID(A502,2,10))&lt;100,"B0"&amp;VALUE(MID(A502,2,10)),IF(VALUE(MID(A502,2,10))&lt;1000,"B"&amp;VALUE(MID(A502,2,10))))),A502)),"_",IF(NOT(OR(C502=1000,C502&gt;1000)),MID(TEXT((C502+1000)*1000,0),2,6),"keine Meter in Spalte km!!!"),IF(VALUE(I502)=1,CONCATENATE("_",VLOOKUP(IF(V502&gt;0,V502,J502),[1]Grundlage!$A$20:$B$181,2,0)),CONCATENATE("_",B502))))</f>
        <v>UQ_A093_025130_S</v>
      </c>
      <c r="F502" s="152" t="s">
        <v>272</v>
      </c>
      <c r="G502" s="171">
        <f t="shared" si="100"/>
        <v>36406</v>
      </c>
      <c r="H502" s="160">
        <f t="shared" si="101"/>
        <v>52</v>
      </c>
      <c r="I502" s="152">
        <f t="shared" si="92"/>
        <v>3</v>
      </c>
      <c r="J502" s="152">
        <f t="shared" si="93"/>
        <v>82</v>
      </c>
      <c r="K502" s="152">
        <f t="shared" si="94"/>
        <v>201</v>
      </c>
      <c r="L502" s="152">
        <f t="shared" si="94"/>
        <v>4</v>
      </c>
      <c r="M502" s="152">
        <f t="shared" si="95"/>
        <v>1</v>
      </c>
      <c r="N502" s="152">
        <f t="shared" si="96"/>
        <v>12</v>
      </c>
      <c r="P502" s="172">
        <f t="shared" si="97"/>
        <v>72</v>
      </c>
      <c r="AI502" s="154"/>
      <c r="AT502" s="148">
        <v>3</v>
      </c>
      <c r="AU502" s="155">
        <v>82</v>
      </c>
      <c r="AV502" s="155">
        <v>52</v>
      </c>
      <c r="AY502" s="148">
        <v>1</v>
      </c>
      <c r="AZ502" s="155">
        <v>12</v>
      </c>
      <c r="BA502" s="174"/>
      <c r="BB502" s="152" t="s">
        <v>272</v>
      </c>
      <c r="BC502" s="150"/>
      <c r="BD502" s="150"/>
      <c r="BF502" s="152" t="s">
        <v>553</v>
      </c>
    </row>
    <row r="503" spans="1:58" s="152" customFormat="1" ht="14.25" x14ac:dyDescent="0.2">
      <c r="A503" s="160" t="str">
        <f t="shared" si="90"/>
        <v>A93</v>
      </c>
      <c r="C503" s="160">
        <f t="shared" si="91"/>
        <v>25.13</v>
      </c>
      <c r="D503" s="160" t="str">
        <f t="shared" si="102"/>
        <v/>
      </c>
      <c r="E503" s="169" t="str">
        <f>IF(OR(A503="",B503="",C503=""),"",CONCATENATE(VLOOKUP(VALUE(I503),[1]Grundlage!$A$1:$B$14,2,0),IF(LEFT(A503,1)="A",IF(VALUE(MID(A503,2,10))&lt;10,"A00"&amp;VALUE(MID(A503,2,10)),IF(VALUE(MID(A503,2,10))&lt;100,"A0"&amp;VALUE(MID(A503,2,10)),IF(VALUE(MID(A503,2,10))&lt;1000,"A"&amp;VALUE(MID(A503,2,10))))),IF(LEFT(A503,1)="B",IF(VALUE(MID(A503,2,10))&lt;10,"B00"&amp;VALUE(MID(A503,2,10)),IF(VALUE(MID(A503,2,10))&lt;100,"B0"&amp;VALUE(MID(A503,2,10)),IF(VALUE(MID(A503,2,10))&lt;1000,"B"&amp;VALUE(MID(A503,2,10))))),A503)),"_",IF(NOT(OR(C503=1000,C503&gt;1000)),MID(TEXT((C503+1000)*1000,0),2,6),"keine Meter in Spalte km!!!"),IF(VALUE(I503)=1,CONCATENATE("_",VLOOKUP(IF(V503&gt;0,V503,J503),[1]Grundlage!$A$20:$B$181,2,0)),CONCATENATE("_",B503))))</f>
        <v/>
      </c>
      <c r="F503" s="152" t="s">
        <v>669</v>
      </c>
      <c r="G503" s="171">
        <f t="shared" si="100"/>
        <v>36406</v>
      </c>
      <c r="H503" s="160">
        <f t="shared" si="101"/>
        <v>52</v>
      </c>
      <c r="I503" s="152">
        <f t="shared" si="92"/>
        <v>0</v>
      </c>
      <c r="J503" s="152">
        <f t="shared" si="93"/>
        <v>0</v>
      </c>
      <c r="K503" s="152">
        <f t="shared" si="94"/>
        <v>201</v>
      </c>
      <c r="L503" s="152">
        <f t="shared" si="94"/>
        <v>4</v>
      </c>
      <c r="M503" s="152" t="str">
        <f t="shared" si="95"/>
        <v/>
      </c>
      <c r="N503" s="152" t="str">
        <f t="shared" si="96"/>
        <v/>
      </c>
      <c r="P503" s="172" t="str">
        <f t="shared" si="97"/>
        <v/>
      </c>
      <c r="AI503" s="154"/>
      <c r="AT503" s="148"/>
      <c r="AU503" s="155"/>
      <c r="AV503" s="155"/>
      <c r="AZ503" s="155"/>
      <c r="BA503" s="155"/>
      <c r="BC503" s="150"/>
      <c r="BD503" s="150"/>
    </row>
    <row r="504" spans="1:58" s="152" customFormat="1" ht="14.25" x14ac:dyDescent="0.2">
      <c r="A504" s="160" t="s">
        <v>168</v>
      </c>
      <c r="B504" s="152" t="s">
        <v>658</v>
      </c>
      <c r="C504" s="160">
        <f t="shared" si="91"/>
        <v>56.05</v>
      </c>
      <c r="D504" s="160"/>
      <c r="E504" s="170" t="str">
        <f>IF(OR(A504="",B504="",C504=""),"eine der Spalten BAB, FR, km leer?",CONCATENATE(VLOOKUP(VALUE(I504),[1]Grundlage!$A$1:$B$14,2,0),IF(LEFT(A504,1)="A",IF(VALUE(MID(A504,2,10))&lt;10,"A00"&amp;VALUE(MID(A504,2,10)),IF(VALUE(MID(A504,2,10))&lt;100,"A0"&amp;VALUE(MID(A504,2,10)),IF(VALUE(MID(A504,2,10))&lt;1000,"A"&amp;VALUE(MID(A504,2,10))))),IF(LEFT(A504,1)="B",IF(VALUE(MID(A504,2,10))&lt;10,"B00"&amp;VALUE(MID(A504,2,10)),IF(VALUE(MID(A504,2,10))&lt;100,"B0"&amp;VALUE(MID(A504,2,10)),IF(VALUE(MID(A504,2,10))&lt;1000,"B"&amp;VALUE(MID(A504,2,10))))),A504)),"_",IF(NOT(OR(C504=1000,C504&gt;1000)),MID(TEXT((C504+1000)*1000,0),2,6),"keine Meter in Spalte km!!!"),IF(VALUE(I504)=1,CONCATENATE("_",VLOOKUP(IF(V504&gt;0,V504,J504),[1]Grundlage!$A$20:$B$181,2,0)),CONCATENATE("_",B504))))</f>
        <v>SSt_A008_056050_O</v>
      </c>
      <c r="F504" s="152" t="s">
        <v>106</v>
      </c>
      <c r="G504" s="171">
        <f t="shared" si="100"/>
        <v>3193</v>
      </c>
      <c r="H504" s="160">
        <f t="shared" si="101"/>
        <v>37</v>
      </c>
      <c r="I504" s="152">
        <f t="shared" si="92"/>
        <v>0</v>
      </c>
      <c r="J504" s="152">
        <f t="shared" si="93"/>
        <v>0</v>
      </c>
      <c r="K504" s="152">
        <f t="shared" si="94"/>
        <v>200</v>
      </c>
      <c r="L504" s="152">
        <f t="shared" si="94"/>
        <v>20</v>
      </c>
      <c r="M504" s="152" t="str">
        <f t="shared" si="95"/>
        <v/>
      </c>
      <c r="N504" s="152" t="str">
        <f t="shared" si="96"/>
        <v/>
      </c>
      <c r="P504" s="172" t="str">
        <f t="shared" si="97"/>
        <v/>
      </c>
      <c r="AI504" s="173">
        <v>56.05</v>
      </c>
      <c r="AJ504" s="148" t="s">
        <v>19</v>
      </c>
      <c r="AK504" s="148" t="s">
        <v>60</v>
      </c>
      <c r="AL504" s="148"/>
      <c r="AM504" s="148"/>
      <c r="AN504" s="148"/>
      <c r="AO504" s="148"/>
      <c r="AP504" s="148">
        <v>817445</v>
      </c>
      <c r="AQ504" s="158" t="s">
        <v>79</v>
      </c>
      <c r="AR504" s="148">
        <v>79</v>
      </c>
      <c r="AS504" s="148">
        <v>25</v>
      </c>
      <c r="AT504" s="148"/>
      <c r="AU504" s="148"/>
      <c r="AV504" s="148"/>
      <c r="AW504" s="148">
        <v>200</v>
      </c>
      <c r="AX504" s="148">
        <v>20</v>
      </c>
      <c r="AY504" s="148"/>
      <c r="AZ504" s="148"/>
      <c r="BA504" s="148"/>
      <c r="BB504" s="149" t="s">
        <v>106</v>
      </c>
      <c r="BC504" s="150"/>
      <c r="BD504" s="158" t="s">
        <v>163</v>
      </c>
      <c r="BE504" s="152" t="s">
        <v>57</v>
      </c>
      <c r="BF504" s="152" t="s">
        <v>458</v>
      </c>
    </row>
    <row r="505" spans="1:58" s="152" customFormat="1" ht="14.25" x14ac:dyDescent="0.2">
      <c r="A505" s="160" t="str">
        <f t="shared" si="90"/>
        <v>A8</v>
      </c>
      <c r="B505" s="152" t="s">
        <v>658</v>
      </c>
      <c r="C505" s="160">
        <f t="shared" si="91"/>
        <v>56.05</v>
      </c>
      <c r="D505" s="160"/>
      <c r="E505" s="170" t="str">
        <f>IF(OR(A505="",B505="",C505=""),"eine der Spalten BAB, FR, km leer?",CONCATENATE(VLOOKUP(VALUE(I505),[1]Grundlage!$A$1:$B$14,2,0),IF(LEFT(A505,1)="A",IF(VALUE(MID(A505,2,10))&lt;10,"A00"&amp;VALUE(MID(A505,2,10)),IF(VALUE(MID(A505,2,10))&lt;100,"A0"&amp;VALUE(MID(A505,2,10)),IF(VALUE(MID(A505,2,10))&lt;1000,"A"&amp;VALUE(MID(A505,2,10))))),IF(LEFT(A505,1)="B",IF(VALUE(MID(A505,2,10))&lt;10,"B00"&amp;VALUE(MID(A505,2,10)),IF(VALUE(MID(A505,2,10))&lt;100,"B0"&amp;VALUE(MID(A505,2,10)),IF(VALUE(MID(A505,2,10))&lt;1000,"B"&amp;VALUE(MID(A505,2,10))))),A505)),"_",IF(NOT(OR(C505=1000,C505&gt;1000)),MID(TEXT((C505+1000)*1000,0),2,6),"keine Meter in Spalte km!!!"),IF(VALUE(I505)=1,CONCATENATE("_",VLOOKUP(IF(V505&gt;0,V505,J505),[1]Grundlage!$A$20:$B$181,2,0)),CONCATENATE("_",B505))))</f>
        <v>UQ_A008_056050_O</v>
      </c>
      <c r="F505" s="152" t="s">
        <v>269</v>
      </c>
      <c r="G505" s="171">
        <f t="shared" si="100"/>
        <v>3193</v>
      </c>
      <c r="H505" s="160">
        <f t="shared" si="101"/>
        <v>37</v>
      </c>
      <c r="I505" s="152">
        <f t="shared" si="92"/>
        <v>3</v>
      </c>
      <c r="J505" s="152">
        <f t="shared" si="93"/>
        <v>6</v>
      </c>
      <c r="K505" s="152">
        <f t="shared" si="94"/>
        <v>200</v>
      </c>
      <c r="L505" s="152">
        <f t="shared" si="94"/>
        <v>20</v>
      </c>
      <c r="M505" s="152">
        <f t="shared" si="95"/>
        <v>1</v>
      </c>
      <c r="N505" s="152">
        <f t="shared" si="96"/>
        <v>1</v>
      </c>
      <c r="P505" s="172">
        <f t="shared" si="97"/>
        <v>71</v>
      </c>
      <c r="AI505" s="154"/>
      <c r="AQ505" s="152">
        <v>12</v>
      </c>
      <c r="AR505" s="152">
        <v>121</v>
      </c>
      <c r="AS505" s="152">
        <v>37</v>
      </c>
      <c r="AT505" s="148">
        <v>3</v>
      </c>
      <c r="AU505" s="155">
        <v>6</v>
      </c>
      <c r="AV505" s="156">
        <v>6</v>
      </c>
      <c r="AW505" s="148"/>
      <c r="AX505" s="148"/>
      <c r="AY505" s="148">
        <v>1</v>
      </c>
      <c r="AZ505" s="155">
        <v>1</v>
      </c>
      <c r="BA505" s="156"/>
      <c r="BB505" s="152" t="s">
        <v>269</v>
      </c>
      <c r="BC505" s="150"/>
      <c r="BD505" s="150"/>
      <c r="BF505" s="152" t="s">
        <v>440</v>
      </c>
    </row>
    <row r="506" spans="1:58" s="152" customFormat="1" ht="14.25" x14ac:dyDescent="0.2">
      <c r="A506" s="160" t="str">
        <f t="shared" si="90"/>
        <v>A8</v>
      </c>
      <c r="B506" s="152" t="s">
        <v>658</v>
      </c>
      <c r="C506" s="160">
        <f t="shared" si="91"/>
        <v>56.05</v>
      </c>
      <c r="D506" s="160"/>
      <c r="E506" s="170" t="str">
        <f>IF(OR(A506="",B506="",C506=""),"eine der Spalten BAB, FR, km leer?",CONCATENATE(VLOOKUP(VALUE(I506),[1]Grundlage!$A$1:$B$14,2,0),IF(LEFT(A506,1)="A",IF(VALUE(MID(A506,2,10))&lt;10,"A00"&amp;VALUE(MID(A506,2,10)),IF(VALUE(MID(A506,2,10))&lt;100,"A0"&amp;VALUE(MID(A506,2,10)),IF(VALUE(MID(A506,2,10))&lt;1000,"A"&amp;VALUE(MID(A506,2,10))))),IF(LEFT(A506,1)="B",IF(VALUE(MID(A506,2,10))&lt;10,"B00"&amp;VALUE(MID(A506,2,10)),IF(VALUE(MID(A506,2,10))&lt;100,"B0"&amp;VALUE(MID(A506,2,10)),IF(VALUE(MID(A506,2,10))&lt;1000,"B"&amp;VALUE(MID(A506,2,10))))),A506)),"_",IF(NOT(OR(C506=1000,C506&gt;1000)),MID(TEXT((C506+1000)*1000,0),2,6),"keine Meter in Spalte km!!!"),IF(VALUE(I506)=1,CONCATENATE("_",VLOOKUP(IF(V506&gt;0,V506,J506),[1]Grundlage!$A$20:$B$181,2,0)),CONCATENATE("_",B506))))</f>
        <v>UQ_A008_056050_O</v>
      </c>
      <c r="F506" s="152" t="s">
        <v>270</v>
      </c>
      <c r="G506" s="171">
        <f t="shared" si="100"/>
        <v>3193</v>
      </c>
      <c r="H506" s="160">
        <f t="shared" si="101"/>
        <v>37</v>
      </c>
      <c r="I506" s="152">
        <f t="shared" si="92"/>
        <v>3</v>
      </c>
      <c r="J506" s="152">
        <f t="shared" si="93"/>
        <v>11</v>
      </c>
      <c r="K506" s="152">
        <f t="shared" si="94"/>
        <v>200</v>
      </c>
      <c r="L506" s="152">
        <f t="shared" si="94"/>
        <v>20</v>
      </c>
      <c r="M506" s="152">
        <f t="shared" si="95"/>
        <v>1</v>
      </c>
      <c r="N506" s="152">
        <f t="shared" si="96"/>
        <v>2</v>
      </c>
      <c r="P506" s="172">
        <f t="shared" si="97"/>
        <v>70</v>
      </c>
      <c r="AI506" s="154"/>
      <c r="AT506" s="148">
        <v>3</v>
      </c>
      <c r="AU506" s="155">
        <v>11</v>
      </c>
      <c r="AV506" s="155" t="s">
        <v>78</v>
      </c>
      <c r="AY506" s="148">
        <f>AY505</f>
        <v>1</v>
      </c>
      <c r="AZ506" s="155">
        <v>2</v>
      </c>
      <c r="BA506" s="155"/>
      <c r="BB506" s="152" t="s">
        <v>270</v>
      </c>
      <c r="BC506" s="150"/>
      <c r="BD506" s="150"/>
      <c r="BF506" s="152" t="s">
        <v>473</v>
      </c>
    </row>
    <row r="507" spans="1:58" s="152" customFormat="1" ht="14.25" x14ac:dyDescent="0.2">
      <c r="A507" s="160" t="str">
        <f t="shared" si="90"/>
        <v>A8</v>
      </c>
      <c r="B507" s="152" t="s">
        <v>658</v>
      </c>
      <c r="C507" s="160">
        <f t="shared" si="91"/>
        <v>56.05</v>
      </c>
      <c r="D507" s="160"/>
      <c r="E507" s="170" t="str">
        <f>IF(OR(A507="",B507="",C507=""),"eine der Spalten BAB, FR, km leer?",CONCATENATE(VLOOKUP(VALUE(I507),[1]Grundlage!$A$1:$B$14,2,0),IF(LEFT(A507,1)="A",IF(VALUE(MID(A507,2,10))&lt;10,"A00"&amp;VALUE(MID(A507,2,10)),IF(VALUE(MID(A507,2,10))&lt;100,"A0"&amp;VALUE(MID(A507,2,10)),IF(VALUE(MID(A507,2,10))&lt;1000,"A"&amp;VALUE(MID(A507,2,10))))),IF(LEFT(A507,1)="B",IF(VALUE(MID(A507,2,10))&lt;10,"B00"&amp;VALUE(MID(A507,2,10)),IF(VALUE(MID(A507,2,10))&lt;100,"B0"&amp;VALUE(MID(A507,2,10)),IF(VALUE(MID(A507,2,10))&lt;1000,"B"&amp;VALUE(MID(A507,2,10))))),A507)),"_",IF(NOT(OR(C507=1000,C507&gt;1000)),MID(TEXT((C507+1000)*1000,0),2,6),"keine Meter in Spalte km!!!"),IF(VALUE(I507)=1,CONCATENATE("_",VLOOKUP(IF(V507&gt;0,V507,J507),[1]Grundlage!$A$20:$B$181,2,0)),CONCATENATE("_",B507))))</f>
        <v>UQ_A008_056050_O</v>
      </c>
      <c r="F507" s="152" t="s">
        <v>25</v>
      </c>
      <c r="G507" s="171">
        <f t="shared" si="100"/>
        <v>3193</v>
      </c>
      <c r="H507" s="160">
        <f t="shared" si="101"/>
        <v>37</v>
      </c>
      <c r="I507" s="152">
        <f t="shared" si="92"/>
        <v>3</v>
      </c>
      <c r="J507" s="152">
        <f t="shared" si="93"/>
        <v>12</v>
      </c>
      <c r="K507" s="152">
        <f t="shared" si="94"/>
        <v>200</v>
      </c>
      <c r="L507" s="152">
        <f t="shared" si="94"/>
        <v>20</v>
      </c>
      <c r="M507" s="152">
        <f t="shared" si="95"/>
        <v>1</v>
      </c>
      <c r="N507" s="152">
        <f t="shared" si="96"/>
        <v>3</v>
      </c>
      <c r="P507" s="172">
        <f t="shared" si="97"/>
        <v>48</v>
      </c>
      <c r="AI507" s="154"/>
      <c r="AT507" s="148">
        <v>3</v>
      </c>
      <c r="AU507" s="155">
        <v>12</v>
      </c>
      <c r="AV507" s="155" t="s">
        <v>79</v>
      </c>
      <c r="AY507" s="148">
        <f>AY506</f>
        <v>1</v>
      </c>
      <c r="AZ507" s="155">
        <v>3</v>
      </c>
      <c r="BA507" s="155"/>
      <c r="BB507" s="152" t="s">
        <v>25</v>
      </c>
      <c r="BC507" s="150"/>
      <c r="BD507" s="150"/>
      <c r="BF507" s="152" t="s">
        <v>441</v>
      </c>
    </row>
    <row r="508" spans="1:58" s="152" customFormat="1" ht="14.25" x14ac:dyDescent="0.2">
      <c r="A508" s="160" t="str">
        <f t="shared" si="90"/>
        <v>A8</v>
      </c>
      <c r="B508" s="152" t="s">
        <v>658</v>
      </c>
      <c r="C508" s="160">
        <f t="shared" si="91"/>
        <v>56.05</v>
      </c>
      <c r="D508" s="160"/>
      <c r="E508" s="170" t="str">
        <f>IF(OR(A508="",B508="",C508=""),"eine der Spalten BAB, FR, km leer?",CONCATENATE(VLOOKUP(VALUE(I508),[1]Grundlage!$A$1:$B$14,2,0),IF(LEFT(A508,1)="A",IF(VALUE(MID(A508,2,10))&lt;10,"A00"&amp;VALUE(MID(A508,2,10)),IF(VALUE(MID(A508,2,10))&lt;100,"A0"&amp;VALUE(MID(A508,2,10)),IF(VALUE(MID(A508,2,10))&lt;1000,"A"&amp;VALUE(MID(A508,2,10))))),IF(LEFT(A508,1)="B",IF(VALUE(MID(A508,2,10))&lt;10,"B00"&amp;VALUE(MID(A508,2,10)),IF(VALUE(MID(A508,2,10))&lt;100,"B0"&amp;VALUE(MID(A508,2,10)),IF(VALUE(MID(A508,2,10))&lt;1000,"B"&amp;VALUE(MID(A508,2,10))))),A508)),"_",IF(NOT(OR(C508=1000,C508&gt;1000)),MID(TEXT((C508+1000)*1000,0),2,6),"keine Meter in Spalte km!!!"),IF(VALUE(I508)=1,CONCATENATE("_",VLOOKUP(IF(V508&gt;0,V508,J508),[1]Grundlage!$A$20:$B$181,2,0)),CONCATENATE("_",B508))))</f>
        <v>UQ_A008_056050_O</v>
      </c>
      <c r="F508" s="152" t="s">
        <v>26</v>
      </c>
      <c r="G508" s="171">
        <f t="shared" si="100"/>
        <v>3193</v>
      </c>
      <c r="H508" s="160">
        <f t="shared" si="101"/>
        <v>37</v>
      </c>
      <c r="I508" s="152">
        <f t="shared" si="92"/>
        <v>3</v>
      </c>
      <c r="J508" s="152">
        <f t="shared" si="93"/>
        <v>13</v>
      </c>
      <c r="K508" s="152">
        <f t="shared" si="94"/>
        <v>200</v>
      </c>
      <c r="L508" s="152">
        <f t="shared" si="94"/>
        <v>20</v>
      </c>
      <c r="M508" s="152">
        <f t="shared" si="95"/>
        <v>1</v>
      </c>
      <c r="N508" s="152">
        <f t="shared" si="96"/>
        <v>4</v>
      </c>
      <c r="P508" s="172">
        <f t="shared" si="97"/>
        <v>55</v>
      </c>
      <c r="AI508" s="154"/>
      <c r="AT508" s="148">
        <v>3</v>
      </c>
      <c r="AU508" s="155">
        <v>13</v>
      </c>
      <c r="AV508" s="155" t="s">
        <v>80</v>
      </c>
      <c r="AY508" s="148">
        <f t="shared" ref="AY508:AY513" si="103">AY507</f>
        <v>1</v>
      </c>
      <c r="AZ508" s="155">
        <v>4</v>
      </c>
      <c r="BA508" s="155"/>
      <c r="BB508" s="152" t="s">
        <v>26</v>
      </c>
      <c r="BC508" s="150"/>
      <c r="BD508" s="150"/>
      <c r="BF508" s="152" t="s">
        <v>442</v>
      </c>
    </row>
    <row r="509" spans="1:58" s="152" customFormat="1" ht="14.25" x14ac:dyDescent="0.2">
      <c r="A509" s="160" t="str">
        <f t="shared" si="90"/>
        <v>A8</v>
      </c>
      <c r="B509" s="152" t="s">
        <v>658</v>
      </c>
      <c r="C509" s="160">
        <f t="shared" si="91"/>
        <v>56.05</v>
      </c>
      <c r="D509" s="160"/>
      <c r="E509" s="170" t="str">
        <f>IF(OR(A509="",B509="",C509=""),"eine der Spalten BAB, FR, km leer?",CONCATENATE(VLOOKUP(VALUE(I509),[1]Grundlage!$A$1:$B$14,2,0),IF(LEFT(A509,1)="A",IF(VALUE(MID(A509,2,10))&lt;10,"A00"&amp;VALUE(MID(A509,2,10)),IF(VALUE(MID(A509,2,10))&lt;100,"A0"&amp;VALUE(MID(A509,2,10)),IF(VALUE(MID(A509,2,10))&lt;1000,"A"&amp;VALUE(MID(A509,2,10))))),IF(LEFT(A509,1)="B",IF(VALUE(MID(A509,2,10))&lt;10,"B00"&amp;VALUE(MID(A509,2,10)),IF(VALUE(MID(A509,2,10))&lt;100,"B0"&amp;VALUE(MID(A509,2,10)),IF(VALUE(MID(A509,2,10))&lt;1000,"B"&amp;VALUE(MID(A509,2,10))))),A509)),"_",IF(NOT(OR(C509=1000,C509&gt;1000)),MID(TEXT((C509+1000)*1000,0),2,6),"keine Meter in Spalte km!!!"),IF(VALUE(I509)=1,CONCATENATE("_",VLOOKUP(IF(V509&gt;0,V509,J509),[1]Grundlage!$A$20:$B$181,2,0)),CONCATENATE("_",B509))))</f>
        <v>UQ_A008_056050_O</v>
      </c>
      <c r="F509" s="152" t="s">
        <v>27</v>
      </c>
      <c r="G509" s="171">
        <f t="shared" si="100"/>
        <v>3193</v>
      </c>
      <c r="H509" s="160">
        <f t="shared" si="101"/>
        <v>37</v>
      </c>
      <c r="I509" s="152">
        <f t="shared" si="92"/>
        <v>3</v>
      </c>
      <c r="J509" s="152">
        <f t="shared" si="93"/>
        <v>14</v>
      </c>
      <c r="K509" s="152">
        <f t="shared" si="94"/>
        <v>200</v>
      </c>
      <c r="L509" s="152">
        <f t="shared" si="94"/>
        <v>20</v>
      </c>
      <c r="M509" s="152">
        <f t="shared" si="95"/>
        <v>1</v>
      </c>
      <c r="N509" s="152">
        <f t="shared" si="96"/>
        <v>5</v>
      </c>
      <c r="P509" s="172">
        <f t="shared" si="97"/>
        <v>66</v>
      </c>
      <c r="AI509" s="154"/>
      <c r="AT509" s="148">
        <v>3</v>
      </c>
      <c r="AU509" s="155">
        <v>14</v>
      </c>
      <c r="AV509" s="155" t="s">
        <v>81</v>
      </c>
      <c r="AY509" s="148">
        <f t="shared" si="103"/>
        <v>1</v>
      </c>
      <c r="AZ509" s="155">
        <v>5</v>
      </c>
      <c r="BA509" s="155"/>
      <c r="BB509" s="152" t="s">
        <v>27</v>
      </c>
      <c r="BC509" s="150"/>
      <c r="BD509" s="150"/>
      <c r="BF509" s="152" t="s">
        <v>443</v>
      </c>
    </row>
    <row r="510" spans="1:58" s="152" customFormat="1" ht="14.25" x14ac:dyDescent="0.2">
      <c r="A510" s="160" t="str">
        <f t="shared" si="90"/>
        <v>A8</v>
      </c>
      <c r="B510" s="152" t="s">
        <v>658</v>
      </c>
      <c r="C510" s="160">
        <f t="shared" si="91"/>
        <v>56.05</v>
      </c>
      <c r="D510" s="160"/>
      <c r="E510" s="170" t="str">
        <f>IF(OR(A510="",B510="",C510=""),"eine der Spalten BAB, FR, km leer?",CONCATENATE(VLOOKUP(VALUE(I510),[1]Grundlage!$A$1:$B$14,2,0),IF(LEFT(A510,1)="A",IF(VALUE(MID(A510,2,10))&lt;10,"A00"&amp;VALUE(MID(A510,2,10)),IF(VALUE(MID(A510,2,10))&lt;100,"A0"&amp;VALUE(MID(A510,2,10)),IF(VALUE(MID(A510,2,10))&lt;1000,"A"&amp;VALUE(MID(A510,2,10))))),IF(LEFT(A510,1)="B",IF(VALUE(MID(A510,2,10))&lt;10,"B00"&amp;VALUE(MID(A510,2,10)),IF(VALUE(MID(A510,2,10))&lt;100,"B0"&amp;VALUE(MID(A510,2,10)),IF(VALUE(MID(A510,2,10))&lt;1000,"B"&amp;VALUE(MID(A510,2,10))))),A510)),"_",IF(NOT(OR(C510=1000,C510&gt;1000)),MID(TEXT((C510+1000)*1000,0),2,6),"keine Meter in Spalte km!!!"),IF(VALUE(I510)=1,CONCATENATE("_",VLOOKUP(IF(V510&gt;0,V510,J510),[1]Grundlage!$A$20:$B$181,2,0)),CONCATENATE("_",B510))))</f>
        <v>UQ_A008_056050_O</v>
      </c>
      <c r="F510" s="152" t="s">
        <v>28</v>
      </c>
      <c r="G510" s="171">
        <f t="shared" si="100"/>
        <v>3193</v>
      </c>
      <c r="H510" s="160">
        <f t="shared" si="101"/>
        <v>37</v>
      </c>
      <c r="I510" s="152">
        <f t="shared" si="92"/>
        <v>3</v>
      </c>
      <c r="J510" s="152">
        <f t="shared" si="93"/>
        <v>15</v>
      </c>
      <c r="K510" s="152">
        <f t="shared" si="94"/>
        <v>200</v>
      </c>
      <c r="L510" s="152">
        <f t="shared" si="94"/>
        <v>20</v>
      </c>
      <c r="M510" s="152">
        <f t="shared" si="95"/>
        <v>1</v>
      </c>
      <c r="N510" s="152">
        <f t="shared" si="96"/>
        <v>6</v>
      </c>
      <c r="P510" s="172">
        <f t="shared" si="97"/>
        <v>65</v>
      </c>
      <c r="AI510" s="154"/>
      <c r="AT510" s="148">
        <v>3</v>
      </c>
      <c r="AU510" s="155">
        <v>15</v>
      </c>
      <c r="AV510" s="155" t="s">
        <v>82</v>
      </c>
      <c r="AY510" s="148">
        <f t="shared" si="103"/>
        <v>1</v>
      </c>
      <c r="AZ510" s="155">
        <v>6</v>
      </c>
      <c r="BA510" s="155"/>
      <c r="BB510" s="152" t="s">
        <v>28</v>
      </c>
      <c r="BC510" s="150"/>
      <c r="BD510" s="150"/>
      <c r="BF510" s="152" t="s">
        <v>474</v>
      </c>
    </row>
    <row r="511" spans="1:58" s="152" customFormat="1" ht="14.25" x14ac:dyDescent="0.2">
      <c r="A511" s="160" t="str">
        <f t="shared" si="90"/>
        <v>A8</v>
      </c>
      <c r="B511" s="152" t="s">
        <v>658</v>
      </c>
      <c r="C511" s="160">
        <f t="shared" si="91"/>
        <v>56.05</v>
      </c>
      <c r="D511" s="160"/>
      <c r="E511" s="170" t="str">
        <f>IF(OR(A511="",B511="",C511=""),"eine der Spalten BAB, FR, km leer?",CONCATENATE(VLOOKUP(VALUE(I511),[1]Grundlage!$A$1:$B$14,2,0),IF(LEFT(A511,1)="A",IF(VALUE(MID(A511,2,10))&lt;10,"A00"&amp;VALUE(MID(A511,2,10)),IF(VALUE(MID(A511,2,10))&lt;100,"A0"&amp;VALUE(MID(A511,2,10)),IF(VALUE(MID(A511,2,10))&lt;1000,"A"&amp;VALUE(MID(A511,2,10))))),IF(LEFT(A511,1)="B",IF(VALUE(MID(A511,2,10))&lt;10,"B00"&amp;VALUE(MID(A511,2,10)),IF(VALUE(MID(A511,2,10))&lt;100,"B0"&amp;VALUE(MID(A511,2,10)),IF(VALUE(MID(A511,2,10))&lt;1000,"B"&amp;VALUE(MID(A511,2,10))))),A511)),"_",IF(NOT(OR(C511=1000,C511&gt;1000)),MID(TEXT((C511+1000)*1000,0),2,6),"keine Meter in Spalte km!!!"),IF(VALUE(I511)=1,CONCATENATE("_",VLOOKUP(IF(V511&gt;0,V511,J511),[1]Grundlage!$A$20:$B$181,2,0)),CONCATENATE("_",B511))))</f>
        <v>UQ_A008_056050_O</v>
      </c>
      <c r="F511" s="152" t="s">
        <v>29</v>
      </c>
      <c r="G511" s="171">
        <f t="shared" si="100"/>
        <v>3193</v>
      </c>
      <c r="H511" s="160">
        <f t="shared" si="101"/>
        <v>37</v>
      </c>
      <c r="I511" s="152">
        <f t="shared" si="92"/>
        <v>3</v>
      </c>
      <c r="J511" s="152">
        <f t="shared" si="93"/>
        <v>19</v>
      </c>
      <c r="K511" s="152">
        <f t="shared" si="94"/>
        <v>200</v>
      </c>
      <c r="L511" s="152">
        <f t="shared" si="94"/>
        <v>20</v>
      </c>
      <c r="M511" s="152">
        <f t="shared" si="95"/>
        <v>1</v>
      </c>
      <c r="N511" s="152">
        <f t="shared" si="96"/>
        <v>7</v>
      </c>
      <c r="P511" s="172">
        <f t="shared" si="97"/>
        <v>49</v>
      </c>
      <c r="AI511" s="154"/>
      <c r="AT511" s="148">
        <v>3</v>
      </c>
      <c r="AU511" s="155">
        <v>19</v>
      </c>
      <c r="AV511" s="155">
        <v>13</v>
      </c>
      <c r="AY511" s="148">
        <f t="shared" si="103"/>
        <v>1</v>
      </c>
      <c r="AZ511" s="155">
        <v>7</v>
      </c>
      <c r="BA511" s="155"/>
      <c r="BB511" s="152" t="s">
        <v>29</v>
      </c>
      <c r="BC511" s="150"/>
      <c r="BD511" s="150"/>
      <c r="BF511" s="152" t="s">
        <v>475</v>
      </c>
    </row>
    <row r="512" spans="1:58" s="152" customFormat="1" ht="14.25" x14ac:dyDescent="0.2">
      <c r="A512" s="160" t="str">
        <f t="shared" si="90"/>
        <v>A8</v>
      </c>
      <c r="B512" s="152" t="s">
        <v>658</v>
      </c>
      <c r="C512" s="160">
        <f t="shared" si="91"/>
        <v>56.05</v>
      </c>
      <c r="D512" s="160"/>
      <c r="E512" s="170" t="str">
        <f>IF(OR(A512="",B512="",C512=""),"eine der Spalten BAB, FR, km leer?",CONCATENATE(VLOOKUP(VALUE(I512),[1]Grundlage!$A$1:$B$14,2,0),IF(LEFT(A512,1)="A",IF(VALUE(MID(A512,2,10))&lt;10,"A00"&amp;VALUE(MID(A512,2,10)),IF(VALUE(MID(A512,2,10))&lt;100,"A0"&amp;VALUE(MID(A512,2,10)),IF(VALUE(MID(A512,2,10))&lt;1000,"A"&amp;VALUE(MID(A512,2,10))))),IF(LEFT(A512,1)="B",IF(VALUE(MID(A512,2,10))&lt;10,"B00"&amp;VALUE(MID(A512,2,10)),IF(VALUE(MID(A512,2,10))&lt;100,"B0"&amp;VALUE(MID(A512,2,10)),IF(VALUE(MID(A512,2,10))&lt;1000,"B"&amp;VALUE(MID(A512,2,10))))),A512)),"_",IF(NOT(OR(C512=1000,C512&gt;1000)),MID(TEXT((C512+1000)*1000,0),2,6),"keine Meter in Spalte km!!!"),IF(VALUE(I512)=1,CONCATENATE("_",VLOOKUP(IF(V512&gt;0,V512,J512),[1]Grundlage!$A$20:$B$181,2,0)),CONCATENATE("_",B512))))</f>
        <v>UQ_A008_056050_O</v>
      </c>
      <c r="F512" s="152" t="s">
        <v>30</v>
      </c>
      <c r="G512" s="171">
        <f t="shared" si="100"/>
        <v>3193</v>
      </c>
      <c r="H512" s="160">
        <f t="shared" si="101"/>
        <v>37</v>
      </c>
      <c r="I512" s="152">
        <f t="shared" si="92"/>
        <v>3</v>
      </c>
      <c r="J512" s="152">
        <f t="shared" si="93"/>
        <v>21</v>
      </c>
      <c r="K512" s="152">
        <f t="shared" si="94"/>
        <v>200</v>
      </c>
      <c r="L512" s="152">
        <f t="shared" si="94"/>
        <v>20</v>
      </c>
      <c r="M512" s="152">
        <f t="shared" si="95"/>
        <v>1</v>
      </c>
      <c r="N512" s="152">
        <f t="shared" si="96"/>
        <v>8</v>
      </c>
      <c r="P512" s="172">
        <f t="shared" si="97"/>
        <v>67</v>
      </c>
      <c r="AI512" s="154"/>
      <c r="AT512" s="148">
        <v>3</v>
      </c>
      <c r="AU512" s="155">
        <v>21</v>
      </c>
      <c r="AV512" s="155">
        <v>15</v>
      </c>
      <c r="AY512" s="148">
        <f t="shared" si="103"/>
        <v>1</v>
      </c>
      <c r="AZ512" s="155">
        <v>8</v>
      </c>
      <c r="BA512" s="155"/>
      <c r="BB512" s="152" t="s">
        <v>30</v>
      </c>
      <c r="BC512" s="150"/>
      <c r="BD512" s="150"/>
      <c r="BF512" s="152" t="s">
        <v>476</v>
      </c>
    </row>
    <row r="513" spans="1:58" s="152" customFormat="1" ht="14.25" x14ac:dyDescent="0.2">
      <c r="A513" s="160" t="str">
        <f t="shared" si="90"/>
        <v>A8</v>
      </c>
      <c r="B513" s="152" t="s">
        <v>658</v>
      </c>
      <c r="C513" s="160">
        <f t="shared" si="91"/>
        <v>56.05</v>
      </c>
      <c r="D513" s="160"/>
      <c r="E513" s="170" t="str">
        <f>IF(OR(A513="",B513="",C513=""),"eine der Spalten BAB, FR, km leer?",CONCATENATE(VLOOKUP(VALUE(I513),[1]Grundlage!$A$1:$B$14,2,0),IF(LEFT(A513,1)="A",IF(VALUE(MID(A513,2,10))&lt;10,"A00"&amp;VALUE(MID(A513,2,10)),IF(VALUE(MID(A513,2,10))&lt;100,"A0"&amp;VALUE(MID(A513,2,10)),IF(VALUE(MID(A513,2,10))&lt;1000,"A"&amp;VALUE(MID(A513,2,10))))),IF(LEFT(A513,1)="B",IF(VALUE(MID(A513,2,10))&lt;10,"B00"&amp;VALUE(MID(A513,2,10)),IF(VALUE(MID(A513,2,10))&lt;100,"B0"&amp;VALUE(MID(A513,2,10)),IF(VALUE(MID(A513,2,10))&lt;1000,"B"&amp;VALUE(MID(A513,2,10))))),A513)),"_",IF(NOT(OR(C513=1000,C513&gt;1000)),MID(TEXT((C513+1000)*1000,0),2,6),"keine Meter in Spalte km!!!"),IF(VALUE(I513)=1,CONCATENATE("_",VLOOKUP(IF(V513&gt;0,V513,J513),[1]Grundlage!$A$20:$B$181,2,0)),CONCATENATE("_",B513))))</f>
        <v>UQ_A008_056050_O</v>
      </c>
      <c r="F513" s="152" t="s">
        <v>41</v>
      </c>
      <c r="G513" s="171">
        <f t="shared" si="100"/>
        <v>3193</v>
      </c>
      <c r="H513" s="160">
        <f t="shared" si="101"/>
        <v>37</v>
      </c>
      <c r="I513" s="152">
        <f t="shared" si="92"/>
        <v>3</v>
      </c>
      <c r="J513" s="152">
        <f t="shared" si="93"/>
        <v>24</v>
      </c>
      <c r="K513" s="152">
        <f t="shared" si="94"/>
        <v>200</v>
      </c>
      <c r="L513" s="152">
        <f t="shared" si="94"/>
        <v>20</v>
      </c>
      <c r="M513" s="152">
        <f t="shared" si="95"/>
        <v>1</v>
      </c>
      <c r="N513" s="152">
        <f t="shared" si="96"/>
        <v>9</v>
      </c>
      <c r="P513" s="172">
        <f t="shared" si="97"/>
        <v>69</v>
      </c>
      <c r="AI513" s="154"/>
      <c r="AT513" s="148">
        <v>3</v>
      </c>
      <c r="AU513" s="155">
        <v>24</v>
      </c>
      <c r="AV513" s="155">
        <v>18</v>
      </c>
      <c r="AY513" s="148">
        <f t="shared" si="103"/>
        <v>1</v>
      </c>
      <c r="AZ513" s="155">
        <v>9</v>
      </c>
      <c r="BA513" s="155"/>
      <c r="BB513" s="152" t="s">
        <v>41</v>
      </c>
      <c r="BC513" s="150"/>
      <c r="BD513" s="150"/>
      <c r="BF513" s="152" t="s">
        <v>554</v>
      </c>
    </row>
    <row r="514" spans="1:58" s="152" customFormat="1" ht="14.25" x14ac:dyDescent="0.2">
      <c r="A514" s="160" t="str">
        <f t="shared" si="90"/>
        <v>A8</v>
      </c>
      <c r="B514" s="152" t="s">
        <v>658</v>
      </c>
      <c r="C514" s="160">
        <f t="shared" si="91"/>
        <v>56.05</v>
      </c>
      <c r="D514" s="160"/>
      <c r="E514" s="170" t="str">
        <f>IF(OR(A514="",B514="",C514=""),"eine der Spalten BAB, FR, km leer?",CONCATENATE(VLOOKUP(VALUE(I514),[1]Grundlage!$A$1:$B$14,2,0),IF(LEFT(A514,1)="A",IF(VALUE(MID(A514,2,10))&lt;10,"A00"&amp;VALUE(MID(A514,2,10)),IF(VALUE(MID(A514,2,10))&lt;100,"A0"&amp;VALUE(MID(A514,2,10)),IF(VALUE(MID(A514,2,10))&lt;1000,"A"&amp;VALUE(MID(A514,2,10))))),IF(LEFT(A514,1)="B",IF(VALUE(MID(A514,2,10))&lt;10,"B00"&amp;VALUE(MID(A514,2,10)),IF(VALUE(MID(A514,2,10))&lt;100,"B0"&amp;VALUE(MID(A514,2,10)),IF(VALUE(MID(A514,2,10))&lt;1000,"B"&amp;VALUE(MID(A514,2,10))))),A514)),"_",IF(NOT(OR(C514=1000,C514&gt;1000)),MID(TEXT((C514+1000)*1000,0),2,6),"keine Meter in Spalte km!!!"),IF(VALUE(I514)=1,CONCATENATE("_",VLOOKUP(IF(V514&gt;0,V514,J514),[1]Grundlage!$A$20:$B$181,2,0)),CONCATENATE("_",B514))))</f>
        <v>UQ_A008_056050_O</v>
      </c>
      <c r="F514" s="152" t="s">
        <v>271</v>
      </c>
      <c r="G514" s="171">
        <f t="shared" si="100"/>
        <v>3193</v>
      </c>
      <c r="H514" s="160">
        <f t="shared" si="101"/>
        <v>37</v>
      </c>
      <c r="I514" s="152">
        <f t="shared" si="92"/>
        <v>3</v>
      </c>
      <c r="J514" s="152">
        <f t="shared" si="93"/>
        <v>67</v>
      </c>
      <c r="K514" s="152">
        <f t="shared" si="94"/>
        <v>200</v>
      </c>
      <c r="L514" s="152">
        <f t="shared" si="94"/>
        <v>20</v>
      </c>
      <c r="M514" s="152">
        <f t="shared" si="95"/>
        <v>1</v>
      </c>
      <c r="N514" s="152">
        <f t="shared" si="96"/>
        <v>10</v>
      </c>
      <c r="P514" s="172">
        <f t="shared" si="97"/>
        <v>53</v>
      </c>
      <c r="AI514" s="154"/>
      <c r="AT514" s="148">
        <v>3</v>
      </c>
      <c r="AU514" s="155">
        <v>67</v>
      </c>
      <c r="AV514" s="155">
        <v>43</v>
      </c>
      <c r="AY514" s="148">
        <v>1</v>
      </c>
      <c r="AZ514" s="155">
        <v>10</v>
      </c>
      <c r="BA514" s="174"/>
      <c r="BB514" s="152" t="s">
        <v>271</v>
      </c>
      <c r="BC514" s="150"/>
      <c r="BD514" s="150"/>
      <c r="BF514" s="152" t="s">
        <v>444</v>
      </c>
    </row>
    <row r="515" spans="1:58" s="152" customFormat="1" ht="14.25" x14ac:dyDescent="0.2">
      <c r="A515" s="160" t="str">
        <f t="shared" si="90"/>
        <v>A8</v>
      </c>
      <c r="B515" s="152" t="s">
        <v>658</v>
      </c>
      <c r="C515" s="160">
        <f t="shared" si="91"/>
        <v>56.05</v>
      </c>
      <c r="D515" s="160"/>
      <c r="E515" s="170" t="str">
        <f>IF(OR(A515="",B515="",C515=""),"eine der Spalten BAB, FR, km leer?",CONCATENATE(VLOOKUP(VALUE(I515),[1]Grundlage!$A$1:$B$14,2,0),IF(LEFT(A515,1)="A",IF(VALUE(MID(A515,2,10))&lt;10,"A00"&amp;VALUE(MID(A515,2,10)),IF(VALUE(MID(A515,2,10))&lt;100,"A0"&amp;VALUE(MID(A515,2,10)),IF(VALUE(MID(A515,2,10))&lt;1000,"A"&amp;VALUE(MID(A515,2,10))))),IF(LEFT(A515,1)="B",IF(VALUE(MID(A515,2,10))&lt;10,"B00"&amp;VALUE(MID(A515,2,10)),IF(VALUE(MID(A515,2,10))&lt;100,"B0"&amp;VALUE(MID(A515,2,10)),IF(VALUE(MID(A515,2,10))&lt;1000,"B"&amp;VALUE(MID(A515,2,10))))),A515)),"_",IF(NOT(OR(C515=1000,C515&gt;1000)),MID(TEXT((C515+1000)*1000,0),2,6),"keine Meter in Spalte km!!!"),IF(VALUE(I515)=1,CONCATENATE("_",VLOOKUP(IF(V515&gt;0,V515,J515),[1]Grundlage!$A$20:$B$181,2,0)),CONCATENATE("_",B515))))</f>
        <v>UQ_A008_056050_O</v>
      </c>
      <c r="F515" s="152" t="s">
        <v>272</v>
      </c>
      <c r="G515" s="171">
        <f t="shared" si="100"/>
        <v>3193</v>
      </c>
      <c r="H515" s="160">
        <f t="shared" si="101"/>
        <v>37</v>
      </c>
      <c r="I515" s="152">
        <f t="shared" si="92"/>
        <v>3</v>
      </c>
      <c r="J515" s="152">
        <f t="shared" si="93"/>
        <v>82</v>
      </c>
      <c r="K515" s="152">
        <f t="shared" si="94"/>
        <v>200</v>
      </c>
      <c r="L515" s="152">
        <f t="shared" si="94"/>
        <v>20</v>
      </c>
      <c r="M515" s="152">
        <f t="shared" si="95"/>
        <v>1</v>
      </c>
      <c r="N515" s="152">
        <f t="shared" si="96"/>
        <v>11</v>
      </c>
      <c r="P515" s="172">
        <f t="shared" si="97"/>
        <v>72</v>
      </c>
      <c r="AI515" s="154"/>
      <c r="AT515" s="148">
        <v>3</v>
      </c>
      <c r="AU515" s="155">
        <v>82</v>
      </c>
      <c r="AV515" s="155">
        <v>52</v>
      </c>
      <c r="AY515" s="148">
        <v>1</v>
      </c>
      <c r="AZ515" s="155">
        <v>11</v>
      </c>
      <c r="BA515" s="174"/>
      <c r="BB515" s="152" t="s">
        <v>272</v>
      </c>
      <c r="BC515" s="150"/>
      <c r="BD515" s="150"/>
      <c r="BF515" s="152" t="s">
        <v>477</v>
      </c>
    </row>
    <row r="516" spans="1:58" ht="14.25" x14ac:dyDescent="0.2">
      <c r="A516" t="str">
        <f t="shared" si="90"/>
        <v>A8</v>
      </c>
      <c r="C516">
        <f t="shared" si="91"/>
        <v>56.05</v>
      </c>
      <c r="D516" t="str">
        <f t="shared" si="102"/>
        <v/>
      </c>
      <c r="E516" s="169" t="str">
        <f>IF(OR(A516="",B516="",C516=""),"",CONCATENATE(VLOOKUP(VALUE(I516),[1]Grundlage!$A$1:$B$14,2,0),IF(LEFT(A516,1)="A",IF(VALUE(MID(A516,2,10))&lt;10,"A00"&amp;VALUE(MID(A516,2,10)),IF(VALUE(MID(A516,2,10))&lt;100,"A0"&amp;VALUE(MID(A516,2,10)),IF(VALUE(MID(A516,2,10))&lt;1000,"A"&amp;VALUE(MID(A516,2,10))))),IF(LEFT(A516,1)="B",IF(VALUE(MID(A516,2,10))&lt;10,"B00"&amp;VALUE(MID(A516,2,10)),IF(VALUE(MID(A516,2,10))&lt;100,"B0"&amp;VALUE(MID(A516,2,10)),IF(VALUE(MID(A516,2,10))&lt;1000,"B"&amp;VALUE(MID(A516,2,10))))),A516)),"_",IF(NOT(OR(C516=1000,C516&gt;1000)),MID(TEXT((C516+1000)*1000,0),2,6),"keine Meter in Spalte km!!!"),IF(VALUE(I516)=1,CONCATENATE("_",VLOOKUP(IF(V516&gt;0,V516,J516),[1]Grundlage!$A$20:$B$181,2,0)),CONCATENATE("_",B516))))</f>
        <v/>
      </c>
      <c r="F516" s="2" t="s">
        <v>669</v>
      </c>
      <c r="G516" s="167">
        <f t="shared" si="100"/>
        <v>3193</v>
      </c>
      <c r="H516">
        <f t="shared" si="101"/>
        <v>37</v>
      </c>
      <c r="I516" s="2">
        <f t="shared" si="92"/>
        <v>0</v>
      </c>
      <c r="J516" s="2">
        <f t="shared" si="93"/>
        <v>0</v>
      </c>
      <c r="K516" s="2">
        <f t="shared" si="94"/>
        <v>200</v>
      </c>
      <c r="L516" s="2">
        <f t="shared" si="94"/>
        <v>20</v>
      </c>
      <c r="M516" s="2" t="str">
        <f t="shared" si="95"/>
        <v/>
      </c>
      <c r="N516" s="2" t="str">
        <f t="shared" si="96"/>
        <v/>
      </c>
      <c r="P516" s="168" t="str">
        <f t="shared" si="97"/>
        <v/>
      </c>
      <c r="AT516" s="19"/>
      <c r="AU516" s="14"/>
      <c r="AV516" s="14"/>
      <c r="AW516" s="13"/>
      <c r="AX516" s="13"/>
      <c r="AY516" s="19"/>
      <c r="AZ516" s="14"/>
      <c r="BA516" s="14"/>
      <c r="BB516" s="13"/>
    </row>
    <row r="517" spans="1:58" s="152" customFormat="1" ht="14.25" x14ac:dyDescent="0.2">
      <c r="A517" s="160" t="s">
        <v>168</v>
      </c>
      <c r="B517" s="152" t="s">
        <v>658</v>
      </c>
      <c r="C517" s="160">
        <f t="shared" si="91"/>
        <v>75.75</v>
      </c>
      <c r="D517" s="160"/>
      <c r="E517" s="170" t="str">
        <f>IF(OR(A517="",B517="",C517=""),"eine der Spalten BAB, FR, km leer?",CONCATENATE(VLOOKUP(VALUE(I517),[1]Grundlage!$A$1:$B$14,2,0),IF(LEFT(A517,1)="A",IF(VALUE(MID(A517,2,10))&lt;10,"A00"&amp;VALUE(MID(A517,2,10)),IF(VALUE(MID(A517,2,10))&lt;100,"A0"&amp;VALUE(MID(A517,2,10)),IF(VALUE(MID(A517,2,10))&lt;1000,"A"&amp;VALUE(MID(A517,2,10))))),IF(LEFT(A517,1)="B",IF(VALUE(MID(A517,2,10))&lt;10,"B00"&amp;VALUE(MID(A517,2,10)),IF(VALUE(MID(A517,2,10))&lt;100,"B0"&amp;VALUE(MID(A517,2,10)),IF(VALUE(MID(A517,2,10))&lt;1000,"B"&amp;VALUE(MID(A517,2,10))))),A517)),"_",IF(NOT(OR(C517=1000,C517&gt;1000)),MID(TEXT((C517+1000)*1000,0),2,6),"keine Meter in Spalte km!!!"),IF(VALUE(I517)=1,CONCATENATE("_",VLOOKUP(IF(V517&gt;0,V517,J517),[1]Grundlage!$A$20:$B$181,2,0)),CONCATENATE("_",B517))))</f>
        <v>SSt_A008_075750_O</v>
      </c>
      <c r="F517" s="152" t="s">
        <v>107</v>
      </c>
      <c r="G517" s="171">
        <f t="shared" si="100"/>
        <v>3154</v>
      </c>
      <c r="H517" s="160">
        <f t="shared" si="101"/>
        <v>177</v>
      </c>
      <c r="I517" s="152">
        <f t="shared" si="92"/>
        <v>0</v>
      </c>
      <c r="J517" s="152">
        <f t="shared" si="93"/>
        <v>0</v>
      </c>
      <c r="K517" s="152">
        <f t="shared" si="94"/>
        <v>202</v>
      </c>
      <c r="L517" s="152">
        <f t="shared" si="94"/>
        <v>21</v>
      </c>
      <c r="M517" s="152" t="str">
        <f t="shared" si="95"/>
        <v/>
      </c>
      <c r="N517" s="152" t="str">
        <f t="shared" si="96"/>
        <v/>
      </c>
      <c r="P517" s="172" t="str">
        <f t="shared" si="97"/>
        <v/>
      </c>
      <c r="AI517" s="173">
        <v>75.75</v>
      </c>
      <c r="AJ517" s="148" t="s">
        <v>19</v>
      </c>
      <c r="AK517" s="148" t="s">
        <v>60</v>
      </c>
      <c r="AL517" s="148"/>
      <c r="AM517" s="148"/>
      <c r="AN517" s="148"/>
      <c r="AO517" s="148"/>
      <c r="AP517" s="148">
        <v>807601</v>
      </c>
      <c r="AQ517" s="158" t="s">
        <v>79</v>
      </c>
      <c r="AR517" s="148">
        <v>52</v>
      </c>
      <c r="AS517" s="158" t="s">
        <v>221</v>
      </c>
      <c r="AT517" s="148"/>
      <c r="AU517" s="148"/>
      <c r="AV517" s="148"/>
      <c r="AW517" s="148">
        <v>202</v>
      </c>
      <c r="AX517" s="148">
        <v>21</v>
      </c>
      <c r="AY517" s="148"/>
      <c r="AZ517" s="148"/>
      <c r="BA517" s="148"/>
      <c r="BB517" s="149" t="s">
        <v>107</v>
      </c>
      <c r="BC517" s="150"/>
      <c r="BD517" s="158" t="s">
        <v>163</v>
      </c>
      <c r="BE517" s="152" t="s">
        <v>57</v>
      </c>
      <c r="BF517" s="152" t="s">
        <v>458</v>
      </c>
    </row>
    <row r="518" spans="1:58" s="152" customFormat="1" ht="14.25" x14ac:dyDescent="0.2">
      <c r="A518" s="160" t="str">
        <f t="shared" si="90"/>
        <v>A8</v>
      </c>
      <c r="B518" s="152" t="s">
        <v>658</v>
      </c>
      <c r="C518" s="160">
        <f t="shared" si="91"/>
        <v>75.75</v>
      </c>
      <c r="D518" s="160"/>
      <c r="E518" s="170" t="str">
        <f>IF(OR(A518="",B518="",C518=""),"eine der Spalten BAB, FR, km leer?",CONCATENATE(VLOOKUP(VALUE(I518),[1]Grundlage!$A$1:$B$14,2,0),IF(LEFT(A518,1)="A",IF(VALUE(MID(A518,2,10))&lt;10,"A00"&amp;VALUE(MID(A518,2,10)),IF(VALUE(MID(A518,2,10))&lt;100,"A0"&amp;VALUE(MID(A518,2,10)),IF(VALUE(MID(A518,2,10))&lt;1000,"A"&amp;VALUE(MID(A518,2,10))))),IF(LEFT(A518,1)="B",IF(VALUE(MID(A518,2,10))&lt;10,"B00"&amp;VALUE(MID(A518,2,10)),IF(VALUE(MID(A518,2,10))&lt;100,"B0"&amp;VALUE(MID(A518,2,10)),IF(VALUE(MID(A518,2,10))&lt;1000,"B"&amp;VALUE(MID(A518,2,10))))),A518)),"_",IF(NOT(OR(C518=1000,C518&gt;1000)),MID(TEXT((C518+1000)*1000,0),2,6),"keine Meter in Spalte km!!!"),IF(VALUE(I518)=1,CONCATENATE("_",VLOOKUP(IF(V518&gt;0,V518,J518),[1]Grundlage!$A$20:$B$181,2,0)),CONCATENATE("_",B518))))</f>
        <v>UQ_A008_075750_O</v>
      </c>
      <c r="F518" s="152" t="s">
        <v>269</v>
      </c>
      <c r="G518" s="171">
        <f t="shared" si="100"/>
        <v>3154</v>
      </c>
      <c r="H518" s="160">
        <f t="shared" si="101"/>
        <v>177</v>
      </c>
      <c r="I518" s="152">
        <f t="shared" si="92"/>
        <v>3</v>
      </c>
      <c r="J518" s="152">
        <f t="shared" si="93"/>
        <v>6</v>
      </c>
      <c r="K518" s="152">
        <f t="shared" si="94"/>
        <v>202</v>
      </c>
      <c r="L518" s="152">
        <f t="shared" si="94"/>
        <v>21</v>
      </c>
      <c r="M518" s="152">
        <f t="shared" si="95"/>
        <v>1</v>
      </c>
      <c r="N518" s="152">
        <f t="shared" si="96"/>
        <v>1</v>
      </c>
      <c r="P518" s="172">
        <f t="shared" si="97"/>
        <v>71</v>
      </c>
      <c r="AI518" s="154"/>
      <c r="AT518" s="148">
        <v>3</v>
      </c>
      <c r="AU518" s="155">
        <v>6</v>
      </c>
      <c r="AV518" s="156">
        <v>6</v>
      </c>
      <c r="AW518" s="148"/>
      <c r="AX518" s="148"/>
      <c r="AY518" s="148">
        <v>1</v>
      </c>
      <c r="AZ518" s="155">
        <v>1</v>
      </c>
      <c r="BA518" s="156"/>
      <c r="BB518" s="152" t="s">
        <v>269</v>
      </c>
      <c r="BC518" s="150"/>
      <c r="BD518" s="150"/>
      <c r="BF518" s="152" t="s">
        <v>440</v>
      </c>
    </row>
    <row r="519" spans="1:58" s="152" customFormat="1" ht="14.25" x14ac:dyDescent="0.2">
      <c r="A519" s="160" t="str">
        <f t="shared" si="90"/>
        <v>A8</v>
      </c>
      <c r="B519" s="152" t="s">
        <v>658</v>
      </c>
      <c r="C519" s="160">
        <f t="shared" si="91"/>
        <v>75.75</v>
      </c>
      <c r="D519" s="160"/>
      <c r="E519" s="170" t="str">
        <f>IF(OR(A519="",B519="",C519=""),"eine der Spalten BAB, FR, km leer?",CONCATENATE(VLOOKUP(VALUE(I519),[1]Grundlage!$A$1:$B$14,2,0),IF(LEFT(A519,1)="A",IF(VALUE(MID(A519,2,10))&lt;10,"A00"&amp;VALUE(MID(A519,2,10)),IF(VALUE(MID(A519,2,10))&lt;100,"A0"&amp;VALUE(MID(A519,2,10)),IF(VALUE(MID(A519,2,10))&lt;1000,"A"&amp;VALUE(MID(A519,2,10))))),IF(LEFT(A519,1)="B",IF(VALUE(MID(A519,2,10))&lt;10,"B00"&amp;VALUE(MID(A519,2,10)),IF(VALUE(MID(A519,2,10))&lt;100,"B0"&amp;VALUE(MID(A519,2,10)),IF(VALUE(MID(A519,2,10))&lt;1000,"B"&amp;VALUE(MID(A519,2,10))))),A519)),"_",IF(NOT(OR(C519=1000,C519&gt;1000)),MID(TEXT((C519+1000)*1000,0),2,6),"keine Meter in Spalte km!!!"),IF(VALUE(I519)=1,CONCATENATE("_",VLOOKUP(IF(V519&gt;0,V519,J519),[1]Grundlage!$A$20:$B$181,2,0)),CONCATENATE("_",B519))))</f>
        <v>UQ_A008_075750_O</v>
      </c>
      <c r="F519" s="152" t="s">
        <v>270</v>
      </c>
      <c r="G519" s="171">
        <f t="shared" si="100"/>
        <v>3154</v>
      </c>
      <c r="H519" s="160">
        <f t="shared" si="101"/>
        <v>177</v>
      </c>
      <c r="I519" s="152">
        <f t="shared" si="92"/>
        <v>3</v>
      </c>
      <c r="J519" s="152">
        <f t="shared" si="93"/>
        <v>11</v>
      </c>
      <c r="K519" s="152">
        <f t="shared" si="94"/>
        <v>202</v>
      </c>
      <c r="L519" s="152">
        <f t="shared" si="94"/>
        <v>21</v>
      </c>
      <c r="M519" s="152">
        <f t="shared" si="95"/>
        <v>1</v>
      </c>
      <c r="N519" s="152">
        <f t="shared" si="96"/>
        <v>2</v>
      </c>
      <c r="P519" s="172">
        <f t="shared" si="97"/>
        <v>70</v>
      </c>
      <c r="AI519" s="154"/>
      <c r="AT519" s="148">
        <v>3</v>
      </c>
      <c r="AU519" s="155">
        <v>11</v>
      </c>
      <c r="AV519" s="155" t="s">
        <v>78</v>
      </c>
      <c r="AY519" s="148">
        <f>AY518</f>
        <v>1</v>
      </c>
      <c r="AZ519" s="155">
        <v>2</v>
      </c>
      <c r="BA519" s="155"/>
      <c r="BB519" s="152" t="s">
        <v>270</v>
      </c>
      <c r="BC519" s="150"/>
      <c r="BD519" s="150"/>
      <c r="BF519" s="152" t="s">
        <v>473</v>
      </c>
    </row>
    <row r="520" spans="1:58" s="152" customFormat="1" ht="14.25" x14ac:dyDescent="0.2">
      <c r="A520" s="160" t="str">
        <f t="shared" si="90"/>
        <v>A8</v>
      </c>
      <c r="B520" s="152" t="s">
        <v>658</v>
      </c>
      <c r="C520" s="160">
        <f t="shared" si="91"/>
        <v>75.75</v>
      </c>
      <c r="D520" s="160"/>
      <c r="E520" s="170" t="str">
        <f>IF(OR(A520="",B520="",C520=""),"eine der Spalten BAB, FR, km leer?",CONCATENATE(VLOOKUP(VALUE(I520),[1]Grundlage!$A$1:$B$14,2,0),IF(LEFT(A520,1)="A",IF(VALUE(MID(A520,2,10))&lt;10,"A00"&amp;VALUE(MID(A520,2,10)),IF(VALUE(MID(A520,2,10))&lt;100,"A0"&amp;VALUE(MID(A520,2,10)),IF(VALUE(MID(A520,2,10))&lt;1000,"A"&amp;VALUE(MID(A520,2,10))))),IF(LEFT(A520,1)="B",IF(VALUE(MID(A520,2,10))&lt;10,"B00"&amp;VALUE(MID(A520,2,10)),IF(VALUE(MID(A520,2,10))&lt;100,"B0"&amp;VALUE(MID(A520,2,10)),IF(VALUE(MID(A520,2,10))&lt;1000,"B"&amp;VALUE(MID(A520,2,10))))),A520)),"_",IF(NOT(OR(C520=1000,C520&gt;1000)),MID(TEXT((C520+1000)*1000,0),2,6),"keine Meter in Spalte km!!!"),IF(VALUE(I520)=1,CONCATENATE("_",VLOOKUP(IF(V520&gt;0,V520,J520),[1]Grundlage!$A$20:$B$181,2,0)),CONCATENATE("_",B520))))</f>
        <v>UQ_A008_075750_O</v>
      </c>
      <c r="F520" s="152" t="s">
        <v>25</v>
      </c>
      <c r="G520" s="171">
        <f t="shared" si="100"/>
        <v>3154</v>
      </c>
      <c r="H520" s="160">
        <f t="shared" si="101"/>
        <v>177</v>
      </c>
      <c r="I520" s="152">
        <f t="shared" si="92"/>
        <v>3</v>
      </c>
      <c r="J520" s="152">
        <f t="shared" si="93"/>
        <v>12</v>
      </c>
      <c r="K520" s="152">
        <f t="shared" si="94"/>
        <v>202</v>
      </c>
      <c r="L520" s="152">
        <f t="shared" si="94"/>
        <v>21</v>
      </c>
      <c r="M520" s="152">
        <f t="shared" si="95"/>
        <v>1</v>
      </c>
      <c r="N520" s="152">
        <f t="shared" si="96"/>
        <v>3</v>
      </c>
      <c r="P520" s="172">
        <f t="shared" si="97"/>
        <v>48</v>
      </c>
      <c r="AI520" s="154"/>
      <c r="AT520" s="148">
        <v>3</v>
      </c>
      <c r="AU520" s="155">
        <v>12</v>
      </c>
      <c r="AV520" s="155" t="s">
        <v>79</v>
      </c>
      <c r="AY520" s="148">
        <f t="shared" ref="AY520:AY528" si="104">AY519</f>
        <v>1</v>
      </c>
      <c r="AZ520" s="155">
        <v>3</v>
      </c>
      <c r="BA520" s="155"/>
      <c r="BB520" s="152" t="s">
        <v>25</v>
      </c>
      <c r="BC520" s="150"/>
      <c r="BD520" s="150"/>
      <c r="BF520" s="152" t="s">
        <v>441</v>
      </c>
    </row>
    <row r="521" spans="1:58" s="152" customFormat="1" ht="14.25" x14ac:dyDescent="0.2">
      <c r="A521" s="160" t="str">
        <f t="shared" si="90"/>
        <v>A8</v>
      </c>
      <c r="B521" s="152" t="s">
        <v>658</v>
      </c>
      <c r="C521" s="160">
        <f t="shared" si="91"/>
        <v>75.75</v>
      </c>
      <c r="D521" s="160"/>
      <c r="E521" s="170" t="str">
        <f>IF(OR(A521="",B521="",C521=""),"eine der Spalten BAB, FR, km leer?",CONCATENATE(VLOOKUP(VALUE(I521),[1]Grundlage!$A$1:$B$14,2,0),IF(LEFT(A521,1)="A",IF(VALUE(MID(A521,2,10))&lt;10,"A00"&amp;VALUE(MID(A521,2,10)),IF(VALUE(MID(A521,2,10))&lt;100,"A0"&amp;VALUE(MID(A521,2,10)),IF(VALUE(MID(A521,2,10))&lt;1000,"A"&amp;VALUE(MID(A521,2,10))))),IF(LEFT(A521,1)="B",IF(VALUE(MID(A521,2,10))&lt;10,"B00"&amp;VALUE(MID(A521,2,10)),IF(VALUE(MID(A521,2,10))&lt;100,"B0"&amp;VALUE(MID(A521,2,10)),IF(VALUE(MID(A521,2,10))&lt;1000,"B"&amp;VALUE(MID(A521,2,10))))),A521)),"_",IF(NOT(OR(C521=1000,C521&gt;1000)),MID(TEXT((C521+1000)*1000,0),2,6),"keine Meter in Spalte km!!!"),IF(VALUE(I521)=1,CONCATENATE("_",VLOOKUP(IF(V521&gt;0,V521,J521),[1]Grundlage!$A$20:$B$181,2,0)),CONCATENATE("_",B521))))</f>
        <v>UQ_A008_075750_O</v>
      </c>
      <c r="F521" s="152" t="s">
        <v>26</v>
      </c>
      <c r="G521" s="171">
        <f t="shared" si="100"/>
        <v>3154</v>
      </c>
      <c r="H521" s="160">
        <f t="shared" si="101"/>
        <v>177</v>
      </c>
      <c r="I521" s="152">
        <f t="shared" si="92"/>
        <v>3</v>
      </c>
      <c r="J521" s="152">
        <f t="shared" si="93"/>
        <v>13</v>
      </c>
      <c r="K521" s="152">
        <f t="shared" si="94"/>
        <v>202</v>
      </c>
      <c r="L521" s="152">
        <f t="shared" si="94"/>
        <v>21</v>
      </c>
      <c r="M521" s="152">
        <f t="shared" si="95"/>
        <v>1</v>
      </c>
      <c r="N521" s="152">
        <f t="shared" si="96"/>
        <v>4</v>
      </c>
      <c r="P521" s="172">
        <f t="shared" si="97"/>
        <v>55</v>
      </c>
      <c r="AI521" s="154"/>
      <c r="AT521" s="148">
        <v>3</v>
      </c>
      <c r="AU521" s="155">
        <v>13</v>
      </c>
      <c r="AV521" s="155" t="s">
        <v>80</v>
      </c>
      <c r="AY521" s="148">
        <f t="shared" si="104"/>
        <v>1</v>
      </c>
      <c r="AZ521" s="155">
        <f t="shared" ref="AZ521:AZ530" si="105">AZ520+1</f>
        <v>4</v>
      </c>
      <c r="BA521" s="155"/>
      <c r="BB521" s="152" t="s">
        <v>26</v>
      </c>
      <c r="BC521" s="150"/>
      <c r="BD521" s="150"/>
      <c r="BF521" s="152" t="s">
        <v>442</v>
      </c>
    </row>
    <row r="522" spans="1:58" s="152" customFormat="1" ht="14.25" x14ac:dyDescent="0.2">
      <c r="A522" s="160" t="str">
        <f t="shared" ref="A522:A585" si="106">IF(ISBLANK(AK522),A521,AK522)</f>
        <v>A8</v>
      </c>
      <c r="B522" s="152" t="s">
        <v>658</v>
      </c>
      <c r="C522" s="160">
        <f t="shared" ref="C522:C585" si="107">IF(ISBLANK(AI522),C521,AI522)</f>
        <v>75.75</v>
      </c>
      <c r="D522" s="160"/>
      <c r="E522" s="170" t="str">
        <f>IF(OR(A522="",B522="",C522=""),"eine der Spalten BAB, FR, km leer?",CONCATENATE(VLOOKUP(VALUE(I522),[1]Grundlage!$A$1:$B$14,2,0),IF(LEFT(A522,1)="A",IF(VALUE(MID(A522,2,10))&lt;10,"A00"&amp;VALUE(MID(A522,2,10)),IF(VALUE(MID(A522,2,10))&lt;100,"A0"&amp;VALUE(MID(A522,2,10)),IF(VALUE(MID(A522,2,10))&lt;1000,"A"&amp;VALUE(MID(A522,2,10))))),IF(LEFT(A522,1)="B",IF(VALUE(MID(A522,2,10))&lt;10,"B00"&amp;VALUE(MID(A522,2,10)),IF(VALUE(MID(A522,2,10))&lt;100,"B0"&amp;VALUE(MID(A522,2,10)),IF(VALUE(MID(A522,2,10))&lt;1000,"B"&amp;VALUE(MID(A522,2,10))))),A522)),"_",IF(NOT(OR(C522=1000,C522&gt;1000)),MID(TEXT((C522+1000)*1000,0),2,6),"keine Meter in Spalte km!!!"),IF(VALUE(I522)=1,CONCATENATE("_",VLOOKUP(IF(V522&gt;0,V522,J522),[1]Grundlage!$A$20:$B$181,2,0)),CONCATENATE("_",B522))))</f>
        <v>UQ_A008_075750_O</v>
      </c>
      <c r="F522" s="152" t="s">
        <v>27</v>
      </c>
      <c r="G522" s="171">
        <f t="shared" si="100"/>
        <v>3154</v>
      </c>
      <c r="H522" s="160">
        <f t="shared" si="101"/>
        <v>177</v>
      </c>
      <c r="I522" s="152">
        <f t="shared" ref="I522:I585" si="108">IF(D522="SS",254,AT522)</f>
        <v>3</v>
      </c>
      <c r="J522" s="152">
        <f t="shared" ref="J522:J585" si="109">IF(D522="SS",0,AU522)</f>
        <v>14</v>
      </c>
      <c r="K522" s="152">
        <f t="shared" ref="K522:K559" si="110">IF(ISBLANK(AW522),K521,AW522)</f>
        <v>202</v>
      </c>
      <c r="L522" s="152">
        <f t="shared" ref="L522:L585" si="111">IF(ISBLANK(AX522),L521,AX522)</f>
        <v>21</v>
      </c>
      <c r="M522" s="152">
        <f t="shared" ref="M522:M585" si="112">IF(ISBLANK(AY522),"",AY522)</f>
        <v>1</v>
      </c>
      <c r="N522" s="152">
        <f t="shared" ref="N522:N585" si="113">IF(ISBLANK(AZ522),"",AZ522)</f>
        <v>5</v>
      </c>
      <c r="P522" s="172">
        <f t="shared" si="97"/>
        <v>66</v>
      </c>
      <c r="AI522" s="154"/>
      <c r="AT522" s="148">
        <v>3</v>
      </c>
      <c r="AU522" s="155">
        <v>14</v>
      </c>
      <c r="AV522" s="155" t="s">
        <v>81</v>
      </c>
      <c r="AY522" s="148">
        <f t="shared" si="104"/>
        <v>1</v>
      </c>
      <c r="AZ522" s="155">
        <f t="shared" si="105"/>
        <v>5</v>
      </c>
      <c r="BA522" s="155"/>
      <c r="BB522" s="152" t="s">
        <v>27</v>
      </c>
      <c r="BC522" s="150"/>
      <c r="BD522" s="150"/>
      <c r="BF522" s="152" t="s">
        <v>443</v>
      </c>
    </row>
    <row r="523" spans="1:58" s="152" customFormat="1" ht="14.25" x14ac:dyDescent="0.2">
      <c r="A523" s="160" t="str">
        <f t="shared" si="106"/>
        <v>A8</v>
      </c>
      <c r="B523" s="152" t="s">
        <v>658</v>
      </c>
      <c r="C523" s="160">
        <f t="shared" si="107"/>
        <v>75.75</v>
      </c>
      <c r="D523" s="160"/>
      <c r="E523" s="170" t="str">
        <f>IF(OR(A523="",B523="",C523=""),"eine der Spalten BAB, FR, km leer?",CONCATENATE(VLOOKUP(VALUE(I523),[1]Grundlage!$A$1:$B$14,2,0),IF(LEFT(A523,1)="A",IF(VALUE(MID(A523,2,10))&lt;10,"A00"&amp;VALUE(MID(A523,2,10)),IF(VALUE(MID(A523,2,10))&lt;100,"A0"&amp;VALUE(MID(A523,2,10)),IF(VALUE(MID(A523,2,10))&lt;1000,"A"&amp;VALUE(MID(A523,2,10))))),IF(LEFT(A523,1)="B",IF(VALUE(MID(A523,2,10))&lt;10,"B00"&amp;VALUE(MID(A523,2,10)),IF(VALUE(MID(A523,2,10))&lt;100,"B0"&amp;VALUE(MID(A523,2,10)),IF(VALUE(MID(A523,2,10))&lt;1000,"B"&amp;VALUE(MID(A523,2,10))))),A523)),"_",IF(NOT(OR(C523=1000,C523&gt;1000)),MID(TEXT((C523+1000)*1000,0),2,6),"keine Meter in Spalte km!!!"),IF(VALUE(I523)=1,CONCATENATE("_",VLOOKUP(IF(V523&gt;0,V523,J523),[1]Grundlage!$A$20:$B$181,2,0)),CONCATENATE("_",B523))))</f>
        <v>UQ_A008_075750_O</v>
      </c>
      <c r="F523" s="152" t="s">
        <v>28</v>
      </c>
      <c r="G523" s="171">
        <f t="shared" si="100"/>
        <v>3154</v>
      </c>
      <c r="H523" s="160">
        <f t="shared" si="101"/>
        <v>177</v>
      </c>
      <c r="I523" s="152">
        <f t="shared" si="108"/>
        <v>3</v>
      </c>
      <c r="J523" s="152">
        <f t="shared" si="109"/>
        <v>15</v>
      </c>
      <c r="K523" s="152">
        <f t="shared" si="110"/>
        <v>202</v>
      </c>
      <c r="L523" s="152">
        <f t="shared" si="111"/>
        <v>21</v>
      </c>
      <c r="M523" s="152">
        <f t="shared" si="112"/>
        <v>1</v>
      </c>
      <c r="N523" s="152">
        <f t="shared" si="113"/>
        <v>6</v>
      </c>
      <c r="P523" s="172">
        <f t="shared" ref="P523:P586" si="114">IF(AT523&lt;&gt;3,"",IF(BB523="Helligkeitssensor",61,IF(BB523="Helligkeit",61,IF(BB524="Lichtsensor",61,IF(BB523="Lufttemperatur",48,IF(BB523="Niederschlagsart",71,IF(BB523="Niederschlagsintensität",53,IF(BB523="relative Luftfeuchte RLF",55,IF(BB523="Sichtweite",60,IF(BB523="Sichtweite 1",60,IF(BB523="Zustand der Fahrbahnoberfläche FBZ",79,IF(BB523="Wasserfilmdicke WFD",72,IF(BB523="Clusterkanal FG3","",IF(BB523="Gefriertemperatur GT",65,IF(BB523="Fahrbahnoberflächentemperatur FBT",49,VALUE(RIGHT(BB523,2)))))))))))))))))</f>
        <v>65</v>
      </c>
      <c r="AI523" s="154"/>
      <c r="AT523" s="148">
        <v>3</v>
      </c>
      <c r="AU523" s="155">
        <v>15</v>
      </c>
      <c r="AV523" s="155" t="s">
        <v>82</v>
      </c>
      <c r="AY523" s="148">
        <f t="shared" si="104"/>
        <v>1</v>
      </c>
      <c r="AZ523" s="155">
        <f t="shared" si="105"/>
        <v>6</v>
      </c>
      <c r="BA523" s="155"/>
      <c r="BB523" s="152" t="s">
        <v>28</v>
      </c>
      <c r="BC523" s="150"/>
      <c r="BD523" s="150"/>
      <c r="BF523" s="152" t="s">
        <v>474</v>
      </c>
    </row>
    <row r="524" spans="1:58" s="152" customFormat="1" ht="14.25" x14ac:dyDescent="0.2">
      <c r="A524" s="160" t="str">
        <f t="shared" si="106"/>
        <v>A8</v>
      </c>
      <c r="B524" s="152" t="s">
        <v>658</v>
      </c>
      <c r="C524" s="160">
        <f t="shared" si="107"/>
        <v>75.75</v>
      </c>
      <c r="D524" s="160"/>
      <c r="E524" s="170" t="str">
        <f>IF(OR(A524="",B524="",C524=""),"eine der Spalten BAB, FR, km leer?",CONCATENATE(VLOOKUP(VALUE(I524),[1]Grundlage!$A$1:$B$14,2,0),IF(LEFT(A524,1)="A",IF(VALUE(MID(A524,2,10))&lt;10,"A00"&amp;VALUE(MID(A524,2,10)),IF(VALUE(MID(A524,2,10))&lt;100,"A0"&amp;VALUE(MID(A524,2,10)),IF(VALUE(MID(A524,2,10))&lt;1000,"A"&amp;VALUE(MID(A524,2,10))))),IF(LEFT(A524,1)="B",IF(VALUE(MID(A524,2,10))&lt;10,"B00"&amp;VALUE(MID(A524,2,10)),IF(VALUE(MID(A524,2,10))&lt;100,"B0"&amp;VALUE(MID(A524,2,10)),IF(VALUE(MID(A524,2,10))&lt;1000,"B"&amp;VALUE(MID(A524,2,10))))),A524)),"_",IF(NOT(OR(C524=1000,C524&gt;1000)),MID(TEXT((C524+1000)*1000,0),2,6),"keine Meter in Spalte km!!!"),IF(VALUE(I524)=1,CONCATENATE("_",VLOOKUP(IF(V524&gt;0,V524,J524),[1]Grundlage!$A$20:$B$181,2,0)),CONCATENATE("_",B524))))</f>
        <v>UQ_A008_075750_O</v>
      </c>
      <c r="F524" s="152" t="s">
        <v>29</v>
      </c>
      <c r="G524" s="171">
        <f t="shared" si="100"/>
        <v>3154</v>
      </c>
      <c r="H524" s="160">
        <f t="shared" si="101"/>
        <v>177</v>
      </c>
      <c r="I524" s="152">
        <f t="shared" si="108"/>
        <v>3</v>
      </c>
      <c r="J524" s="152">
        <f t="shared" si="109"/>
        <v>19</v>
      </c>
      <c r="K524" s="152">
        <f t="shared" si="110"/>
        <v>202</v>
      </c>
      <c r="L524" s="152">
        <f t="shared" si="111"/>
        <v>21</v>
      </c>
      <c r="M524" s="152">
        <f t="shared" si="112"/>
        <v>1</v>
      </c>
      <c r="N524" s="152">
        <f t="shared" si="113"/>
        <v>7</v>
      </c>
      <c r="P524" s="172">
        <f t="shared" si="114"/>
        <v>49</v>
      </c>
      <c r="AI524" s="154"/>
      <c r="AT524" s="148">
        <v>3</v>
      </c>
      <c r="AU524" s="155">
        <v>19</v>
      </c>
      <c r="AV524" s="155">
        <v>13</v>
      </c>
      <c r="AY524" s="148">
        <f t="shared" si="104"/>
        <v>1</v>
      </c>
      <c r="AZ524" s="155">
        <f t="shared" si="105"/>
        <v>7</v>
      </c>
      <c r="BA524" s="155"/>
      <c r="BB524" s="152" t="s">
        <v>29</v>
      </c>
      <c r="BC524" s="150"/>
      <c r="BD524" s="150"/>
      <c r="BF524" s="152" t="s">
        <v>475</v>
      </c>
    </row>
    <row r="525" spans="1:58" s="152" customFormat="1" ht="14.25" x14ac:dyDescent="0.2">
      <c r="A525" s="160" t="str">
        <f t="shared" si="106"/>
        <v>A8</v>
      </c>
      <c r="B525" s="152" t="s">
        <v>658</v>
      </c>
      <c r="C525" s="160">
        <f t="shared" si="107"/>
        <v>75.75</v>
      </c>
      <c r="D525" s="160"/>
      <c r="E525" s="170" t="str">
        <f>IF(OR(A525="",B525="",C525=""),"eine der Spalten BAB, FR, km leer?",CONCATENATE(VLOOKUP(VALUE(I525),[1]Grundlage!$A$1:$B$14,2,0),IF(LEFT(A525,1)="A",IF(VALUE(MID(A525,2,10))&lt;10,"A00"&amp;VALUE(MID(A525,2,10)),IF(VALUE(MID(A525,2,10))&lt;100,"A0"&amp;VALUE(MID(A525,2,10)),IF(VALUE(MID(A525,2,10))&lt;1000,"A"&amp;VALUE(MID(A525,2,10))))),IF(LEFT(A525,1)="B",IF(VALUE(MID(A525,2,10))&lt;10,"B00"&amp;VALUE(MID(A525,2,10)),IF(VALUE(MID(A525,2,10))&lt;100,"B0"&amp;VALUE(MID(A525,2,10)),IF(VALUE(MID(A525,2,10))&lt;1000,"B"&amp;VALUE(MID(A525,2,10))))),A525)),"_",IF(NOT(OR(C525=1000,C525&gt;1000)),MID(TEXT((C525+1000)*1000,0),2,6),"keine Meter in Spalte km!!!"),IF(VALUE(I525)=1,CONCATENATE("_",VLOOKUP(IF(V525&gt;0,V525,J525),[1]Grundlage!$A$20:$B$181,2,0)),CONCATENATE("_",B525))))</f>
        <v>UQ_A008_075750_O</v>
      </c>
      <c r="F525" s="152" t="s">
        <v>30</v>
      </c>
      <c r="G525" s="171">
        <f t="shared" si="100"/>
        <v>3154</v>
      </c>
      <c r="H525" s="160">
        <f t="shared" si="101"/>
        <v>177</v>
      </c>
      <c r="I525" s="152">
        <f t="shared" si="108"/>
        <v>3</v>
      </c>
      <c r="J525" s="152">
        <f t="shared" si="109"/>
        <v>21</v>
      </c>
      <c r="K525" s="152">
        <f t="shared" si="110"/>
        <v>202</v>
      </c>
      <c r="L525" s="152">
        <f t="shared" si="111"/>
        <v>21</v>
      </c>
      <c r="M525" s="152">
        <f t="shared" si="112"/>
        <v>1</v>
      </c>
      <c r="N525" s="152">
        <f t="shared" si="113"/>
        <v>8</v>
      </c>
      <c r="P525" s="172">
        <f t="shared" si="114"/>
        <v>67</v>
      </c>
      <c r="AI525" s="154"/>
      <c r="AT525" s="148">
        <v>3</v>
      </c>
      <c r="AU525" s="155">
        <v>21</v>
      </c>
      <c r="AV525" s="155">
        <v>15</v>
      </c>
      <c r="AY525" s="148">
        <f t="shared" si="104"/>
        <v>1</v>
      </c>
      <c r="AZ525" s="155">
        <f t="shared" si="105"/>
        <v>8</v>
      </c>
      <c r="BA525" s="155"/>
      <c r="BB525" s="152" t="s">
        <v>30</v>
      </c>
      <c r="BC525" s="150"/>
      <c r="BD525" s="150"/>
      <c r="BF525" s="152" t="s">
        <v>476</v>
      </c>
    </row>
    <row r="526" spans="1:58" s="152" customFormat="1" ht="14.25" x14ac:dyDescent="0.2">
      <c r="A526" s="160" t="str">
        <f t="shared" si="106"/>
        <v>A8</v>
      </c>
      <c r="B526" s="152" t="s">
        <v>658</v>
      </c>
      <c r="C526" s="160">
        <f t="shared" si="107"/>
        <v>75.75</v>
      </c>
      <c r="D526" s="160"/>
      <c r="E526" s="170" t="str">
        <f>IF(OR(A526="",B526="",C526=""),"eine der Spalten BAB, FR, km leer?",CONCATENATE(VLOOKUP(VALUE(I526),[1]Grundlage!$A$1:$B$14,2,0),IF(LEFT(A526,1)="A",IF(VALUE(MID(A526,2,10))&lt;10,"A00"&amp;VALUE(MID(A526,2,10)),IF(VALUE(MID(A526,2,10))&lt;100,"A0"&amp;VALUE(MID(A526,2,10)),IF(VALUE(MID(A526,2,10))&lt;1000,"A"&amp;VALUE(MID(A526,2,10))))),IF(LEFT(A526,1)="B",IF(VALUE(MID(A526,2,10))&lt;10,"B00"&amp;VALUE(MID(A526,2,10)),IF(VALUE(MID(A526,2,10))&lt;100,"B0"&amp;VALUE(MID(A526,2,10)),IF(VALUE(MID(A526,2,10))&lt;1000,"B"&amp;VALUE(MID(A526,2,10))))),A526)),"_",IF(NOT(OR(C526=1000,C526&gt;1000)),MID(TEXT((C526+1000)*1000,0),2,6),"keine Meter in Spalte km!!!"),IF(VALUE(I526)=1,CONCATENATE("_",VLOOKUP(IF(V526&gt;0,V526,J526),[1]Grundlage!$A$20:$B$181,2,0)),CONCATENATE("_",B526))))</f>
        <v>UQ_A008_075750_O</v>
      </c>
      <c r="F526" s="152" t="s">
        <v>41</v>
      </c>
      <c r="G526" s="171">
        <f t="shared" si="100"/>
        <v>3154</v>
      </c>
      <c r="H526" s="160">
        <f t="shared" si="101"/>
        <v>177</v>
      </c>
      <c r="I526" s="152">
        <f t="shared" si="108"/>
        <v>3</v>
      </c>
      <c r="J526" s="152">
        <f t="shared" si="109"/>
        <v>24</v>
      </c>
      <c r="K526" s="152">
        <f t="shared" si="110"/>
        <v>202</v>
      </c>
      <c r="L526" s="152">
        <f t="shared" si="111"/>
        <v>21</v>
      </c>
      <c r="M526" s="152">
        <f t="shared" si="112"/>
        <v>1</v>
      </c>
      <c r="N526" s="152">
        <f t="shared" si="113"/>
        <v>9</v>
      </c>
      <c r="P526" s="172">
        <f t="shared" si="114"/>
        <v>69</v>
      </c>
      <c r="AI526" s="154"/>
      <c r="AT526" s="148">
        <v>3</v>
      </c>
      <c r="AU526" s="155">
        <v>24</v>
      </c>
      <c r="AV526" s="155">
        <v>18</v>
      </c>
      <c r="AY526" s="148">
        <f t="shared" si="104"/>
        <v>1</v>
      </c>
      <c r="AZ526" s="155">
        <f t="shared" si="105"/>
        <v>9</v>
      </c>
      <c r="BA526" s="155"/>
      <c r="BB526" s="152" t="s">
        <v>41</v>
      </c>
      <c r="BC526" s="150"/>
      <c r="BD526" s="150"/>
      <c r="BF526" s="152" t="s">
        <v>554</v>
      </c>
    </row>
    <row r="527" spans="1:58" s="152" customFormat="1" ht="14.25" x14ac:dyDescent="0.2">
      <c r="A527" s="160" t="str">
        <f t="shared" si="106"/>
        <v>A8</v>
      </c>
      <c r="B527" s="152" t="s">
        <v>658</v>
      </c>
      <c r="C527" s="160">
        <f t="shared" si="107"/>
        <v>75.75</v>
      </c>
      <c r="D527" s="160"/>
      <c r="E527" s="170" t="str">
        <f>IF(OR(A527="",B527="",C527=""),"eine der Spalten BAB, FR, km leer?",CONCATENATE(VLOOKUP(VALUE(I527),[1]Grundlage!$A$1:$B$14,2,0),IF(LEFT(A527,1)="A",IF(VALUE(MID(A527,2,10))&lt;10,"A00"&amp;VALUE(MID(A527,2,10)),IF(VALUE(MID(A527,2,10))&lt;100,"A0"&amp;VALUE(MID(A527,2,10)),IF(VALUE(MID(A527,2,10))&lt;1000,"A"&amp;VALUE(MID(A527,2,10))))),IF(LEFT(A527,1)="B",IF(VALUE(MID(A527,2,10))&lt;10,"B00"&amp;VALUE(MID(A527,2,10)),IF(VALUE(MID(A527,2,10))&lt;100,"B0"&amp;VALUE(MID(A527,2,10)),IF(VALUE(MID(A527,2,10))&lt;1000,"B"&amp;VALUE(MID(A527,2,10))))),A527)),"_",IF(NOT(OR(C527=1000,C527&gt;1000)),MID(TEXT((C527+1000)*1000,0),2,6),"keine Meter in Spalte km!!!"),IF(VALUE(I527)=1,CONCATENATE("_",VLOOKUP(IF(V527&gt;0,V527,J527),[1]Grundlage!$A$20:$B$181,2,0)),CONCATENATE("_",B527))))</f>
        <v>UQ_A008_075750_O</v>
      </c>
      <c r="F527" s="152" t="s">
        <v>42</v>
      </c>
      <c r="G527" s="171">
        <f t="shared" si="100"/>
        <v>3154</v>
      </c>
      <c r="H527" s="160">
        <f t="shared" si="101"/>
        <v>177</v>
      </c>
      <c r="I527" s="152">
        <f t="shared" si="108"/>
        <v>3</v>
      </c>
      <c r="J527" s="152">
        <f t="shared" si="109"/>
        <v>25</v>
      </c>
      <c r="K527" s="152">
        <f t="shared" si="110"/>
        <v>202</v>
      </c>
      <c r="L527" s="152">
        <f t="shared" si="111"/>
        <v>21</v>
      </c>
      <c r="M527" s="152">
        <f t="shared" si="112"/>
        <v>1</v>
      </c>
      <c r="N527" s="152">
        <f t="shared" si="113"/>
        <v>10</v>
      </c>
      <c r="P527" s="172">
        <f>IF(AT527&lt;&gt;3,"",IF(BB527="Helligkeitssensor",61,IF(BB527="Helligkeit",61,IF(BB528="Lichtsensor",61,IF(BB527="Lufttemperatur",48,IF(BB527="Niederschlagsart",71,IF(BB527="Niederschlagsintensität",53,IF(BB527="relative Luftfeuchte RLF",55,IF(BB527="Sichtweite",60,IF(BB527="Sichtweite 1",60,IF(BB527="Zustand der Fahrbahnoberfläche FBZ",79,IF(BB527="Wasserfilmdicke WFD",72,IF(BB527="Clusterkanal FG3","",IF(BB527="Gefriertemperatur GT",65,IF(BB527="Fahrbahnoberflächentemperatur FBT",49,IF(BB527="Windrichtung  Typ 56 ",56,VALUE(RIGHT(BB527,2))))))))))))))))))</f>
        <v>56</v>
      </c>
      <c r="AI527" s="154"/>
      <c r="AT527" s="148">
        <v>3</v>
      </c>
      <c r="AU527" s="155">
        <v>25</v>
      </c>
      <c r="AV527" s="155">
        <v>19</v>
      </c>
      <c r="AY527" s="148">
        <f t="shared" si="104"/>
        <v>1</v>
      </c>
      <c r="AZ527" s="155">
        <f t="shared" si="105"/>
        <v>10</v>
      </c>
      <c r="BA527" s="155"/>
      <c r="BB527" s="152" t="s">
        <v>42</v>
      </c>
      <c r="BC527" s="150"/>
      <c r="BD527" s="150"/>
      <c r="BF527" s="152" t="s">
        <v>515</v>
      </c>
    </row>
    <row r="528" spans="1:58" s="152" customFormat="1" ht="14.25" x14ac:dyDescent="0.2">
      <c r="A528" s="160" t="str">
        <f t="shared" si="106"/>
        <v>A8</v>
      </c>
      <c r="B528" s="152" t="s">
        <v>658</v>
      </c>
      <c r="C528" s="160">
        <f t="shared" si="107"/>
        <v>75.75</v>
      </c>
      <c r="D528" s="160"/>
      <c r="E528" s="170" t="str">
        <f>IF(OR(A528="",B528="",C528=""),"eine der Spalten BAB, FR, km leer?",CONCATENATE(VLOOKUP(VALUE(I528),[1]Grundlage!$A$1:$B$14,2,0),IF(LEFT(A528,1)="A",IF(VALUE(MID(A528,2,10))&lt;10,"A00"&amp;VALUE(MID(A528,2,10)),IF(VALUE(MID(A528,2,10))&lt;100,"A0"&amp;VALUE(MID(A528,2,10)),IF(VALUE(MID(A528,2,10))&lt;1000,"A"&amp;VALUE(MID(A528,2,10))))),IF(LEFT(A528,1)="B",IF(VALUE(MID(A528,2,10))&lt;10,"B00"&amp;VALUE(MID(A528,2,10)),IF(VALUE(MID(A528,2,10))&lt;100,"B0"&amp;VALUE(MID(A528,2,10)),IF(VALUE(MID(A528,2,10))&lt;1000,"B"&amp;VALUE(MID(A528,2,10))))),A528)),"_",IF(NOT(OR(C528=1000,C528&gt;1000)),MID(TEXT((C528+1000)*1000,0),2,6),"keine Meter in Spalte km!!!"),IF(VALUE(I528)=1,CONCATENATE("_",VLOOKUP(IF(V528&gt;0,V528,J528),[1]Grundlage!$A$20:$B$181,2,0)),CONCATENATE("_",B528))))</f>
        <v>UQ_A008_075750_O</v>
      </c>
      <c r="F528" s="152" t="s">
        <v>43</v>
      </c>
      <c r="G528" s="171">
        <f t="shared" si="100"/>
        <v>3154</v>
      </c>
      <c r="H528" s="160">
        <f t="shared" si="101"/>
        <v>177</v>
      </c>
      <c r="I528" s="152">
        <f t="shared" si="108"/>
        <v>3</v>
      </c>
      <c r="J528" s="152">
        <f t="shared" si="109"/>
        <v>26</v>
      </c>
      <c r="K528" s="152">
        <f t="shared" si="110"/>
        <v>202</v>
      </c>
      <c r="L528" s="152">
        <f t="shared" si="111"/>
        <v>21</v>
      </c>
      <c r="M528" s="152">
        <f t="shared" si="112"/>
        <v>1</v>
      </c>
      <c r="N528" s="152">
        <f t="shared" si="113"/>
        <v>11</v>
      </c>
      <c r="P528" s="172">
        <f t="shared" si="114"/>
        <v>57</v>
      </c>
      <c r="AI528" s="154"/>
      <c r="AT528" s="148">
        <v>3</v>
      </c>
      <c r="AU528" s="155">
        <v>26</v>
      </c>
      <c r="AV528" s="155" t="s">
        <v>86</v>
      </c>
      <c r="AY528" s="148">
        <f t="shared" si="104"/>
        <v>1</v>
      </c>
      <c r="AZ528" s="155">
        <f t="shared" si="105"/>
        <v>11</v>
      </c>
      <c r="BA528" s="155"/>
      <c r="BB528" s="152" t="s">
        <v>43</v>
      </c>
      <c r="BC528" s="150"/>
      <c r="BD528" s="150"/>
      <c r="BF528" s="152" t="s">
        <v>446</v>
      </c>
    </row>
    <row r="529" spans="1:58" s="152" customFormat="1" ht="14.25" x14ac:dyDescent="0.2">
      <c r="A529" s="160" t="str">
        <f t="shared" si="106"/>
        <v>A8</v>
      </c>
      <c r="B529" s="152" t="s">
        <v>658</v>
      </c>
      <c r="C529" s="160">
        <f t="shared" si="107"/>
        <v>75.75</v>
      </c>
      <c r="D529" s="160"/>
      <c r="E529" s="170" t="str">
        <f>IF(OR(A529="",B529="",C529=""),"eine der Spalten BAB, FR, km leer?",CONCATENATE(VLOOKUP(VALUE(I529),[1]Grundlage!$A$1:$B$14,2,0),IF(LEFT(A529,1)="A",IF(VALUE(MID(A529,2,10))&lt;10,"A00"&amp;VALUE(MID(A529,2,10)),IF(VALUE(MID(A529,2,10))&lt;100,"A0"&amp;VALUE(MID(A529,2,10)),IF(VALUE(MID(A529,2,10))&lt;1000,"A"&amp;VALUE(MID(A529,2,10))))),IF(LEFT(A529,1)="B",IF(VALUE(MID(A529,2,10))&lt;10,"B00"&amp;VALUE(MID(A529,2,10)),IF(VALUE(MID(A529,2,10))&lt;100,"B0"&amp;VALUE(MID(A529,2,10)),IF(VALUE(MID(A529,2,10))&lt;1000,"B"&amp;VALUE(MID(A529,2,10))))),A529)),"_",IF(NOT(OR(C529=1000,C529&gt;1000)),MID(TEXT((C529+1000)*1000,0),2,6),"keine Meter in Spalte km!!!"),IF(VALUE(I529)=1,CONCATENATE("_",VLOOKUP(IF(V529&gt;0,V529,J529),[1]Grundlage!$A$20:$B$181,2,0)),CONCATENATE("_",B529))))</f>
        <v>UQ_A008_075750_O</v>
      </c>
      <c r="F529" s="152" t="s">
        <v>271</v>
      </c>
      <c r="G529" s="171">
        <f t="shared" si="100"/>
        <v>3154</v>
      </c>
      <c r="H529" s="160">
        <f t="shared" si="101"/>
        <v>177</v>
      </c>
      <c r="I529" s="152">
        <f t="shared" si="108"/>
        <v>3</v>
      </c>
      <c r="J529" s="152">
        <f t="shared" si="109"/>
        <v>67</v>
      </c>
      <c r="K529" s="152">
        <f t="shared" si="110"/>
        <v>202</v>
      </c>
      <c r="L529" s="152">
        <f t="shared" si="111"/>
        <v>21</v>
      </c>
      <c r="M529" s="152">
        <f t="shared" si="112"/>
        <v>1</v>
      </c>
      <c r="N529" s="152">
        <f t="shared" si="113"/>
        <v>12</v>
      </c>
      <c r="P529" s="172">
        <f t="shared" si="114"/>
        <v>53</v>
      </c>
      <c r="AI529" s="154"/>
      <c r="AT529" s="148">
        <v>3</v>
      </c>
      <c r="AU529" s="155">
        <v>67</v>
      </c>
      <c r="AV529" s="155">
        <v>43</v>
      </c>
      <c r="AY529" s="148">
        <v>1</v>
      </c>
      <c r="AZ529" s="155">
        <f t="shared" si="105"/>
        <v>12</v>
      </c>
      <c r="BA529" s="174"/>
      <c r="BB529" s="152" t="s">
        <v>271</v>
      </c>
      <c r="BC529" s="150"/>
      <c r="BD529" s="150"/>
      <c r="BF529" s="152" t="s">
        <v>444</v>
      </c>
    </row>
    <row r="530" spans="1:58" s="152" customFormat="1" ht="14.25" x14ac:dyDescent="0.2">
      <c r="A530" s="160" t="str">
        <f t="shared" si="106"/>
        <v>A8</v>
      </c>
      <c r="B530" s="152" t="s">
        <v>658</v>
      </c>
      <c r="C530" s="160">
        <f t="shared" si="107"/>
        <v>75.75</v>
      </c>
      <c r="D530" s="160"/>
      <c r="E530" s="170" t="str">
        <f>IF(OR(A530="",B530="",C530=""),"eine der Spalten BAB, FR, km leer?",CONCATENATE(VLOOKUP(VALUE(I530),[1]Grundlage!$A$1:$B$14,2,0),IF(LEFT(A530,1)="A",IF(VALUE(MID(A530,2,10))&lt;10,"A00"&amp;VALUE(MID(A530,2,10)),IF(VALUE(MID(A530,2,10))&lt;100,"A0"&amp;VALUE(MID(A530,2,10)),IF(VALUE(MID(A530,2,10))&lt;1000,"A"&amp;VALUE(MID(A530,2,10))))),IF(LEFT(A530,1)="B",IF(VALUE(MID(A530,2,10))&lt;10,"B00"&amp;VALUE(MID(A530,2,10)),IF(VALUE(MID(A530,2,10))&lt;100,"B0"&amp;VALUE(MID(A530,2,10)),IF(VALUE(MID(A530,2,10))&lt;1000,"B"&amp;VALUE(MID(A530,2,10))))),A530)),"_",IF(NOT(OR(C530=1000,C530&gt;1000)),MID(TEXT((C530+1000)*1000,0),2,6),"keine Meter in Spalte km!!!"),IF(VALUE(I530)=1,CONCATENATE("_",VLOOKUP(IF(V530&gt;0,V530,J530),[1]Grundlage!$A$20:$B$181,2,0)),CONCATENATE("_",B530))))</f>
        <v>UQ_A008_075750_O</v>
      </c>
      <c r="F530" s="152" t="s">
        <v>272</v>
      </c>
      <c r="G530" s="171">
        <f t="shared" si="100"/>
        <v>3154</v>
      </c>
      <c r="H530" s="160">
        <f t="shared" si="101"/>
        <v>177</v>
      </c>
      <c r="I530" s="152">
        <f t="shared" si="108"/>
        <v>3</v>
      </c>
      <c r="J530" s="152">
        <f t="shared" si="109"/>
        <v>82</v>
      </c>
      <c r="K530" s="152">
        <f t="shared" si="110"/>
        <v>202</v>
      </c>
      <c r="L530" s="152">
        <f t="shared" si="111"/>
        <v>21</v>
      </c>
      <c r="M530" s="152">
        <f t="shared" si="112"/>
        <v>1</v>
      </c>
      <c r="N530" s="152">
        <f t="shared" si="113"/>
        <v>13</v>
      </c>
      <c r="P530" s="172">
        <f t="shared" si="114"/>
        <v>72</v>
      </c>
      <c r="AI530" s="154"/>
      <c r="AT530" s="148">
        <v>3</v>
      </c>
      <c r="AU530" s="155">
        <v>82</v>
      </c>
      <c r="AV530" s="155">
        <v>52</v>
      </c>
      <c r="AY530" s="148">
        <v>1</v>
      </c>
      <c r="AZ530" s="155">
        <f t="shared" si="105"/>
        <v>13</v>
      </c>
      <c r="BA530" s="174"/>
      <c r="BB530" s="152" t="s">
        <v>272</v>
      </c>
      <c r="BC530" s="150"/>
      <c r="BD530" s="150"/>
      <c r="BF530" s="152" t="s">
        <v>477</v>
      </c>
    </row>
    <row r="531" spans="1:58" ht="14.25" x14ac:dyDescent="0.2">
      <c r="A531" t="str">
        <f t="shared" si="106"/>
        <v>A8</v>
      </c>
      <c r="C531">
        <f t="shared" si="107"/>
        <v>75.75</v>
      </c>
      <c r="D531" t="str">
        <f t="shared" si="102"/>
        <v/>
      </c>
      <c r="E531" s="169" t="str">
        <f>IF(OR(A531="",B531="",C531=""),"",CONCATENATE(VLOOKUP(VALUE(I531),[1]Grundlage!$A$1:$B$14,2,0),IF(LEFT(A531,1)="A",IF(VALUE(MID(A531,2,10))&lt;10,"A00"&amp;VALUE(MID(A531,2,10)),IF(VALUE(MID(A531,2,10))&lt;100,"A0"&amp;VALUE(MID(A531,2,10)),IF(VALUE(MID(A531,2,10))&lt;1000,"A"&amp;VALUE(MID(A531,2,10))))),IF(LEFT(A531,1)="B",IF(VALUE(MID(A531,2,10))&lt;10,"B00"&amp;VALUE(MID(A531,2,10)),IF(VALUE(MID(A531,2,10))&lt;100,"B0"&amp;VALUE(MID(A531,2,10)),IF(VALUE(MID(A531,2,10))&lt;1000,"B"&amp;VALUE(MID(A531,2,10))))),A531)),"_",IF(NOT(OR(C531=1000,C531&gt;1000)),MID(TEXT((C531+1000)*1000,0),2,6),"keine Meter in Spalte km!!!"),IF(VALUE(I531)=1,CONCATENATE("_",VLOOKUP(IF(V531&gt;0,V531,J531),[1]Grundlage!$A$20:$B$181,2,0)),CONCATENATE("_",B531))))</f>
        <v/>
      </c>
      <c r="F531" s="2" t="s">
        <v>669</v>
      </c>
      <c r="G531" s="167">
        <f t="shared" si="100"/>
        <v>3154</v>
      </c>
      <c r="H531">
        <f t="shared" si="101"/>
        <v>177</v>
      </c>
      <c r="I531" s="2">
        <f t="shared" si="108"/>
        <v>0</v>
      </c>
      <c r="J531" s="2">
        <f t="shared" si="109"/>
        <v>0</v>
      </c>
      <c r="K531" s="2">
        <f t="shared" si="110"/>
        <v>202</v>
      </c>
      <c r="L531" s="2">
        <f t="shared" si="111"/>
        <v>21</v>
      </c>
      <c r="M531" s="2" t="str">
        <f t="shared" si="112"/>
        <v/>
      </c>
      <c r="N531" s="2" t="str">
        <f t="shared" si="113"/>
        <v/>
      </c>
      <c r="P531" s="168" t="str">
        <f t="shared" si="114"/>
        <v/>
      </c>
      <c r="AT531" s="19"/>
      <c r="AU531" s="14"/>
      <c r="AV531" s="14"/>
      <c r="AY531" s="1"/>
      <c r="AZ531" s="14"/>
      <c r="BB531" s="13"/>
    </row>
    <row r="532" spans="1:58" s="152" customFormat="1" ht="14.25" x14ac:dyDescent="0.2">
      <c r="A532" s="160" t="s">
        <v>168</v>
      </c>
      <c r="B532" s="152" t="s">
        <v>658</v>
      </c>
      <c r="C532" s="160">
        <f t="shared" si="107"/>
        <v>70</v>
      </c>
      <c r="D532" s="160"/>
      <c r="E532" s="170" t="str">
        <f>IF(OR(A532="",B532="",C532=""),"eine der Spalten BAB, FR, km leer?",CONCATENATE(VLOOKUP(VALUE(I532),[1]Grundlage!$A$1:$B$14,2,0),IF(LEFT(A532,1)="A",IF(VALUE(MID(A532,2,10))&lt;10,"A00"&amp;VALUE(MID(A532,2,10)),IF(VALUE(MID(A532,2,10))&lt;100,"A0"&amp;VALUE(MID(A532,2,10)),IF(VALUE(MID(A532,2,10))&lt;1000,"A"&amp;VALUE(MID(A532,2,10))))),IF(LEFT(A532,1)="B",IF(VALUE(MID(A532,2,10))&lt;10,"B00"&amp;VALUE(MID(A532,2,10)),IF(VALUE(MID(A532,2,10))&lt;100,"B0"&amp;VALUE(MID(A532,2,10)),IF(VALUE(MID(A532,2,10))&lt;1000,"B"&amp;VALUE(MID(A532,2,10))))),A532)),"_",IF(NOT(OR(C532=1000,C532&gt;1000)),MID(TEXT((C532+1000)*1000,0),2,6),"keine Meter in Spalte km!!!"),IF(VALUE(I532)=1,CONCATENATE("_",VLOOKUP(IF(V532&gt;0,V532,J532),[1]Grundlage!$A$20:$B$181,2,0)),CONCATENATE("_",B532))))</f>
        <v>SSt_A008_070000_O</v>
      </c>
      <c r="F532" s="152" t="s">
        <v>315</v>
      </c>
      <c r="G532" s="171">
        <f t="shared" si="100"/>
        <v>3154</v>
      </c>
      <c r="H532" s="160">
        <f t="shared" si="101"/>
        <v>146</v>
      </c>
      <c r="I532" s="152">
        <f t="shared" si="108"/>
        <v>0</v>
      </c>
      <c r="J532" s="152">
        <f t="shared" si="109"/>
        <v>0</v>
      </c>
      <c r="K532" s="152">
        <f t="shared" si="110"/>
        <v>203</v>
      </c>
      <c r="L532" s="152">
        <f t="shared" si="111"/>
        <v>151</v>
      </c>
      <c r="M532" s="152" t="str">
        <f t="shared" si="112"/>
        <v/>
      </c>
      <c r="N532" s="152" t="str">
        <f t="shared" si="113"/>
        <v/>
      </c>
      <c r="P532" s="172" t="str">
        <f t="shared" si="114"/>
        <v/>
      </c>
      <c r="AI532" s="173">
        <v>70</v>
      </c>
      <c r="AJ532" s="148" t="s">
        <v>19</v>
      </c>
      <c r="AK532" s="148" t="s">
        <v>60</v>
      </c>
      <c r="AL532" s="148"/>
      <c r="AM532" s="148"/>
      <c r="AN532" s="148"/>
      <c r="AO532" s="148"/>
      <c r="AP532" s="148">
        <v>807570</v>
      </c>
      <c r="AQ532" s="158" t="s">
        <v>79</v>
      </c>
      <c r="AR532" s="148">
        <v>52</v>
      </c>
      <c r="AS532" s="175" t="s">
        <v>361</v>
      </c>
      <c r="AT532" s="148"/>
      <c r="AU532" s="148"/>
      <c r="AV532" s="148"/>
      <c r="AW532" s="148">
        <v>203</v>
      </c>
      <c r="AX532" s="148">
        <v>151</v>
      </c>
      <c r="AY532" s="148"/>
      <c r="AZ532" s="148"/>
      <c r="BA532" s="148"/>
      <c r="BB532" s="149" t="s">
        <v>315</v>
      </c>
      <c r="BC532" s="150"/>
      <c r="BD532" s="158" t="s">
        <v>316</v>
      </c>
      <c r="BE532" s="152" t="s">
        <v>57</v>
      </c>
      <c r="BF532" s="158" t="s">
        <v>458</v>
      </c>
    </row>
    <row r="533" spans="1:58" s="152" customFormat="1" ht="14.25" x14ac:dyDescent="0.2">
      <c r="A533" s="160" t="str">
        <f t="shared" si="106"/>
        <v>A8</v>
      </c>
      <c r="B533" s="152" t="s">
        <v>658</v>
      </c>
      <c r="C533" s="160">
        <f t="shared" si="107"/>
        <v>70</v>
      </c>
      <c r="D533" s="160"/>
      <c r="E533" s="170" t="str">
        <f>IF(OR(A533="",B533="",C533=""),"eine der Spalten BAB, FR, km leer?",CONCATENATE(VLOOKUP(VALUE(I533),[1]Grundlage!$A$1:$B$14,2,0),IF(LEFT(A533,1)="A",IF(VALUE(MID(A533,2,10))&lt;10,"A00"&amp;VALUE(MID(A533,2,10)),IF(VALUE(MID(A533,2,10))&lt;100,"A0"&amp;VALUE(MID(A533,2,10)),IF(VALUE(MID(A533,2,10))&lt;1000,"A"&amp;VALUE(MID(A533,2,10))))),IF(LEFT(A533,1)="B",IF(VALUE(MID(A533,2,10))&lt;10,"B00"&amp;VALUE(MID(A533,2,10)),IF(VALUE(MID(A533,2,10))&lt;100,"B0"&amp;VALUE(MID(A533,2,10)),IF(VALUE(MID(A533,2,10))&lt;1000,"B"&amp;VALUE(MID(A533,2,10))))),A533)),"_",IF(NOT(OR(C533=1000,C533&gt;1000)),MID(TEXT((C533+1000)*1000,0),2,6),"keine Meter in Spalte km!!!"),IF(VALUE(I533)=1,CONCATENATE("_",VLOOKUP(IF(V533&gt;0,V533,J533),[1]Grundlage!$A$20:$B$181,2,0)),CONCATENATE("_",B533))))</f>
        <v>UQ_A008_070000_O</v>
      </c>
      <c r="F533" s="152" t="s">
        <v>319</v>
      </c>
      <c r="G533" s="171">
        <f t="shared" si="100"/>
        <v>3154</v>
      </c>
      <c r="H533" s="160">
        <f t="shared" si="101"/>
        <v>146</v>
      </c>
      <c r="I533" s="152">
        <f t="shared" si="108"/>
        <v>3</v>
      </c>
      <c r="J533" s="152">
        <f t="shared" si="109"/>
        <v>6</v>
      </c>
      <c r="K533" s="152">
        <f t="shared" si="110"/>
        <v>203</v>
      </c>
      <c r="L533" s="152">
        <f t="shared" si="111"/>
        <v>151</v>
      </c>
      <c r="M533" s="152">
        <f t="shared" si="112"/>
        <v>1</v>
      </c>
      <c r="N533" s="152">
        <f t="shared" si="113"/>
        <v>1</v>
      </c>
      <c r="P533" s="172">
        <v>71</v>
      </c>
      <c r="AI533" s="154"/>
      <c r="AQ533" s="152">
        <v>12</v>
      </c>
      <c r="AR533" s="152">
        <v>82</v>
      </c>
      <c r="AS533" s="152">
        <v>146</v>
      </c>
      <c r="AT533" s="148">
        <v>3</v>
      </c>
      <c r="AU533" s="155">
        <v>6</v>
      </c>
      <c r="AV533" s="156"/>
      <c r="AW533" s="148"/>
      <c r="AX533" s="148"/>
      <c r="AY533" s="148">
        <v>1</v>
      </c>
      <c r="AZ533" s="155">
        <v>1</v>
      </c>
      <c r="BA533" s="156">
        <v>1</v>
      </c>
      <c r="BB533" s="152" t="s">
        <v>319</v>
      </c>
      <c r="BC533" s="150"/>
      <c r="BD533" s="150"/>
      <c r="BF533" s="148" t="s">
        <v>440</v>
      </c>
    </row>
    <row r="534" spans="1:58" s="152" customFormat="1" ht="14.25" x14ac:dyDescent="0.2">
      <c r="A534" s="160" t="str">
        <f t="shared" si="106"/>
        <v>A8</v>
      </c>
      <c r="B534" s="152" t="s">
        <v>658</v>
      </c>
      <c r="C534" s="160">
        <f t="shared" si="107"/>
        <v>70</v>
      </c>
      <c r="D534" s="160"/>
      <c r="E534" s="170" t="str">
        <f>IF(OR(A534="",B534="",C534=""),"eine der Spalten BAB, FR, km leer?",CONCATENATE(VLOOKUP(VALUE(I534),[1]Grundlage!$A$1:$B$14,2,0),IF(LEFT(A534,1)="A",IF(VALUE(MID(A534,2,10))&lt;10,"A00"&amp;VALUE(MID(A534,2,10)),IF(VALUE(MID(A534,2,10))&lt;100,"A0"&amp;VALUE(MID(A534,2,10)),IF(VALUE(MID(A534,2,10))&lt;1000,"A"&amp;VALUE(MID(A534,2,10))))),IF(LEFT(A534,1)="B",IF(VALUE(MID(A534,2,10))&lt;10,"B00"&amp;VALUE(MID(A534,2,10)),IF(VALUE(MID(A534,2,10))&lt;100,"B0"&amp;VALUE(MID(A534,2,10)),IF(VALUE(MID(A534,2,10))&lt;1000,"B"&amp;VALUE(MID(A534,2,10))))),A534)),"_",IF(NOT(OR(C534=1000,C534&gt;1000)),MID(TEXT((C534+1000)*1000,0),2,6),"keine Meter in Spalte km!!!"),IF(VALUE(I534)=1,CONCATENATE("_",VLOOKUP(IF(V534&gt;0,V534,J534),[1]Grundlage!$A$20:$B$181,2,0)),CONCATENATE("_",B534))))</f>
        <v>UQ_A008_070000_O</v>
      </c>
      <c r="F534" s="152" t="s">
        <v>672</v>
      </c>
      <c r="G534" s="171">
        <f t="shared" si="100"/>
        <v>3154</v>
      </c>
      <c r="H534" s="160">
        <f t="shared" si="101"/>
        <v>146</v>
      </c>
      <c r="I534" s="152">
        <f t="shared" si="108"/>
        <v>3</v>
      </c>
      <c r="J534" s="152">
        <f t="shared" si="109"/>
        <v>11</v>
      </c>
      <c r="K534" s="152">
        <f t="shared" si="110"/>
        <v>203</v>
      </c>
      <c r="L534" s="152">
        <f t="shared" si="111"/>
        <v>151</v>
      </c>
      <c r="M534" s="152">
        <f t="shared" si="112"/>
        <v>1</v>
      </c>
      <c r="N534" s="152">
        <f t="shared" si="113"/>
        <v>2</v>
      </c>
      <c r="P534" s="172">
        <v>70</v>
      </c>
      <c r="AI534" s="154"/>
      <c r="AT534" s="148">
        <v>3</v>
      </c>
      <c r="AU534" s="155">
        <v>11</v>
      </c>
      <c r="AV534" s="155"/>
      <c r="AY534" s="148">
        <v>1</v>
      </c>
      <c r="AZ534" s="155">
        <v>2</v>
      </c>
      <c r="BA534" s="155">
        <v>2</v>
      </c>
      <c r="BB534" s="152" t="s">
        <v>320</v>
      </c>
      <c r="BC534" s="150"/>
      <c r="BD534" s="150"/>
      <c r="BF534" s="148" t="s">
        <v>473</v>
      </c>
    </row>
    <row r="535" spans="1:58" s="152" customFormat="1" ht="14.25" x14ac:dyDescent="0.2">
      <c r="A535" s="160" t="str">
        <f t="shared" si="106"/>
        <v>A8</v>
      </c>
      <c r="B535" s="152" t="s">
        <v>658</v>
      </c>
      <c r="C535" s="160">
        <f t="shared" si="107"/>
        <v>70</v>
      </c>
      <c r="D535" s="160"/>
      <c r="E535" s="170" t="str">
        <f>IF(OR(A535="",B535="",C535=""),"eine der Spalten BAB, FR, km leer?",CONCATENATE(VLOOKUP(VALUE(I535),[1]Grundlage!$A$1:$B$14,2,0),IF(LEFT(A535,1)="A",IF(VALUE(MID(A535,2,10))&lt;10,"A00"&amp;VALUE(MID(A535,2,10)),IF(VALUE(MID(A535,2,10))&lt;100,"A0"&amp;VALUE(MID(A535,2,10)),IF(VALUE(MID(A535,2,10))&lt;1000,"A"&amp;VALUE(MID(A535,2,10))))),IF(LEFT(A535,1)="B",IF(VALUE(MID(A535,2,10))&lt;10,"B00"&amp;VALUE(MID(A535,2,10)),IF(VALUE(MID(A535,2,10))&lt;100,"B0"&amp;VALUE(MID(A535,2,10)),IF(VALUE(MID(A535,2,10))&lt;1000,"B"&amp;VALUE(MID(A535,2,10))))),A535)),"_",IF(NOT(OR(C535=1000,C535&gt;1000)),MID(TEXT((C535+1000)*1000,0),2,6),"keine Meter in Spalte km!!!"),IF(VALUE(I535)=1,CONCATENATE("_",VLOOKUP(IF(V535&gt;0,V535,J535),[1]Grundlage!$A$20:$B$181,2,0)),CONCATENATE("_",B535))))</f>
        <v>UQ_A008_070000_O</v>
      </c>
      <c r="F535" s="152" t="s">
        <v>321</v>
      </c>
      <c r="G535" s="171">
        <f t="shared" si="100"/>
        <v>3154</v>
      </c>
      <c r="H535" s="160">
        <f t="shared" si="101"/>
        <v>146</v>
      </c>
      <c r="I535" s="152">
        <f t="shared" si="108"/>
        <v>3</v>
      </c>
      <c r="J535" s="152">
        <f t="shared" si="109"/>
        <v>12</v>
      </c>
      <c r="K535" s="152">
        <f t="shared" si="110"/>
        <v>203</v>
      </c>
      <c r="L535" s="152">
        <f t="shared" si="111"/>
        <v>151</v>
      </c>
      <c r="M535" s="152">
        <f t="shared" si="112"/>
        <v>1</v>
      </c>
      <c r="N535" s="152">
        <f t="shared" si="113"/>
        <v>3</v>
      </c>
      <c r="P535" s="172">
        <v>48</v>
      </c>
      <c r="AI535" s="154"/>
      <c r="AT535" s="148">
        <v>3</v>
      </c>
      <c r="AU535" s="155">
        <v>12</v>
      </c>
      <c r="AV535" s="155"/>
      <c r="AY535" s="148">
        <v>1</v>
      </c>
      <c r="AZ535" s="155">
        <v>3</v>
      </c>
      <c r="BA535" s="155">
        <v>3</v>
      </c>
      <c r="BB535" s="152" t="s">
        <v>321</v>
      </c>
      <c r="BC535" s="150"/>
      <c r="BD535" s="150"/>
      <c r="BF535" s="148" t="s">
        <v>441</v>
      </c>
    </row>
    <row r="536" spans="1:58" s="152" customFormat="1" ht="14.25" x14ac:dyDescent="0.2">
      <c r="A536" s="160" t="str">
        <f t="shared" si="106"/>
        <v>A8</v>
      </c>
      <c r="B536" s="152" t="s">
        <v>658</v>
      </c>
      <c r="C536" s="160">
        <f t="shared" si="107"/>
        <v>70</v>
      </c>
      <c r="D536" s="160"/>
      <c r="E536" s="170" t="str">
        <f>IF(OR(A536="",B536="",C536=""),"eine der Spalten BAB, FR, km leer?",CONCATENATE(VLOOKUP(VALUE(I536),[1]Grundlage!$A$1:$B$14,2,0),IF(LEFT(A536,1)="A",IF(VALUE(MID(A536,2,10))&lt;10,"A00"&amp;VALUE(MID(A536,2,10)),IF(VALUE(MID(A536,2,10))&lt;100,"A0"&amp;VALUE(MID(A536,2,10)),IF(VALUE(MID(A536,2,10))&lt;1000,"A"&amp;VALUE(MID(A536,2,10))))),IF(LEFT(A536,1)="B",IF(VALUE(MID(A536,2,10))&lt;10,"B00"&amp;VALUE(MID(A536,2,10)),IF(VALUE(MID(A536,2,10))&lt;100,"B0"&amp;VALUE(MID(A536,2,10)),IF(VALUE(MID(A536,2,10))&lt;1000,"B"&amp;VALUE(MID(A536,2,10))))),A536)),"_",IF(NOT(OR(C536=1000,C536&gt;1000)),MID(TEXT((C536+1000)*1000,0),2,6),"keine Meter in Spalte km!!!"),IF(VALUE(I536)=1,CONCATENATE("_",VLOOKUP(IF(V536&gt;0,V536,J536),[1]Grundlage!$A$20:$B$181,2,0)),CONCATENATE("_",B536))))</f>
        <v>UQ_A008_070000_O</v>
      </c>
      <c r="F536" s="152" t="s">
        <v>322</v>
      </c>
      <c r="G536" s="171">
        <f t="shared" si="100"/>
        <v>3154</v>
      </c>
      <c r="H536" s="160">
        <f t="shared" si="101"/>
        <v>146</v>
      </c>
      <c r="I536" s="152">
        <f t="shared" si="108"/>
        <v>3</v>
      </c>
      <c r="J536" s="152">
        <f t="shared" si="109"/>
        <v>13</v>
      </c>
      <c r="K536" s="152">
        <f t="shared" si="110"/>
        <v>203</v>
      </c>
      <c r="L536" s="152">
        <f t="shared" si="111"/>
        <v>151</v>
      </c>
      <c r="M536" s="152">
        <f t="shared" si="112"/>
        <v>1</v>
      </c>
      <c r="N536" s="152">
        <f t="shared" si="113"/>
        <v>4</v>
      </c>
      <c r="P536" s="172">
        <v>55</v>
      </c>
      <c r="AI536" s="154"/>
      <c r="AT536" s="148">
        <v>3</v>
      </c>
      <c r="AU536" s="155">
        <v>13</v>
      </c>
      <c r="AV536" s="155"/>
      <c r="AY536" s="148">
        <v>1</v>
      </c>
      <c r="AZ536" s="155">
        <v>4</v>
      </c>
      <c r="BA536" s="155">
        <v>4</v>
      </c>
      <c r="BB536" s="152" t="s">
        <v>322</v>
      </c>
      <c r="BC536" s="150"/>
      <c r="BD536" s="150"/>
      <c r="BF536" s="148" t="s">
        <v>442</v>
      </c>
    </row>
    <row r="537" spans="1:58" s="152" customFormat="1" ht="14.25" x14ac:dyDescent="0.2">
      <c r="A537" s="160" t="str">
        <f t="shared" si="106"/>
        <v>A8</v>
      </c>
      <c r="B537" s="152" t="s">
        <v>658</v>
      </c>
      <c r="C537" s="160">
        <f t="shared" si="107"/>
        <v>70</v>
      </c>
      <c r="D537" s="160"/>
      <c r="E537" s="170" t="str">
        <f>IF(OR(A537="",B537="",C537=""),"eine der Spalten BAB, FR, km leer?",CONCATENATE(VLOOKUP(VALUE(I537),[1]Grundlage!$A$1:$B$14,2,0),IF(LEFT(A537,1)="A",IF(VALUE(MID(A537,2,10))&lt;10,"A00"&amp;VALUE(MID(A537,2,10)),IF(VALUE(MID(A537,2,10))&lt;100,"A0"&amp;VALUE(MID(A537,2,10)),IF(VALUE(MID(A537,2,10))&lt;1000,"A"&amp;VALUE(MID(A537,2,10))))),IF(LEFT(A537,1)="B",IF(VALUE(MID(A537,2,10))&lt;10,"B00"&amp;VALUE(MID(A537,2,10)),IF(VALUE(MID(A537,2,10))&lt;100,"B0"&amp;VALUE(MID(A537,2,10)),IF(VALUE(MID(A537,2,10))&lt;1000,"B"&amp;VALUE(MID(A537,2,10))))),A537)),"_",IF(NOT(OR(C537=1000,C537&gt;1000)),MID(TEXT((C537+1000)*1000,0),2,6),"keine Meter in Spalte km!!!"),IF(VALUE(I537)=1,CONCATENATE("_",VLOOKUP(IF(V537&gt;0,V537,J537),[1]Grundlage!$A$20:$B$181,2,0)),CONCATENATE("_",B537))))</f>
        <v>UQ_A008_070000_O</v>
      </c>
      <c r="F537" s="152" t="s">
        <v>673</v>
      </c>
      <c r="G537" s="171">
        <f t="shared" si="100"/>
        <v>3154</v>
      </c>
      <c r="H537" s="160">
        <f t="shared" si="101"/>
        <v>146</v>
      </c>
      <c r="I537" s="152">
        <f t="shared" si="108"/>
        <v>3</v>
      </c>
      <c r="J537" s="152">
        <f t="shared" si="109"/>
        <v>14</v>
      </c>
      <c r="K537" s="152">
        <f t="shared" si="110"/>
        <v>203</v>
      </c>
      <c r="L537" s="152">
        <f t="shared" si="111"/>
        <v>151</v>
      </c>
      <c r="M537" s="152">
        <f t="shared" si="112"/>
        <v>1</v>
      </c>
      <c r="N537" s="152">
        <f t="shared" si="113"/>
        <v>5</v>
      </c>
      <c r="P537" s="172">
        <v>66</v>
      </c>
      <c r="AI537" s="154"/>
      <c r="AT537" s="148">
        <v>3</v>
      </c>
      <c r="AU537" s="155">
        <v>14</v>
      </c>
      <c r="AV537" s="155"/>
      <c r="AY537" s="148">
        <v>1</v>
      </c>
      <c r="AZ537" s="155">
        <v>5</v>
      </c>
      <c r="BA537" s="155">
        <v>5</v>
      </c>
      <c r="BB537" s="152" t="s">
        <v>324</v>
      </c>
      <c r="BC537" s="150"/>
      <c r="BD537" s="150"/>
      <c r="BF537" s="148" t="s">
        <v>443</v>
      </c>
    </row>
    <row r="538" spans="1:58" s="152" customFormat="1" ht="14.25" x14ac:dyDescent="0.2">
      <c r="A538" s="160" t="str">
        <f t="shared" si="106"/>
        <v>A8</v>
      </c>
      <c r="B538" s="152" t="s">
        <v>658</v>
      </c>
      <c r="C538" s="160">
        <f t="shared" si="107"/>
        <v>70</v>
      </c>
      <c r="D538" s="160"/>
      <c r="E538" s="170" t="str">
        <f>IF(OR(A538="",B538="",C538=""),"eine der Spalten BAB, FR, km leer?",CONCATENATE(VLOOKUP(VALUE(I538),[1]Grundlage!$A$1:$B$14,2,0),IF(LEFT(A538,1)="A",IF(VALUE(MID(A538,2,10))&lt;10,"A00"&amp;VALUE(MID(A538,2,10)),IF(VALUE(MID(A538,2,10))&lt;100,"A0"&amp;VALUE(MID(A538,2,10)),IF(VALUE(MID(A538,2,10))&lt;1000,"A"&amp;VALUE(MID(A538,2,10))))),IF(LEFT(A538,1)="B",IF(VALUE(MID(A538,2,10))&lt;10,"B00"&amp;VALUE(MID(A538,2,10)),IF(VALUE(MID(A538,2,10))&lt;100,"B0"&amp;VALUE(MID(A538,2,10)),IF(VALUE(MID(A538,2,10))&lt;1000,"B"&amp;VALUE(MID(A538,2,10))))),A538)),"_",IF(NOT(OR(C538=1000,C538&gt;1000)),MID(TEXT((C538+1000)*1000,0),2,6),"keine Meter in Spalte km!!!"),IF(VALUE(I538)=1,CONCATENATE("_",VLOOKUP(IF(V538&gt;0,V538,J538),[1]Grundlage!$A$20:$B$181,2,0)),CONCATENATE("_",B538))))</f>
        <v>UQ_A008_070000_O</v>
      </c>
      <c r="F538" s="152" t="s">
        <v>674</v>
      </c>
      <c r="G538" s="171">
        <f t="shared" si="100"/>
        <v>3154</v>
      </c>
      <c r="H538" s="160">
        <f t="shared" si="101"/>
        <v>146</v>
      </c>
      <c r="I538" s="152">
        <f t="shared" si="108"/>
        <v>3</v>
      </c>
      <c r="J538" s="152">
        <f t="shared" si="109"/>
        <v>15</v>
      </c>
      <c r="K538" s="152">
        <f t="shared" si="110"/>
        <v>203</v>
      </c>
      <c r="L538" s="152">
        <f t="shared" si="111"/>
        <v>151</v>
      </c>
      <c r="M538" s="152">
        <f t="shared" si="112"/>
        <v>1</v>
      </c>
      <c r="N538" s="152">
        <f t="shared" si="113"/>
        <v>6</v>
      </c>
      <c r="P538" s="172">
        <v>65</v>
      </c>
      <c r="AI538" s="154"/>
      <c r="AT538" s="148">
        <v>3</v>
      </c>
      <c r="AU538" s="155">
        <v>15</v>
      </c>
      <c r="AV538" s="155"/>
      <c r="AY538" s="148">
        <v>1</v>
      </c>
      <c r="AZ538" s="155">
        <v>6</v>
      </c>
      <c r="BA538" s="155">
        <v>6</v>
      </c>
      <c r="BB538" s="152" t="s">
        <v>338</v>
      </c>
      <c r="BC538" s="150"/>
      <c r="BD538" s="150"/>
      <c r="BF538" s="148" t="s">
        <v>474</v>
      </c>
    </row>
    <row r="539" spans="1:58" s="152" customFormat="1" ht="14.25" x14ac:dyDescent="0.2">
      <c r="A539" s="160" t="str">
        <f t="shared" si="106"/>
        <v>A8</v>
      </c>
      <c r="B539" s="152" t="s">
        <v>658</v>
      </c>
      <c r="C539" s="160">
        <f t="shared" si="107"/>
        <v>70</v>
      </c>
      <c r="D539" s="160"/>
      <c r="E539" s="170" t="str">
        <f>IF(OR(A539="",B539="",C539=""),"eine der Spalten BAB, FR, km leer?",CONCATENATE(VLOOKUP(VALUE(I539),[1]Grundlage!$A$1:$B$14,2,0),IF(LEFT(A539,1)="A",IF(VALUE(MID(A539,2,10))&lt;10,"A00"&amp;VALUE(MID(A539,2,10)),IF(VALUE(MID(A539,2,10))&lt;100,"A0"&amp;VALUE(MID(A539,2,10)),IF(VALUE(MID(A539,2,10))&lt;1000,"A"&amp;VALUE(MID(A539,2,10))))),IF(LEFT(A539,1)="B",IF(VALUE(MID(A539,2,10))&lt;10,"B00"&amp;VALUE(MID(A539,2,10)),IF(VALUE(MID(A539,2,10))&lt;100,"B0"&amp;VALUE(MID(A539,2,10)),IF(VALUE(MID(A539,2,10))&lt;1000,"B"&amp;VALUE(MID(A539,2,10))))),A539)),"_",IF(NOT(OR(C539=1000,C539&gt;1000)),MID(TEXT((C539+1000)*1000,0),2,6),"keine Meter in Spalte km!!!"),IF(VALUE(I539)=1,CONCATENATE("_",VLOOKUP(IF(V539&gt;0,V539,J539),[1]Grundlage!$A$20:$B$181,2,0)),CONCATENATE("_",B539))))</f>
        <v>UQ_A008_070000_O</v>
      </c>
      <c r="F539" s="152" t="s">
        <v>675</v>
      </c>
      <c r="G539" s="171">
        <f t="shared" si="100"/>
        <v>3154</v>
      </c>
      <c r="H539" s="160">
        <f t="shared" si="101"/>
        <v>146</v>
      </c>
      <c r="I539" s="152">
        <f t="shared" si="108"/>
        <v>3</v>
      </c>
      <c r="J539" s="152">
        <f t="shared" si="109"/>
        <v>19</v>
      </c>
      <c r="K539" s="152">
        <f t="shared" si="110"/>
        <v>203</v>
      </c>
      <c r="L539" s="152">
        <f t="shared" si="111"/>
        <v>151</v>
      </c>
      <c r="M539" s="152">
        <f t="shared" si="112"/>
        <v>1</v>
      </c>
      <c r="N539" s="152">
        <f t="shared" si="113"/>
        <v>7</v>
      </c>
      <c r="P539" s="172">
        <v>49</v>
      </c>
      <c r="AI539" s="154"/>
      <c r="AT539" s="148">
        <v>3</v>
      </c>
      <c r="AU539" s="155">
        <v>19</v>
      </c>
      <c r="AV539" s="155"/>
      <c r="AY539" s="148">
        <v>1</v>
      </c>
      <c r="AZ539" s="155">
        <v>7</v>
      </c>
      <c r="BA539" s="155">
        <v>7</v>
      </c>
      <c r="BB539" s="152" t="s">
        <v>323</v>
      </c>
      <c r="BC539" s="150"/>
      <c r="BD539" s="150"/>
      <c r="BF539" s="148" t="s">
        <v>475</v>
      </c>
    </row>
    <row r="540" spans="1:58" s="152" customFormat="1" ht="14.25" x14ac:dyDescent="0.2">
      <c r="A540" s="160" t="str">
        <f t="shared" si="106"/>
        <v>A8</v>
      </c>
      <c r="B540" s="152" t="s">
        <v>658</v>
      </c>
      <c r="C540" s="160">
        <f t="shared" si="107"/>
        <v>70</v>
      </c>
      <c r="D540" s="160"/>
      <c r="E540" s="170" t="str">
        <f>IF(OR(A540="",B540="",C540=""),"eine der Spalten BAB, FR, km leer?",CONCATENATE(VLOOKUP(VALUE(I540),[1]Grundlage!$A$1:$B$14,2,0),IF(LEFT(A540,1)="A",IF(VALUE(MID(A540,2,10))&lt;10,"A00"&amp;VALUE(MID(A540,2,10)),IF(VALUE(MID(A540,2,10))&lt;100,"A0"&amp;VALUE(MID(A540,2,10)),IF(VALUE(MID(A540,2,10))&lt;1000,"A"&amp;VALUE(MID(A540,2,10))))),IF(LEFT(A540,1)="B",IF(VALUE(MID(A540,2,10))&lt;10,"B00"&amp;VALUE(MID(A540,2,10)),IF(VALUE(MID(A540,2,10))&lt;100,"B0"&amp;VALUE(MID(A540,2,10)),IF(VALUE(MID(A540,2,10))&lt;1000,"B"&amp;VALUE(MID(A540,2,10))))),A540)),"_",IF(NOT(OR(C540=1000,C540&gt;1000)),MID(TEXT((C540+1000)*1000,0),2,6),"keine Meter in Spalte km!!!"),IF(VALUE(I540)=1,CONCATENATE("_",VLOOKUP(IF(V540&gt;0,V540,J540),[1]Grundlage!$A$20:$B$181,2,0)),CONCATENATE("_",B540))))</f>
        <v>UQ_A008_070000_O</v>
      </c>
      <c r="F540" s="152" t="s">
        <v>676</v>
      </c>
      <c r="G540" s="171">
        <f t="shared" si="100"/>
        <v>3154</v>
      </c>
      <c r="H540" s="160">
        <f t="shared" si="101"/>
        <v>146</v>
      </c>
      <c r="I540" s="152">
        <f t="shared" si="108"/>
        <v>3</v>
      </c>
      <c r="J540" s="152">
        <f t="shared" si="109"/>
        <v>21</v>
      </c>
      <c r="K540" s="152">
        <f t="shared" si="110"/>
        <v>203</v>
      </c>
      <c r="L540" s="152">
        <f t="shared" si="111"/>
        <v>151</v>
      </c>
      <c r="M540" s="152">
        <f t="shared" si="112"/>
        <v>1</v>
      </c>
      <c r="N540" s="152">
        <f t="shared" si="113"/>
        <v>8</v>
      </c>
      <c r="P540" s="172">
        <v>67</v>
      </c>
      <c r="AI540" s="154"/>
      <c r="AT540" s="148">
        <v>3</v>
      </c>
      <c r="AU540" s="155">
        <v>21</v>
      </c>
      <c r="AV540" s="155"/>
      <c r="AY540" s="148">
        <v>1</v>
      </c>
      <c r="AZ540" s="155">
        <v>8</v>
      </c>
      <c r="BA540" s="155">
        <v>8</v>
      </c>
      <c r="BB540" s="152" t="s">
        <v>325</v>
      </c>
      <c r="BC540" s="150"/>
      <c r="BD540" s="150"/>
      <c r="BF540" s="148" t="s">
        <v>476</v>
      </c>
    </row>
    <row r="541" spans="1:58" s="152" customFormat="1" ht="14.25" x14ac:dyDescent="0.2">
      <c r="A541" s="160" t="str">
        <f t="shared" si="106"/>
        <v>A8</v>
      </c>
      <c r="B541" s="152" t="s">
        <v>658</v>
      </c>
      <c r="C541" s="160">
        <f t="shared" si="107"/>
        <v>70</v>
      </c>
      <c r="D541" s="160"/>
      <c r="E541" s="170" t="str">
        <f>IF(OR(A541="",B541="",C541=""),"eine der Spalten BAB, FR, km leer?",CONCATENATE(VLOOKUP(VALUE(I541),[1]Grundlage!$A$1:$B$14,2,0),IF(LEFT(A541,1)="A",IF(VALUE(MID(A541,2,10))&lt;10,"A00"&amp;VALUE(MID(A541,2,10)),IF(VALUE(MID(A541,2,10))&lt;100,"A0"&amp;VALUE(MID(A541,2,10)),IF(VALUE(MID(A541,2,10))&lt;1000,"A"&amp;VALUE(MID(A541,2,10))))),IF(LEFT(A541,1)="B",IF(VALUE(MID(A541,2,10))&lt;10,"B00"&amp;VALUE(MID(A541,2,10)),IF(VALUE(MID(A541,2,10))&lt;100,"B0"&amp;VALUE(MID(A541,2,10)),IF(VALUE(MID(A541,2,10))&lt;1000,"B"&amp;VALUE(MID(A541,2,10))))),A541)),"_",IF(NOT(OR(C541=1000,C541&gt;1000)),MID(TEXT((C541+1000)*1000,0),2,6),"keine Meter in Spalte km!!!"),IF(VALUE(I541)=1,CONCATENATE("_",VLOOKUP(IF(V541&gt;0,V541,J541),[1]Grundlage!$A$20:$B$181,2,0)),CONCATENATE("_",B541))))</f>
        <v>UQ_A008_070000_O</v>
      </c>
      <c r="F541" s="152" t="s">
        <v>326</v>
      </c>
      <c r="G541" s="171">
        <f t="shared" si="100"/>
        <v>3154</v>
      </c>
      <c r="H541" s="160">
        <f t="shared" si="101"/>
        <v>146</v>
      </c>
      <c r="I541" s="152">
        <f t="shared" si="108"/>
        <v>3</v>
      </c>
      <c r="J541" s="152">
        <f t="shared" si="109"/>
        <v>67</v>
      </c>
      <c r="K541" s="152">
        <f t="shared" si="110"/>
        <v>203</v>
      </c>
      <c r="L541" s="152">
        <f t="shared" si="111"/>
        <v>151</v>
      </c>
      <c r="M541" s="152">
        <f t="shared" si="112"/>
        <v>1</v>
      </c>
      <c r="N541" s="152">
        <f t="shared" si="113"/>
        <v>9</v>
      </c>
      <c r="P541" s="172">
        <v>53</v>
      </c>
      <c r="AI541" s="154"/>
      <c r="AT541" s="148">
        <v>3</v>
      </c>
      <c r="AU541" s="155">
        <v>67</v>
      </c>
      <c r="AV541" s="155"/>
      <c r="AY541" s="148">
        <v>1</v>
      </c>
      <c r="AZ541" s="155">
        <v>9</v>
      </c>
      <c r="BA541" s="174">
        <v>9</v>
      </c>
      <c r="BB541" s="152" t="s">
        <v>326</v>
      </c>
      <c r="BC541" s="150"/>
      <c r="BD541" s="150"/>
      <c r="BF541" s="148" t="s">
        <v>444</v>
      </c>
    </row>
    <row r="542" spans="1:58" s="152" customFormat="1" ht="14.25" x14ac:dyDescent="0.2">
      <c r="A542" s="160" t="str">
        <f t="shared" si="106"/>
        <v>A8</v>
      </c>
      <c r="B542" s="152" t="s">
        <v>658</v>
      </c>
      <c r="C542" s="160">
        <f t="shared" si="107"/>
        <v>70</v>
      </c>
      <c r="D542" s="160"/>
      <c r="E542" s="170" t="str">
        <f>IF(OR(A542="",B542="",C542=""),"eine der Spalten BAB, FR, km leer?",CONCATENATE(VLOOKUP(VALUE(I542),[1]Grundlage!$A$1:$B$14,2,0),IF(LEFT(A542,1)="A",IF(VALUE(MID(A542,2,10))&lt;10,"A00"&amp;VALUE(MID(A542,2,10)),IF(VALUE(MID(A542,2,10))&lt;100,"A0"&amp;VALUE(MID(A542,2,10)),IF(VALUE(MID(A542,2,10))&lt;1000,"A"&amp;VALUE(MID(A542,2,10))))),IF(LEFT(A542,1)="B",IF(VALUE(MID(A542,2,10))&lt;10,"B00"&amp;VALUE(MID(A542,2,10)),IF(VALUE(MID(A542,2,10))&lt;100,"B0"&amp;VALUE(MID(A542,2,10)),IF(VALUE(MID(A542,2,10))&lt;1000,"B"&amp;VALUE(MID(A542,2,10))))),A542)),"_",IF(NOT(OR(C542=1000,C542&gt;1000)),MID(TEXT((C542+1000)*1000,0),2,6),"keine Meter in Spalte km!!!"),IF(VALUE(I542)=1,CONCATENATE("_",VLOOKUP(IF(V542&gt;0,V542,J542),[1]Grundlage!$A$20:$B$181,2,0)),CONCATENATE("_",B542))))</f>
        <v>UQ_A008_070000_O</v>
      </c>
      <c r="F542" s="152" t="s">
        <v>677</v>
      </c>
      <c r="G542" s="171">
        <f t="shared" si="100"/>
        <v>3154</v>
      </c>
      <c r="H542" s="160">
        <f t="shared" si="101"/>
        <v>146</v>
      </c>
      <c r="I542" s="152">
        <f t="shared" si="108"/>
        <v>3</v>
      </c>
      <c r="J542" s="152">
        <f t="shared" si="109"/>
        <v>82</v>
      </c>
      <c r="K542" s="152">
        <f t="shared" si="110"/>
        <v>203</v>
      </c>
      <c r="L542" s="152">
        <f t="shared" si="111"/>
        <v>151</v>
      </c>
      <c r="M542" s="152">
        <f t="shared" si="112"/>
        <v>1</v>
      </c>
      <c r="N542" s="152">
        <f t="shared" si="113"/>
        <v>10</v>
      </c>
      <c r="P542" s="172">
        <v>72</v>
      </c>
      <c r="AI542" s="154"/>
      <c r="AT542" s="148">
        <v>3</v>
      </c>
      <c r="AU542" s="155">
        <v>82</v>
      </c>
      <c r="AV542" s="155"/>
      <c r="AY542" s="148">
        <v>1</v>
      </c>
      <c r="AZ542" s="155">
        <v>10</v>
      </c>
      <c r="BA542" s="174" t="s">
        <v>95</v>
      </c>
      <c r="BB542" s="152" t="s">
        <v>327</v>
      </c>
      <c r="BC542" s="150"/>
      <c r="BD542" s="150"/>
      <c r="BF542" s="148" t="s">
        <v>477</v>
      </c>
    </row>
    <row r="543" spans="1:58" s="152" customFormat="1" ht="14.25" x14ac:dyDescent="0.2">
      <c r="A543" s="160" t="str">
        <f t="shared" si="106"/>
        <v>A8</v>
      </c>
      <c r="B543" s="152" t="s">
        <v>658</v>
      </c>
      <c r="C543" s="160">
        <f t="shared" si="107"/>
        <v>70</v>
      </c>
      <c r="D543" s="160"/>
      <c r="E543" s="170" t="str">
        <f>IF(OR(A543="",B543="",C543=""),"eine der Spalten BAB, FR, km leer?",CONCATENATE(VLOOKUP(VALUE(I543),[1]Grundlage!$A$1:$B$14,2,0),IF(LEFT(A543,1)="A",IF(VALUE(MID(A543,2,10))&lt;10,"A00"&amp;VALUE(MID(A543,2,10)),IF(VALUE(MID(A543,2,10))&lt;100,"A0"&amp;VALUE(MID(A543,2,10)),IF(VALUE(MID(A543,2,10))&lt;1000,"A"&amp;VALUE(MID(A543,2,10))))),IF(LEFT(A543,1)="B",IF(VALUE(MID(A543,2,10))&lt;10,"B00"&amp;VALUE(MID(A543,2,10)),IF(VALUE(MID(A543,2,10))&lt;100,"B0"&amp;VALUE(MID(A543,2,10)),IF(VALUE(MID(A543,2,10))&lt;1000,"B"&amp;VALUE(MID(A543,2,10))))),A543)),"_",IF(NOT(OR(C543=1000,C543&gt;1000)),MID(TEXT((C543+1000)*1000,0),2,6),"keine Meter in Spalte km!!!"),IF(VALUE(I543)=1,CONCATENATE("_",VLOOKUP(IF(V543&gt;0,V543,J543),[1]Grundlage!$A$20:$B$181,2,0)),CONCATENATE("_",B543))))</f>
        <v>UQ_A008_070000_O</v>
      </c>
      <c r="F543" s="152" t="s">
        <v>333</v>
      </c>
      <c r="G543" s="171">
        <f t="shared" si="100"/>
        <v>3154</v>
      </c>
      <c r="H543" s="160">
        <f t="shared" si="101"/>
        <v>146</v>
      </c>
      <c r="I543" s="152">
        <f t="shared" si="108"/>
        <v>3</v>
      </c>
      <c r="J543" s="152">
        <f t="shared" si="109"/>
        <v>111</v>
      </c>
      <c r="K543" s="152">
        <f t="shared" si="110"/>
        <v>203</v>
      </c>
      <c r="L543" s="152">
        <f t="shared" si="111"/>
        <v>151</v>
      </c>
      <c r="M543" s="152">
        <f t="shared" si="112"/>
        <v>1</v>
      </c>
      <c r="N543" s="152">
        <f t="shared" si="113"/>
        <v>11</v>
      </c>
      <c r="P543" s="172">
        <v>70</v>
      </c>
      <c r="AI543" s="154"/>
      <c r="AT543" s="148">
        <v>3</v>
      </c>
      <c r="AU543" s="155">
        <v>111</v>
      </c>
      <c r="AV543" s="155"/>
      <c r="AY543" s="148">
        <v>1</v>
      </c>
      <c r="AZ543" s="155">
        <v>11</v>
      </c>
      <c r="BA543" s="155" t="s">
        <v>78</v>
      </c>
      <c r="BB543" s="152" t="s">
        <v>328</v>
      </c>
      <c r="BC543" s="150"/>
      <c r="BD543" s="150"/>
      <c r="BF543" s="148" t="s">
        <v>478</v>
      </c>
    </row>
    <row r="544" spans="1:58" s="152" customFormat="1" ht="14.25" x14ac:dyDescent="0.2">
      <c r="A544" s="160" t="str">
        <f t="shared" si="106"/>
        <v>A8</v>
      </c>
      <c r="B544" s="152" t="s">
        <v>658</v>
      </c>
      <c r="C544" s="160">
        <f t="shared" si="107"/>
        <v>70</v>
      </c>
      <c r="D544" s="160"/>
      <c r="E544" s="170" t="str">
        <f>IF(OR(A544="",B544="",C544=""),"eine der Spalten BAB, FR, km leer?",CONCATENATE(VLOOKUP(VALUE(I544),[1]Grundlage!$A$1:$B$14,2,0),IF(LEFT(A544,1)="A",IF(VALUE(MID(A544,2,10))&lt;10,"A00"&amp;VALUE(MID(A544,2,10)),IF(VALUE(MID(A544,2,10))&lt;100,"A0"&amp;VALUE(MID(A544,2,10)),IF(VALUE(MID(A544,2,10))&lt;1000,"A"&amp;VALUE(MID(A544,2,10))))),IF(LEFT(A544,1)="B",IF(VALUE(MID(A544,2,10))&lt;10,"B00"&amp;VALUE(MID(A544,2,10)),IF(VALUE(MID(A544,2,10))&lt;100,"B0"&amp;VALUE(MID(A544,2,10)),IF(VALUE(MID(A544,2,10))&lt;1000,"B"&amp;VALUE(MID(A544,2,10))))),A544)),"_",IF(NOT(OR(C544=1000,C544&gt;1000)),MID(TEXT((C544+1000)*1000,0),2,6),"keine Meter in Spalte km!!!"),IF(VALUE(I544)=1,CONCATENATE("_",VLOOKUP(IF(V544&gt;0,V544,J544),[1]Grundlage!$A$20:$B$181,2,0)),CONCATENATE("_",B544))))</f>
        <v>UQ_A008_070000_O</v>
      </c>
      <c r="F544" s="152" t="s">
        <v>335</v>
      </c>
      <c r="G544" s="171">
        <f t="shared" si="100"/>
        <v>3154</v>
      </c>
      <c r="H544" s="160">
        <f t="shared" si="101"/>
        <v>146</v>
      </c>
      <c r="I544" s="152">
        <f t="shared" si="108"/>
        <v>3</v>
      </c>
      <c r="J544" s="152">
        <f t="shared" si="109"/>
        <v>119</v>
      </c>
      <c r="K544" s="152">
        <f t="shared" si="110"/>
        <v>203</v>
      </c>
      <c r="L544" s="152">
        <f t="shared" si="111"/>
        <v>151</v>
      </c>
      <c r="M544" s="152">
        <f t="shared" si="112"/>
        <v>1</v>
      </c>
      <c r="N544" s="152">
        <f t="shared" si="113"/>
        <v>12</v>
      </c>
      <c r="P544" s="172">
        <v>49</v>
      </c>
      <c r="AI544" s="154"/>
      <c r="AT544" s="148">
        <v>3</v>
      </c>
      <c r="AU544" s="155">
        <v>119</v>
      </c>
      <c r="AV544" s="155"/>
      <c r="AY544" s="148">
        <v>1</v>
      </c>
      <c r="AZ544" s="155">
        <v>12</v>
      </c>
      <c r="BA544" s="155" t="s">
        <v>79</v>
      </c>
      <c r="BB544" s="152" t="s">
        <v>329</v>
      </c>
      <c r="BC544" s="150"/>
      <c r="BD544" s="150"/>
      <c r="BF544" s="148" t="s">
        <v>479</v>
      </c>
    </row>
    <row r="545" spans="1:58" s="152" customFormat="1" ht="14.25" x14ac:dyDescent="0.2">
      <c r="A545" s="160" t="str">
        <f t="shared" si="106"/>
        <v>A8</v>
      </c>
      <c r="B545" s="152" t="s">
        <v>658</v>
      </c>
      <c r="C545" s="160">
        <f t="shared" si="107"/>
        <v>70</v>
      </c>
      <c r="D545" s="160"/>
      <c r="E545" s="170" t="str">
        <f>IF(OR(A545="",B545="",C545=""),"eine der Spalten BAB, FR, km leer?",CONCATENATE(VLOOKUP(VALUE(I545),[1]Grundlage!$A$1:$B$14,2,0),IF(LEFT(A545,1)="A",IF(VALUE(MID(A545,2,10))&lt;10,"A00"&amp;VALUE(MID(A545,2,10)),IF(VALUE(MID(A545,2,10))&lt;100,"A0"&amp;VALUE(MID(A545,2,10)),IF(VALUE(MID(A545,2,10))&lt;1000,"A"&amp;VALUE(MID(A545,2,10))))),IF(LEFT(A545,1)="B",IF(VALUE(MID(A545,2,10))&lt;10,"B00"&amp;VALUE(MID(A545,2,10)),IF(VALUE(MID(A545,2,10))&lt;100,"B0"&amp;VALUE(MID(A545,2,10)),IF(VALUE(MID(A545,2,10))&lt;1000,"B"&amp;VALUE(MID(A545,2,10))))),A545)),"_",IF(NOT(OR(C545=1000,C545&gt;1000)),MID(TEXT((C545+1000)*1000,0),2,6),"keine Meter in Spalte km!!!"),IF(VALUE(I545)=1,CONCATENATE("_",VLOOKUP(IF(V545&gt;0,V545,J545),[1]Grundlage!$A$20:$B$181,2,0)),CONCATENATE("_",B545))))</f>
        <v>UQ_A008_070000_O</v>
      </c>
      <c r="F545" s="152" t="s">
        <v>336</v>
      </c>
      <c r="G545" s="171">
        <f t="shared" si="100"/>
        <v>3154</v>
      </c>
      <c r="H545" s="160">
        <f t="shared" si="101"/>
        <v>146</v>
      </c>
      <c r="I545" s="152">
        <f t="shared" si="108"/>
        <v>3</v>
      </c>
      <c r="J545" s="152">
        <f t="shared" si="109"/>
        <v>121</v>
      </c>
      <c r="K545" s="152">
        <f t="shared" si="110"/>
        <v>203</v>
      </c>
      <c r="L545" s="152">
        <f t="shared" si="111"/>
        <v>151</v>
      </c>
      <c r="M545" s="152">
        <f t="shared" si="112"/>
        <v>1</v>
      </c>
      <c r="N545" s="152">
        <f t="shared" si="113"/>
        <v>13</v>
      </c>
      <c r="P545" s="172">
        <v>67</v>
      </c>
      <c r="AI545" s="154"/>
      <c r="AT545" s="148">
        <v>3</v>
      </c>
      <c r="AU545" s="155">
        <v>121</v>
      </c>
      <c r="AV545" s="155"/>
      <c r="AY545" s="148">
        <v>1</v>
      </c>
      <c r="AZ545" s="155">
        <v>13</v>
      </c>
      <c r="BA545" s="155" t="s">
        <v>80</v>
      </c>
      <c r="BB545" s="152" t="s">
        <v>330</v>
      </c>
      <c r="BC545" s="150"/>
      <c r="BD545" s="150"/>
      <c r="BF545" s="148" t="s">
        <v>480</v>
      </c>
    </row>
    <row r="546" spans="1:58" s="152" customFormat="1" ht="14.25" x14ac:dyDescent="0.2">
      <c r="A546" s="160" t="str">
        <f t="shared" si="106"/>
        <v>A8</v>
      </c>
      <c r="B546" s="152" t="s">
        <v>658</v>
      </c>
      <c r="C546" s="160">
        <f t="shared" si="107"/>
        <v>70</v>
      </c>
      <c r="D546" s="160"/>
      <c r="E546" s="170" t="str">
        <f>IF(OR(A546="",B546="",C546=""),"eine der Spalten BAB, FR, km leer?",CONCATENATE(VLOOKUP(VALUE(I546),[1]Grundlage!$A$1:$B$14,2,0),IF(LEFT(A546,1)="A",IF(VALUE(MID(A546,2,10))&lt;10,"A00"&amp;VALUE(MID(A546,2,10)),IF(VALUE(MID(A546,2,10))&lt;100,"A0"&amp;VALUE(MID(A546,2,10)),IF(VALUE(MID(A546,2,10))&lt;1000,"A"&amp;VALUE(MID(A546,2,10))))),IF(LEFT(A546,1)="B",IF(VALUE(MID(A546,2,10))&lt;10,"B00"&amp;VALUE(MID(A546,2,10)),IF(VALUE(MID(A546,2,10))&lt;100,"B0"&amp;VALUE(MID(A546,2,10)),IF(VALUE(MID(A546,2,10))&lt;1000,"B"&amp;VALUE(MID(A546,2,10))))),A546)),"_",IF(NOT(OR(C546=1000,C546&gt;1000)),MID(TEXT((C546+1000)*1000,0),2,6),"keine Meter in Spalte km!!!"),IF(VALUE(I546)=1,CONCATENATE("_",VLOOKUP(IF(V546&gt;0,V546,J546),[1]Grundlage!$A$20:$B$181,2,0)),CONCATENATE("_",B546))))</f>
        <v>UQ_A008_070000_O</v>
      </c>
      <c r="F546" s="152" t="s">
        <v>337</v>
      </c>
      <c r="G546" s="171">
        <f t="shared" si="100"/>
        <v>3154</v>
      </c>
      <c r="H546" s="160">
        <f t="shared" si="101"/>
        <v>146</v>
      </c>
      <c r="I546" s="152">
        <f t="shared" si="108"/>
        <v>3</v>
      </c>
      <c r="J546" s="152">
        <f t="shared" si="109"/>
        <v>182</v>
      </c>
      <c r="K546" s="152">
        <f t="shared" si="110"/>
        <v>203</v>
      </c>
      <c r="L546" s="152">
        <f t="shared" si="111"/>
        <v>151</v>
      </c>
      <c r="M546" s="152">
        <f t="shared" si="112"/>
        <v>1</v>
      </c>
      <c r="N546" s="152">
        <f t="shared" si="113"/>
        <v>14</v>
      </c>
      <c r="P546" s="172">
        <v>72</v>
      </c>
      <c r="AI546" s="154"/>
      <c r="AT546" s="148">
        <v>3</v>
      </c>
      <c r="AU546" s="155">
        <v>182</v>
      </c>
      <c r="AV546" s="155"/>
      <c r="AY546" s="148">
        <v>1</v>
      </c>
      <c r="AZ546" s="155">
        <v>14</v>
      </c>
      <c r="BA546" s="174" t="s">
        <v>81</v>
      </c>
      <c r="BB546" s="152" t="s">
        <v>331</v>
      </c>
      <c r="BC546" s="150"/>
      <c r="BD546" s="150"/>
      <c r="BF546" s="148" t="s">
        <v>481</v>
      </c>
    </row>
    <row r="547" spans="1:58" s="152" customFormat="1" ht="14.25" x14ac:dyDescent="0.2">
      <c r="A547" s="160" t="str">
        <f t="shared" si="106"/>
        <v>A8</v>
      </c>
      <c r="B547" s="152" t="s">
        <v>658</v>
      </c>
      <c r="C547" s="160">
        <f t="shared" si="107"/>
        <v>70</v>
      </c>
      <c r="D547" s="160"/>
      <c r="E547" s="170" t="str">
        <f>IF(OR(A547="",B547="",C547=""),"eine der Spalten BAB, FR, km leer?",CONCATENATE(VLOOKUP(VALUE(I547),[1]Grundlage!$A$1:$B$14,2,0),IF(LEFT(A547,1)="A",IF(VALUE(MID(A547,2,10))&lt;10,"A00"&amp;VALUE(MID(A547,2,10)),IF(VALUE(MID(A547,2,10))&lt;100,"A0"&amp;VALUE(MID(A547,2,10)),IF(VALUE(MID(A547,2,10))&lt;1000,"A"&amp;VALUE(MID(A547,2,10))))),IF(LEFT(A547,1)="B",IF(VALUE(MID(A547,2,10))&lt;10,"B00"&amp;VALUE(MID(A547,2,10)),IF(VALUE(MID(A547,2,10))&lt;100,"B0"&amp;VALUE(MID(A547,2,10)),IF(VALUE(MID(A547,2,10))&lt;1000,"B"&amp;VALUE(MID(A547,2,10))))),A547)),"_",IF(NOT(OR(C547=1000,C547&gt;1000)),MID(TEXT((C547+1000)*1000,0),2,6),"keine Meter in Spalte km!!!"),IF(VALUE(I547)=1,CONCATENATE("_",VLOOKUP(IF(V547&gt;0,V547,J547),[1]Grundlage!$A$20:$B$181,2,0)),CONCATENATE("_",B547))))</f>
        <v>UQ_A008_070000_O</v>
      </c>
      <c r="F547" s="152" t="s">
        <v>683</v>
      </c>
      <c r="G547" s="171">
        <f t="shared" si="100"/>
        <v>3154</v>
      </c>
      <c r="H547" s="160">
        <f t="shared" si="101"/>
        <v>146</v>
      </c>
      <c r="I547" s="152">
        <f t="shared" si="108"/>
        <v>3</v>
      </c>
      <c r="J547" s="152">
        <f t="shared" si="109"/>
        <v>16</v>
      </c>
      <c r="K547" s="152">
        <f t="shared" si="110"/>
        <v>203</v>
      </c>
      <c r="L547" s="152">
        <f t="shared" si="111"/>
        <v>151</v>
      </c>
      <c r="M547" s="152">
        <f t="shared" si="112"/>
        <v>1</v>
      </c>
      <c r="N547" s="152">
        <f t="shared" si="113"/>
        <v>15</v>
      </c>
      <c r="P547" s="172">
        <v>65</v>
      </c>
      <c r="AI547" s="154"/>
      <c r="AT547" s="148">
        <v>3</v>
      </c>
      <c r="AU547" s="155">
        <v>16</v>
      </c>
      <c r="AV547" s="155"/>
      <c r="AY547" s="148">
        <v>1</v>
      </c>
      <c r="AZ547" s="155">
        <v>15</v>
      </c>
      <c r="BA547" s="174" t="s">
        <v>82</v>
      </c>
      <c r="BB547" s="152" t="s">
        <v>472</v>
      </c>
      <c r="BC547" s="150"/>
      <c r="BD547" s="150"/>
      <c r="BF547" s="148" t="s">
        <v>482</v>
      </c>
    </row>
    <row r="548" spans="1:58" ht="14.25" x14ac:dyDescent="0.2">
      <c r="A548" t="str">
        <f t="shared" si="106"/>
        <v>A8</v>
      </c>
      <c r="C548">
        <f t="shared" si="107"/>
        <v>70</v>
      </c>
      <c r="D548" t="str">
        <f t="shared" ref="D548:D603" si="115">IF(AJ548="SST","SS",IF(AND(AJ548="",ISTEXT(BF548)),"UFD",""))</f>
        <v/>
      </c>
      <c r="E548" s="169" t="str">
        <f>IF(OR(A548="",B548="",C548=""),"",CONCATENATE(VLOOKUP(VALUE(I548),[1]Grundlage!$A$1:$B$14,2,0),IF(LEFT(A548,1)="A",IF(VALUE(MID(A548,2,10))&lt;10,"A00"&amp;VALUE(MID(A548,2,10)),IF(VALUE(MID(A548,2,10))&lt;100,"A0"&amp;VALUE(MID(A548,2,10)),IF(VALUE(MID(A548,2,10))&lt;1000,"A"&amp;VALUE(MID(A548,2,10))))),IF(LEFT(A548,1)="B",IF(VALUE(MID(A548,2,10))&lt;10,"B00"&amp;VALUE(MID(A548,2,10)),IF(VALUE(MID(A548,2,10))&lt;100,"B0"&amp;VALUE(MID(A548,2,10)),IF(VALUE(MID(A548,2,10))&lt;1000,"B"&amp;VALUE(MID(A548,2,10))))),A548)),"_",IF(NOT(OR(C548=1000,C548&gt;1000)),MID(TEXT((C548+1000)*1000,0),2,6),"keine Meter in Spalte km!!!"),IF(VALUE(I548)=1,CONCATENATE("_",VLOOKUP(IF(V548&gt;0,V548,J548),[1]Grundlage!$A$20:$B$181,2,0)),CONCATENATE("_",B548))))</f>
        <v/>
      </c>
      <c r="F548" s="2" t="s">
        <v>669</v>
      </c>
      <c r="G548" s="167">
        <f t="shared" si="100"/>
        <v>3154</v>
      </c>
      <c r="H548">
        <f t="shared" si="101"/>
        <v>146</v>
      </c>
      <c r="I548" s="2">
        <f t="shared" si="108"/>
        <v>0</v>
      </c>
      <c r="J548" s="2">
        <f t="shared" si="109"/>
        <v>0</v>
      </c>
      <c r="K548" s="2">
        <f t="shared" si="110"/>
        <v>203</v>
      </c>
      <c r="L548" s="2">
        <f t="shared" si="111"/>
        <v>151</v>
      </c>
      <c r="M548" s="2" t="str">
        <f t="shared" si="112"/>
        <v/>
      </c>
      <c r="N548" s="2" t="str">
        <f t="shared" si="113"/>
        <v/>
      </c>
      <c r="P548" s="168" t="str">
        <f t="shared" si="114"/>
        <v/>
      </c>
      <c r="AT548" s="19"/>
      <c r="AU548" s="14"/>
      <c r="AV548" s="14"/>
      <c r="AY548" s="1"/>
      <c r="AZ548" s="14"/>
      <c r="BB548" s="13"/>
      <c r="BF548" s="19"/>
    </row>
    <row r="549" spans="1:58" s="152" customFormat="1" ht="14.25" x14ac:dyDescent="0.2">
      <c r="A549" s="160" t="s">
        <v>168</v>
      </c>
      <c r="B549" s="152" t="s">
        <v>658</v>
      </c>
      <c r="C549" s="160">
        <f t="shared" si="107"/>
        <v>53.95</v>
      </c>
      <c r="D549" s="160"/>
      <c r="E549" s="170" t="str">
        <f>IF(OR(A549="",B549="",C549=""),"eine der Spalten BAB, FR, km leer?",CONCATENATE(VLOOKUP(VALUE(I549),[1]Grundlage!$A$1:$B$14,2,0),IF(LEFT(A549,1)="A",IF(VALUE(MID(A549,2,10))&lt;10,"A00"&amp;VALUE(MID(A549,2,10)),IF(VALUE(MID(A549,2,10))&lt;100,"A0"&amp;VALUE(MID(A549,2,10)),IF(VALUE(MID(A549,2,10))&lt;1000,"A"&amp;VALUE(MID(A549,2,10))))),IF(LEFT(A549,1)="B",IF(VALUE(MID(A549,2,10))&lt;10,"B00"&amp;VALUE(MID(A549,2,10)),IF(VALUE(MID(A549,2,10))&lt;100,"B0"&amp;VALUE(MID(A549,2,10)),IF(VALUE(MID(A549,2,10))&lt;1000,"B"&amp;VALUE(MID(A549,2,10))))),A549)),"_",IF(NOT(OR(C549=1000,C549&gt;1000)),MID(TEXT((C549+1000)*1000,0),2,6),"keine Meter in Spalte km!!!"),IF(VALUE(I549)=1,CONCATENATE("_",VLOOKUP(IF(V549&gt;0,V549,J549),[1]Grundlage!$A$20:$B$181,2,0)),CONCATENATE("_",B549))))</f>
        <v>SSt_A008_053950_O</v>
      </c>
      <c r="F549" s="152" t="s">
        <v>630</v>
      </c>
      <c r="G549" s="171">
        <f t="shared" si="100"/>
        <v>3154</v>
      </c>
      <c r="H549" s="160">
        <f t="shared" si="101"/>
        <v>9</v>
      </c>
      <c r="I549" s="152">
        <f t="shared" si="108"/>
        <v>0</v>
      </c>
      <c r="J549" s="152">
        <f t="shared" si="109"/>
        <v>0</v>
      </c>
      <c r="K549" s="152">
        <f t="shared" si="110"/>
        <v>200</v>
      </c>
      <c r="L549" s="152">
        <f t="shared" si="111"/>
        <v>4</v>
      </c>
      <c r="M549" s="152" t="str">
        <f t="shared" si="112"/>
        <v/>
      </c>
      <c r="N549" s="152" t="str">
        <f t="shared" si="113"/>
        <v/>
      </c>
      <c r="P549" s="172" t="str">
        <f t="shared" si="114"/>
        <v/>
      </c>
      <c r="AI549" s="173">
        <v>53.95</v>
      </c>
      <c r="AJ549" s="148" t="s">
        <v>19</v>
      </c>
      <c r="AK549" s="148" t="s">
        <v>60</v>
      </c>
      <c r="AL549" s="148"/>
      <c r="AM549" s="148"/>
      <c r="AN549" s="148"/>
      <c r="AO549" s="148"/>
      <c r="AP549" s="148">
        <v>807433</v>
      </c>
      <c r="AQ549" s="158" t="s">
        <v>79</v>
      </c>
      <c r="AR549" s="148">
        <v>52</v>
      </c>
      <c r="AS549" s="177" t="s">
        <v>629</v>
      </c>
      <c r="AT549" s="148"/>
      <c r="AU549" s="148"/>
      <c r="AV549" s="148"/>
      <c r="AW549" s="148">
        <v>200</v>
      </c>
      <c r="AX549" s="148">
        <v>4</v>
      </c>
      <c r="AY549" s="148"/>
      <c r="AZ549" s="148"/>
      <c r="BA549" s="148"/>
      <c r="BB549" s="149" t="s">
        <v>630</v>
      </c>
      <c r="BC549" s="150"/>
      <c r="BD549" s="158" t="s">
        <v>163</v>
      </c>
      <c r="BE549" s="152" t="s">
        <v>57</v>
      </c>
      <c r="BF549" s="152" t="s">
        <v>620</v>
      </c>
    </row>
    <row r="550" spans="1:58" s="152" customFormat="1" ht="14.25" x14ac:dyDescent="0.2">
      <c r="A550" s="160" t="str">
        <f t="shared" si="106"/>
        <v>A8</v>
      </c>
      <c r="B550" s="152" t="s">
        <v>658</v>
      </c>
      <c r="C550" s="160">
        <f t="shared" si="107"/>
        <v>53.95</v>
      </c>
      <c r="D550" s="160"/>
      <c r="E550" s="170" t="str">
        <f>IF(OR(A550="",B550="",C550=""),"eine der Spalten BAB, FR, km leer?",CONCATENATE(VLOOKUP(VALUE(I550),[1]Grundlage!$A$1:$B$14,2,0),IF(LEFT(A550,1)="A",IF(VALUE(MID(A550,2,10))&lt;10,"A00"&amp;VALUE(MID(A550,2,10)),IF(VALUE(MID(A550,2,10))&lt;100,"A0"&amp;VALUE(MID(A550,2,10)),IF(VALUE(MID(A550,2,10))&lt;1000,"A"&amp;VALUE(MID(A550,2,10))))),IF(LEFT(A550,1)="B",IF(VALUE(MID(A550,2,10))&lt;10,"B00"&amp;VALUE(MID(A550,2,10)),IF(VALUE(MID(A550,2,10))&lt;100,"B0"&amp;VALUE(MID(A550,2,10)),IF(VALUE(MID(A550,2,10))&lt;1000,"B"&amp;VALUE(MID(A550,2,10))))),A550)),"_",IF(NOT(OR(C550=1000,C550&gt;1000)),MID(TEXT((C550+1000)*1000,0),2,6),"keine Meter in Spalte km!!!"),IF(VALUE(I550)=1,CONCATENATE("_",VLOOKUP(IF(V550&gt;0,V550,J550),[1]Grundlage!$A$20:$B$181,2,0)),CONCATENATE("_",B550))))</f>
        <v>UQ_A008_053950_O</v>
      </c>
      <c r="F550" s="152" t="s">
        <v>269</v>
      </c>
      <c r="G550" s="171">
        <f t="shared" si="100"/>
        <v>3154</v>
      </c>
      <c r="H550" s="160">
        <f t="shared" si="101"/>
        <v>9</v>
      </c>
      <c r="I550" s="152">
        <f t="shared" si="108"/>
        <v>3</v>
      </c>
      <c r="J550" s="152">
        <f t="shared" si="109"/>
        <v>6</v>
      </c>
      <c r="K550" s="152">
        <f t="shared" si="110"/>
        <v>200</v>
      </c>
      <c r="L550" s="152" t="str">
        <f t="shared" si="111"/>
        <v>4</v>
      </c>
      <c r="M550" s="152">
        <f t="shared" si="112"/>
        <v>1</v>
      </c>
      <c r="N550" s="152">
        <f t="shared" si="113"/>
        <v>1</v>
      </c>
      <c r="P550" s="172">
        <f t="shared" si="114"/>
        <v>71</v>
      </c>
      <c r="AI550" s="154"/>
      <c r="AQ550" s="152">
        <v>12</v>
      </c>
      <c r="AR550" s="152">
        <v>82</v>
      </c>
      <c r="AS550" s="152">
        <v>9</v>
      </c>
      <c r="AT550" s="148">
        <v>3</v>
      </c>
      <c r="AU550" s="155">
        <v>6</v>
      </c>
      <c r="AV550" s="156">
        <v>6</v>
      </c>
      <c r="AW550" s="148"/>
      <c r="AX550" s="148" t="str">
        <f>DEC2HEX(AX549)</f>
        <v>4</v>
      </c>
      <c r="AY550" s="148">
        <v>1</v>
      </c>
      <c r="AZ550" s="155">
        <v>1</v>
      </c>
      <c r="BA550" s="156"/>
      <c r="BB550" s="152" t="s">
        <v>269</v>
      </c>
      <c r="BC550" s="150"/>
      <c r="BD550" s="150"/>
      <c r="BF550" s="152" t="s">
        <v>607</v>
      </c>
    </row>
    <row r="551" spans="1:58" s="152" customFormat="1" ht="14.25" x14ac:dyDescent="0.2">
      <c r="A551" s="160" t="str">
        <f t="shared" si="106"/>
        <v>A8</v>
      </c>
      <c r="B551" s="152" t="s">
        <v>658</v>
      </c>
      <c r="C551" s="160">
        <f t="shared" si="107"/>
        <v>53.95</v>
      </c>
      <c r="D551" s="160"/>
      <c r="E551" s="170" t="str">
        <f>IF(OR(A551="",B551="",C551=""),"eine der Spalten BAB, FR, km leer?",CONCATENATE(VLOOKUP(VALUE(I551),[1]Grundlage!$A$1:$B$14,2,0),IF(LEFT(A551,1)="A",IF(VALUE(MID(A551,2,10))&lt;10,"A00"&amp;VALUE(MID(A551,2,10)),IF(VALUE(MID(A551,2,10))&lt;100,"A0"&amp;VALUE(MID(A551,2,10)),IF(VALUE(MID(A551,2,10))&lt;1000,"A"&amp;VALUE(MID(A551,2,10))))),IF(LEFT(A551,1)="B",IF(VALUE(MID(A551,2,10))&lt;10,"B00"&amp;VALUE(MID(A551,2,10)),IF(VALUE(MID(A551,2,10))&lt;100,"B0"&amp;VALUE(MID(A551,2,10)),IF(VALUE(MID(A551,2,10))&lt;1000,"B"&amp;VALUE(MID(A551,2,10))))),A551)),"_",IF(NOT(OR(C551=1000,C551&gt;1000)),MID(TEXT((C551+1000)*1000,0),2,6),"keine Meter in Spalte km!!!"),IF(VALUE(I551)=1,CONCATENATE("_",VLOOKUP(IF(V551&gt;0,V551,J551),[1]Grundlage!$A$20:$B$181,2,0)),CONCATENATE("_",B551))))</f>
        <v>UQ_A008_053950_O</v>
      </c>
      <c r="F551" s="152" t="s">
        <v>270</v>
      </c>
      <c r="G551" s="171">
        <f t="shared" ref="G551:G614" si="116">IF(ISBLANK(AP551),G550,INT(AP551/256))</f>
        <v>3154</v>
      </c>
      <c r="H551" s="160">
        <f t="shared" ref="H551:H614" si="117">IF(ISBLANK(AP551),H550,MOD(AP551,256))</f>
        <v>9</v>
      </c>
      <c r="I551" s="152">
        <f t="shared" si="108"/>
        <v>3</v>
      </c>
      <c r="J551" s="152">
        <f t="shared" si="109"/>
        <v>11</v>
      </c>
      <c r="K551" s="152">
        <f t="shared" si="110"/>
        <v>200</v>
      </c>
      <c r="L551" s="152" t="str">
        <f t="shared" si="111"/>
        <v>4</v>
      </c>
      <c r="M551" s="152">
        <f t="shared" si="112"/>
        <v>1</v>
      </c>
      <c r="N551" s="152">
        <f t="shared" si="113"/>
        <v>2</v>
      </c>
      <c r="P551" s="172">
        <f t="shared" si="114"/>
        <v>70</v>
      </c>
      <c r="AI551" s="154"/>
      <c r="AT551" s="148">
        <v>3</v>
      </c>
      <c r="AU551" s="155">
        <v>11</v>
      </c>
      <c r="AV551" s="155" t="s">
        <v>78</v>
      </c>
      <c r="AY551" s="148">
        <v>1</v>
      </c>
      <c r="AZ551" s="155">
        <v>2</v>
      </c>
      <c r="BA551" s="155"/>
      <c r="BB551" s="152" t="s">
        <v>270</v>
      </c>
      <c r="BC551" s="150"/>
      <c r="BD551" s="150"/>
      <c r="BF551" s="152" t="s">
        <v>621</v>
      </c>
    </row>
    <row r="552" spans="1:58" s="152" customFormat="1" ht="14.25" x14ac:dyDescent="0.2">
      <c r="A552" s="160" t="str">
        <f t="shared" si="106"/>
        <v>A8</v>
      </c>
      <c r="B552" s="152" t="s">
        <v>658</v>
      </c>
      <c r="C552" s="160">
        <f t="shared" si="107"/>
        <v>53.95</v>
      </c>
      <c r="D552" s="160"/>
      <c r="E552" s="170" t="str">
        <f>IF(OR(A552="",B552="",C552=""),"eine der Spalten BAB, FR, km leer?",CONCATENATE(VLOOKUP(VALUE(I552),[1]Grundlage!$A$1:$B$14,2,0),IF(LEFT(A552,1)="A",IF(VALUE(MID(A552,2,10))&lt;10,"A00"&amp;VALUE(MID(A552,2,10)),IF(VALUE(MID(A552,2,10))&lt;100,"A0"&amp;VALUE(MID(A552,2,10)),IF(VALUE(MID(A552,2,10))&lt;1000,"A"&amp;VALUE(MID(A552,2,10))))),IF(LEFT(A552,1)="B",IF(VALUE(MID(A552,2,10))&lt;10,"B00"&amp;VALUE(MID(A552,2,10)),IF(VALUE(MID(A552,2,10))&lt;100,"B0"&amp;VALUE(MID(A552,2,10)),IF(VALUE(MID(A552,2,10))&lt;1000,"B"&amp;VALUE(MID(A552,2,10))))),A552)),"_",IF(NOT(OR(C552=1000,C552&gt;1000)),MID(TEXT((C552+1000)*1000,0),2,6),"keine Meter in Spalte km!!!"),IF(VALUE(I552)=1,CONCATENATE("_",VLOOKUP(IF(V552&gt;0,V552,J552),[1]Grundlage!$A$20:$B$181,2,0)),CONCATENATE("_",B552))))</f>
        <v>UQ_A008_053950_O</v>
      </c>
      <c r="F552" s="152" t="s">
        <v>25</v>
      </c>
      <c r="G552" s="171">
        <f t="shared" si="116"/>
        <v>3154</v>
      </c>
      <c r="H552" s="160">
        <f t="shared" si="117"/>
        <v>9</v>
      </c>
      <c r="I552" s="152">
        <f t="shared" si="108"/>
        <v>3</v>
      </c>
      <c r="J552" s="152">
        <f t="shared" si="109"/>
        <v>12</v>
      </c>
      <c r="K552" s="152">
        <f t="shared" si="110"/>
        <v>200</v>
      </c>
      <c r="L552" s="152" t="str">
        <f t="shared" si="111"/>
        <v>4</v>
      </c>
      <c r="M552" s="152">
        <f t="shared" si="112"/>
        <v>1</v>
      </c>
      <c r="N552" s="152">
        <f t="shared" si="113"/>
        <v>3</v>
      </c>
      <c r="P552" s="172">
        <f t="shared" si="114"/>
        <v>48</v>
      </c>
      <c r="AI552" s="154"/>
      <c r="AT552" s="148">
        <v>3</v>
      </c>
      <c r="AU552" s="155">
        <v>12</v>
      </c>
      <c r="AV552" s="155" t="s">
        <v>79</v>
      </c>
      <c r="AY552" s="148">
        <v>1</v>
      </c>
      <c r="AZ552" s="155">
        <f>AZ551+1</f>
        <v>3</v>
      </c>
      <c r="BA552" s="155"/>
      <c r="BB552" s="152" t="s">
        <v>25</v>
      </c>
      <c r="BC552" s="150"/>
      <c r="BD552" s="150"/>
      <c r="BF552" s="152" t="s">
        <v>441</v>
      </c>
    </row>
    <row r="553" spans="1:58" s="152" customFormat="1" ht="14.25" x14ac:dyDescent="0.2">
      <c r="A553" s="160" t="str">
        <f t="shared" si="106"/>
        <v>A8</v>
      </c>
      <c r="B553" s="152" t="s">
        <v>658</v>
      </c>
      <c r="C553" s="160">
        <f t="shared" si="107"/>
        <v>53.95</v>
      </c>
      <c r="D553" s="160"/>
      <c r="E553" s="170" t="str">
        <f>IF(OR(A553="",B553="",C553=""),"eine der Spalten BAB, FR, km leer?",CONCATENATE(VLOOKUP(VALUE(I553),[1]Grundlage!$A$1:$B$14,2,0),IF(LEFT(A553,1)="A",IF(VALUE(MID(A553,2,10))&lt;10,"A00"&amp;VALUE(MID(A553,2,10)),IF(VALUE(MID(A553,2,10))&lt;100,"A0"&amp;VALUE(MID(A553,2,10)),IF(VALUE(MID(A553,2,10))&lt;1000,"A"&amp;VALUE(MID(A553,2,10))))),IF(LEFT(A553,1)="B",IF(VALUE(MID(A553,2,10))&lt;10,"B00"&amp;VALUE(MID(A553,2,10)),IF(VALUE(MID(A553,2,10))&lt;100,"B0"&amp;VALUE(MID(A553,2,10)),IF(VALUE(MID(A553,2,10))&lt;1000,"B"&amp;VALUE(MID(A553,2,10))))),A553)),"_",IF(NOT(OR(C553=1000,C553&gt;1000)),MID(TEXT((C553+1000)*1000,0),2,6),"keine Meter in Spalte km!!!"),IF(VALUE(I553)=1,CONCATENATE("_",VLOOKUP(IF(V553&gt;0,V553,J553),[1]Grundlage!$A$20:$B$181,2,0)),CONCATENATE("_",B553))))</f>
        <v>UQ_A008_053950_O</v>
      </c>
      <c r="F553" s="152" t="s">
        <v>26</v>
      </c>
      <c r="G553" s="171">
        <f t="shared" si="116"/>
        <v>3154</v>
      </c>
      <c r="H553" s="160">
        <f t="shared" si="117"/>
        <v>9</v>
      </c>
      <c r="I553" s="152">
        <f t="shared" si="108"/>
        <v>3</v>
      </c>
      <c r="J553" s="152">
        <f t="shared" si="109"/>
        <v>13</v>
      </c>
      <c r="K553" s="152">
        <f t="shared" si="110"/>
        <v>200</v>
      </c>
      <c r="L553" s="152" t="str">
        <f t="shared" si="111"/>
        <v>4</v>
      </c>
      <c r="M553" s="152">
        <f t="shared" si="112"/>
        <v>1</v>
      </c>
      <c r="N553" s="152">
        <f t="shared" si="113"/>
        <v>4</v>
      </c>
      <c r="P553" s="172">
        <f t="shared" si="114"/>
        <v>55</v>
      </c>
      <c r="AI553" s="154"/>
      <c r="AT553" s="148">
        <v>3</v>
      </c>
      <c r="AU553" s="155">
        <v>13</v>
      </c>
      <c r="AV553" s="155" t="s">
        <v>80</v>
      </c>
      <c r="AY553" s="148">
        <v>1</v>
      </c>
      <c r="AZ553" s="155">
        <v>4</v>
      </c>
      <c r="BA553" s="155"/>
      <c r="BB553" s="152" t="s">
        <v>26</v>
      </c>
      <c r="BC553" s="150"/>
      <c r="BD553" s="150"/>
      <c r="BF553" s="152" t="s">
        <v>442</v>
      </c>
    </row>
    <row r="554" spans="1:58" s="152" customFormat="1" ht="14.25" x14ac:dyDescent="0.2">
      <c r="A554" s="160" t="str">
        <f t="shared" si="106"/>
        <v>A8</v>
      </c>
      <c r="B554" s="152" t="s">
        <v>658</v>
      </c>
      <c r="C554" s="160">
        <f t="shared" si="107"/>
        <v>53.95</v>
      </c>
      <c r="D554" s="160"/>
      <c r="E554" s="170" t="str">
        <f>IF(OR(A554="",B554="",C554=""),"eine der Spalten BAB, FR, km leer?",CONCATENATE(VLOOKUP(VALUE(I554),[1]Grundlage!$A$1:$B$14,2,0),IF(LEFT(A554,1)="A",IF(VALUE(MID(A554,2,10))&lt;10,"A00"&amp;VALUE(MID(A554,2,10)),IF(VALUE(MID(A554,2,10))&lt;100,"A0"&amp;VALUE(MID(A554,2,10)),IF(VALUE(MID(A554,2,10))&lt;1000,"A"&amp;VALUE(MID(A554,2,10))))),IF(LEFT(A554,1)="B",IF(VALUE(MID(A554,2,10))&lt;10,"B00"&amp;VALUE(MID(A554,2,10)),IF(VALUE(MID(A554,2,10))&lt;100,"B0"&amp;VALUE(MID(A554,2,10)),IF(VALUE(MID(A554,2,10))&lt;1000,"B"&amp;VALUE(MID(A554,2,10))))),A554)),"_",IF(NOT(OR(C554=1000,C554&gt;1000)),MID(TEXT((C554+1000)*1000,0),2,6),"keine Meter in Spalte km!!!"),IF(VALUE(I554)=1,CONCATENATE("_",VLOOKUP(IF(V554&gt;0,V554,J554),[1]Grundlage!$A$20:$B$181,2,0)),CONCATENATE("_",B554))))</f>
        <v>UQ_A008_053950_O</v>
      </c>
      <c r="F554" s="152" t="s">
        <v>27</v>
      </c>
      <c r="G554" s="171">
        <f t="shared" si="116"/>
        <v>3154</v>
      </c>
      <c r="H554" s="160">
        <f t="shared" si="117"/>
        <v>9</v>
      </c>
      <c r="I554" s="152">
        <f t="shared" si="108"/>
        <v>3</v>
      </c>
      <c r="J554" s="152">
        <f t="shared" si="109"/>
        <v>14</v>
      </c>
      <c r="K554" s="152">
        <f t="shared" si="110"/>
        <v>200</v>
      </c>
      <c r="L554" s="152" t="str">
        <f t="shared" si="111"/>
        <v>4</v>
      </c>
      <c r="M554" s="152">
        <f t="shared" si="112"/>
        <v>1</v>
      </c>
      <c r="N554" s="152">
        <f t="shared" si="113"/>
        <v>5</v>
      </c>
      <c r="P554" s="172">
        <f t="shared" si="114"/>
        <v>66</v>
      </c>
      <c r="AI554" s="154"/>
      <c r="AT554" s="148">
        <v>3</v>
      </c>
      <c r="AU554" s="155">
        <v>14</v>
      </c>
      <c r="AV554" s="155" t="s">
        <v>81</v>
      </c>
      <c r="AY554" s="148">
        <v>1</v>
      </c>
      <c r="AZ554" s="155">
        <v>5</v>
      </c>
      <c r="BA554" s="155"/>
      <c r="BB554" s="152" t="s">
        <v>27</v>
      </c>
      <c r="BC554" s="150"/>
      <c r="BD554" s="150"/>
      <c r="BF554" s="152" t="s">
        <v>443</v>
      </c>
    </row>
    <row r="555" spans="1:58" s="152" customFormat="1" ht="14.25" x14ac:dyDescent="0.2">
      <c r="A555" s="160" t="str">
        <f t="shared" si="106"/>
        <v>A8</v>
      </c>
      <c r="B555" s="152" t="s">
        <v>658</v>
      </c>
      <c r="C555" s="160">
        <f t="shared" si="107"/>
        <v>53.95</v>
      </c>
      <c r="D555" s="160"/>
      <c r="E555" s="170" t="str">
        <f>IF(OR(A555="",B555="",C555=""),"eine der Spalten BAB, FR, km leer?",CONCATENATE(VLOOKUP(VALUE(I555),[1]Grundlage!$A$1:$B$14,2,0),IF(LEFT(A555,1)="A",IF(VALUE(MID(A555,2,10))&lt;10,"A00"&amp;VALUE(MID(A555,2,10)),IF(VALUE(MID(A555,2,10))&lt;100,"A0"&amp;VALUE(MID(A555,2,10)),IF(VALUE(MID(A555,2,10))&lt;1000,"A"&amp;VALUE(MID(A555,2,10))))),IF(LEFT(A555,1)="B",IF(VALUE(MID(A555,2,10))&lt;10,"B00"&amp;VALUE(MID(A555,2,10)),IF(VALUE(MID(A555,2,10))&lt;100,"B0"&amp;VALUE(MID(A555,2,10)),IF(VALUE(MID(A555,2,10))&lt;1000,"B"&amp;VALUE(MID(A555,2,10))))),A555)),"_",IF(NOT(OR(C555=1000,C555&gt;1000)),MID(TEXT((C555+1000)*1000,0),2,6),"keine Meter in Spalte km!!!"),IF(VALUE(I555)=1,CONCATENATE("_",VLOOKUP(IF(V555&gt;0,V555,J555),[1]Grundlage!$A$20:$B$181,2,0)),CONCATENATE("_",B555))))</f>
        <v>UQ_A008_053950_O</v>
      </c>
      <c r="F555" s="152" t="s">
        <v>28</v>
      </c>
      <c r="G555" s="171">
        <f t="shared" si="116"/>
        <v>3154</v>
      </c>
      <c r="H555" s="160">
        <f t="shared" si="117"/>
        <v>9</v>
      </c>
      <c r="I555" s="152">
        <f t="shared" si="108"/>
        <v>3</v>
      </c>
      <c r="J555" s="152">
        <f t="shared" si="109"/>
        <v>15</v>
      </c>
      <c r="K555" s="152">
        <f t="shared" si="110"/>
        <v>200</v>
      </c>
      <c r="L555" s="152" t="str">
        <f t="shared" si="111"/>
        <v>4</v>
      </c>
      <c r="M555" s="152">
        <f t="shared" si="112"/>
        <v>1</v>
      </c>
      <c r="N555" s="152">
        <f t="shared" si="113"/>
        <v>6</v>
      </c>
      <c r="P555" s="172">
        <f t="shared" si="114"/>
        <v>65</v>
      </c>
      <c r="AI555" s="154"/>
      <c r="AT555" s="148">
        <v>3</v>
      </c>
      <c r="AU555" s="155">
        <v>15</v>
      </c>
      <c r="AV555" s="155" t="s">
        <v>82</v>
      </c>
      <c r="AY555" s="148">
        <v>1</v>
      </c>
      <c r="AZ555" s="155">
        <v>6</v>
      </c>
      <c r="BA555" s="155"/>
      <c r="BB555" s="152" t="s">
        <v>28</v>
      </c>
      <c r="BC555" s="150"/>
      <c r="BD555" s="150"/>
      <c r="BF555" s="152" t="s">
        <v>622</v>
      </c>
    </row>
    <row r="556" spans="1:58" s="152" customFormat="1" ht="14.25" x14ac:dyDescent="0.2">
      <c r="A556" s="160" t="str">
        <f t="shared" si="106"/>
        <v>A8</v>
      </c>
      <c r="B556" s="152" t="s">
        <v>658</v>
      </c>
      <c r="C556" s="160">
        <f t="shared" si="107"/>
        <v>53.95</v>
      </c>
      <c r="D556" s="160"/>
      <c r="E556" s="170" t="str">
        <f>IF(OR(A556="",B556="",C556=""),"eine der Spalten BAB, FR, km leer?",CONCATENATE(VLOOKUP(VALUE(I556),[1]Grundlage!$A$1:$B$14,2,0),IF(LEFT(A556,1)="A",IF(VALUE(MID(A556,2,10))&lt;10,"A00"&amp;VALUE(MID(A556,2,10)),IF(VALUE(MID(A556,2,10))&lt;100,"A0"&amp;VALUE(MID(A556,2,10)),IF(VALUE(MID(A556,2,10))&lt;1000,"A"&amp;VALUE(MID(A556,2,10))))),IF(LEFT(A556,1)="B",IF(VALUE(MID(A556,2,10))&lt;10,"B00"&amp;VALUE(MID(A556,2,10)),IF(VALUE(MID(A556,2,10))&lt;100,"B0"&amp;VALUE(MID(A556,2,10)),IF(VALUE(MID(A556,2,10))&lt;1000,"B"&amp;VALUE(MID(A556,2,10))))),A556)),"_",IF(NOT(OR(C556=1000,C556&gt;1000)),MID(TEXT((C556+1000)*1000,0),2,6),"keine Meter in Spalte km!!!"),IF(VALUE(I556)=1,CONCATENATE("_",VLOOKUP(IF(V556&gt;0,V556,J556),[1]Grundlage!$A$20:$B$181,2,0)),CONCATENATE("_",B556))))</f>
        <v>UQ_A008_053950_O</v>
      </c>
      <c r="F556" s="152" t="s">
        <v>29</v>
      </c>
      <c r="G556" s="171">
        <f t="shared" si="116"/>
        <v>3154</v>
      </c>
      <c r="H556" s="160">
        <f t="shared" si="117"/>
        <v>9</v>
      </c>
      <c r="I556" s="152">
        <f t="shared" si="108"/>
        <v>3</v>
      </c>
      <c r="J556" s="152">
        <f t="shared" si="109"/>
        <v>19</v>
      </c>
      <c r="K556" s="152">
        <f t="shared" si="110"/>
        <v>200</v>
      </c>
      <c r="L556" s="152" t="str">
        <f t="shared" si="111"/>
        <v>4</v>
      </c>
      <c r="M556" s="152">
        <f t="shared" si="112"/>
        <v>1</v>
      </c>
      <c r="N556" s="152">
        <f t="shared" si="113"/>
        <v>7</v>
      </c>
      <c r="P556" s="172">
        <f t="shared" si="114"/>
        <v>49</v>
      </c>
      <c r="AI556" s="154"/>
      <c r="AT556" s="148">
        <v>3</v>
      </c>
      <c r="AU556" s="155">
        <v>19</v>
      </c>
      <c r="AV556" s="155">
        <v>13</v>
      </c>
      <c r="AY556" s="148">
        <v>1</v>
      </c>
      <c r="AZ556" s="155">
        <v>7</v>
      </c>
      <c r="BA556" s="155"/>
      <c r="BB556" s="152" t="s">
        <v>29</v>
      </c>
      <c r="BC556" s="150"/>
      <c r="BD556" s="150"/>
      <c r="BF556" s="152" t="s">
        <v>623</v>
      </c>
    </row>
    <row r="557" spans="1:58" s="152" customFormat="1" ht="14.25" x14ac:dyDescent="0.2">
      <c r="A557" s="160" t="str">
        <f t="shared" si="106"/>
        <v>A8</v>
      </c>
      <c r="B557" s="152" t="s">
        <v>658</v>
      </c>
      <c r="C557" s="160">
        <f t="shared" si="107"/>
        <v>53.95</v>
      </c>
      <c r="D557" s="160"/>
      <c r="E557" s="170" t="str">
        <f>IF(OR(A557="",B557="",C557=""),"eine der Spalten BAB, FR, km leer?",CONCATENATE(VLOOKUP(VALUE(I557),[1]Grundlage!$A$1:$B$14,2,0),IF(LEFT(A557,1)="A",IF(VALUE(MID(A557,2,10))&lt;10,"A00"&amp;VALUE(MID(A557,2,10)),IF(VALUE(MID(A557,2,10))&lt;100,"A0"&amp;VALUE(MID(A557,2,10)),IF(VALUE(MID(A557,2,10))&lt;1000,"A"&amp;VALUE(MID(A557,2,10))))),IF(LEFT(A557,1)="B",IF(VALUE(MID(A557,2,10))&lt;10,"B00"&amp;VALUE(MID(A557,2,10)),IF(VALUE(MID(A557,2,10))&lt;100,"B0"&amp;VALUE(MID(A557,2,10)),IF(VALUE(MID(A557,2,10))&lt;1000,"B"&amp;VALUE(MID(A557,2,10))))),A557)),"_",IF(NOT(OR(C557=1000,C557&gt;1000)),MID(TEXT((C557+1000)*1000,0),2,6),"keine Meter in Spalte km!!!"),IF(VALUE(I557)=1,CONCATENATE("_",VLOOKUP(IF(V557&gt;0,V557,J557),[1]Grundlage!$A$20:$B$181,2,0)),CONCATENATE("_",B557))))</f>
        <v>UQ_A008_053950_O</v>
      </c>
      <c r="F557" s="152" t="s">
        <v>30</v>
      </c>
      <c r="G557" s="171">
        <f t="shared" si="116"/>
        <v>3154</v>
      </c>
      <c r="H557" s="160">
        <f t="shared" si="117"/>
        <v>9</v>
      </c>
      <c r="I557" s="152">
        <f t="shared" si="108"/>
        <v>3</v>
      </c>
      <c r="J557" s="152">
        <f t="shared" si="109"/>
        <v>21</v>
      </c>
      <c r="K557" s="152">
        <f t="shared" si="110"/>
        <v>200</v>
      </c>
      <c r="L557" s="152" t="str">
        <f t="shared" si="111"/>
        <v>4</v>
      </c>
      <c r="M557" s="152">
        <f t="shared" si="112"/>
        <v>1</v>
      </c>
      <c r="N557" s="152">
        <f t="shared" si="113"/>
        <v>8</v>
      </c>
      <c r="P557" s="172">
        <f t="shared" si="114"/>
        <v>67</v>
      </c>
      <c r="AI557" s="154"/>
      <c r="AT557" s="148">
        <v>3</v>
      </c>
      <c r="AU557" s="155">
        <v>21</v>
      </c>
      <c r="AV557" s="155">
        <v>15</v>
      </c>
      <c r="AY557" s="148">
        <v>1</v>
      </c>
      <c r="AZ557" s="155">
        <v>8</v>
      </c>
      <c r="BA557" s="155"/>
      <c r="BB557" s="152" t="s">
        <v>30</v>
      </c>
      <c r="BC557" s="150"/>
      <c r="BD557" s="150"/>
      <c r="BF557" s="152" t="s">
        <v>624</v>
      </c>
    </row>
    <row r="558" spans="1:58" s="152" customFormat="1" ht="14.25" x14ac:dyDescent="0.2">
      <c r="A558" s="160" t="str">
        <f t="shared" si="106"/>
        <v>A8</v>
      </c>
      <c r="B558" s="152" t="s">
        <v>658</v>
      </c>
      <c r="C558" s="160">
        <f t="shared" si="107"/>
        <v>53.95</v>
      </c>
      <c r="D558" s="160"/>
      <c r="E558" s="170" t="str">
        <f>IF(OR(A558="",B558="",C558=""),"eine der Spalten BAB, FR, km leer?",CONCATENATE(VLOOKUP(VALUE(I558),[1]Grundlage!$A$1:$B$14,2,0),IF(LEFT(A558,1)="A",IF(VALUE(MID(A558,2,10))&lt;10,"A00"&amp;VALUE(MID(A558,2,10)),IF(VALUE(MID(A558,2,10))&lt;100,"A0"&amp;VALUE(MID(A558,2,10)),IF(VALUE(MID(A558,2,10))&lt;1000,"A"&amp;VALUE(MID(A558,2,10))))),IF(LEFT(A558,1)="B",IF(VALUE(MID(A558,2,10))&lt;10,"B00"&amp;VALUE(MID(A558,2,10)),IF(VALUE(MID(A558,2,10))&lt;100,"B0"&amp;VALUE(MID(A558,2,10)),IF(VALUE(MID(A558,2,10))&lt;1000,"B"&amp;VALUE(MID(A558,2,10))))),A558)),"_",IF(NOT(OR(C558=1000,C558&gt;1000)),MID(TEXT((C558+1000)*1000,0),2,6),"keine Meter in Spalte km!!!"),IF(VALUE(I558)=1,CONCATENATE("_",VLOOKUP(IF(V558&gt;0,V558,J558),[1]Grundlage!$A$20:$B$181,2,0)),CONCATENATE("_",B558))))</f>
        <v>UQ_A008_053950_O</v>
      </c>
      <c r="F558" s="152" t="s">
        <v>271</v>
      </c>
      <c r="G558" s="171">
        <f t="shared" si="116"/>
        <v>3154</v>
      </c>
      <c r="H558" s="160">
        <f t="shared" si="117"/>
        <v>9</v>
      </c>
      <c r="I558" s="152">
        <f t="shared" si="108"/>
        <v>3</v>
      </c>
      <c r="J558" s="152">
        <f t="shared" si="109"/>
        <v>67</v>
      </c>
      <c r="K558" s="152">
        <f t="shared" si="110"/>
        <v>200</v>
      </c>
      <c r="L558" s="152" t="str">
        <f t="shared" si="111"/>
        <v>4</v>
      </c>
      <c r="M558" s="152">
        <f t="shared" si="112"/>
        <v>1</v>
      </c>
      <c r="N558" s="152">
        <f t="shared" si="113"/>
        <v>10</v>
      </c>
      <c r="P558" s="172">
        <f t="shared" si="114"/>
        <v>53</v>
      </c>
      <c r="AI558" s="154"/>
      <c r="AT558" s="148">
        <v>3</v>
      </c>
      <c r="AU558" s="155">
        <v>67</v>
      </c>
      <c r="AV558" s="155">
        <v>43</v>
      </c>
      <c r="AY558" s="148">
        <v>1</v>
      </c>
      <c r="AZ558" s="155">
        <v>10</v>
      </c>
      <c r="BA558" s="174"/>
      <c r="BB558" s="152" t="s">
        <v>271</v>
      </c>
      <c r="BC558" s="150"/>
      <c r="BD558" s="150"/>
      <c r="BF558" s="152" t="s">
        <v>444</v>
      </c>
    </row>
    <row r="559" spans="1:58" s="152" customFormat="1" ht="14.25" x14ac:dyDescent="0.2">
      <c r="A559" s="160" t="str">
        <f t="shared" si="106"/>
        <v>A8</v>
      </c>
      <c r="B559" s="152" t="s">
        <v>658</v>
      </c>
      <c r="C559" s="160">
        <f t="shared" si="107"/>
        <v>53.95</v>
      </c>
      <c r="D559" s="160"/>
      <c r="E559" s="170" t="str">
        <f>IF(OR(A559="",B559="",C559=""),"eine der Spalten BAB, FR, km leer?",CONCATENATE(VLOOKUP(VALUE(I559),[1]Grundlage!$A$1:$B$14,2,0),IF(LEFT(A559,1)="A",IF(VALUE(MID(A559,2,10))&lt;10,"A00"&amp;VALUE(MID(A559,2,10)),IF(VALUE(MID(A559,2,10))&lt;100,"A0"&amp;VALUE(MID(A559,2,10)),IF(VALUE(MID(A559,2,10))&lt;1000,"A"&amp;VALUE(MID(A559,2,10))))),IF(LEFT(A559,1)="B",IF(VALUE(MID(A559,2,10))&lt;10,"B00"&amp;VALUE(MID(A559,2,10)),IF(VALUE(MID(A559,2,10))&lt;100,"B0"&amp;VALUE(MID(A559,2,10)),IF(VALUE(MID(A559,2,10))&lt;1000,"B"&amp;VALUE(MID(A559,2,10))))),A559)),"_",IF(NOT(OR(C559=1000,C559&gt;1000)),MID(TEXT((C559+1000)*1000,0),2,6),"keine Meter in Spalte km!!!"),IF(VALUE(I559)=1,CONCATENATE("_",VLOOKUP(IF(V559&gt;0,V559,J559),[1]Grundlage!$A$20:$B$181,2,0)),CONCATENATE("_",B559))))</f>
        <v>UQ_A008_053950_O</v>
      </c>
      <c r="F559" s="152" t="s">
        <v>272</v>
      </c>
      <c r="G559" s="171">
        <f t="shared" si="116"/>
        <v>3154</v>
      </c>
      <c r="H559" s="160">
        <f t="shared" si="117"/>
        <v>9</v>
      </c>
      <c r="I559" s="152">
        <f t="shared" si="108"/>
        <v>3</v>
      </c>
      <c r="J559" s="152">
        <f t="shared" si="109"/>
        <v>82</v>
      </c>
      <c r="K559" s="152">
        <f t="shared" si="110"/>
        <v>200</v>
      </c>
      <c r="L559" s="152" t="str">
        <f t="shared" si="111"/>
        <v>4</v>
      </c>
      <c r="M559" s="152">
        <f t="shared" si="112"/>
        <v>1</v>
      </c>
      <c r="N559" s="152">
        <f t="shared" si="113"/>
        <v>11</v>
      </c>
      <c r="P559" s="172">
        <f t="shared" si="114"/>
        <v>72</v>
      </c>
      <c r="AI559" s="154"/>
      <c r="AT559" s="148">
        <v>3</v>
      </c>
      <c r="AU559" s="155">
        <v>82</v>
      </c>
      <c r="AV559" s="155">
        <v>52</v>
      </c>
      <c r="AY559" s="148">
        <v>1</v>
      </c>
      <c r="AZ559" s="155">
        <v>11</v>
      </c>
      <c r="BA559" s="174"/>
      <c r="BB559" s="152" t="s">
        <v>272</v>
      </c>
      <c r="BC559" s="150"/>
      <c r="BD559" s="150"/>
      <c r="BF559" s="152" t="s">
        <v>625</v>
      </c>
    </row>
    <row r="560" spans="1:58" ht="14.25" x14ac:dyDescent="0.2">
      <c r="A560" t="str">
        <f t="shared" si="106"/>
        <v>A8</v>
      </c>
      <c r="C560">
        <f t="shared" si="107"/>
        <v>53.95</v>
      </c>
      <c r="D560" t="str">
        <f t="shared" si="115"/>
        <v/>
      </c>
      <c r="E560" s="169" t="str">
        <f>IF(OR(A560="",B560="",C560=""),"",CONCATENATE(VLOOKUP(VALUE(I560),[1]Grundlage!$A$1:$B$14,2,0),IF(LEFT(A560,1)="A",IF(VALUE(MID(A560,2,10))&lt;10,"A00"&amp;VALUE(MID(A560,2,10)),IF(VALUE(MID(A560,2,10))&lt;100,"A0"&amp;VALUE(MID(A560,2,10)),IF(VALUE(MID(A560,2,10))&lt;1000,"A"&amp;VALUE(MID(A560,2,10))))),IF(LEFT(A560,1)="B",IF(VALUE(MID(A560,2,10))&lt;10,"B00"&amp;VALUE(MID(A560,2,10)),IF(VALUE(MID(A560,2,10))&lt;100,"B0"&amp;VALUE(MID(A560,2,10)),IF(VALUE(MID(A560,2,10))&lt;1000,"B"&amp;VALUE(MID(A560,2,10))))),A560)),"_",IF(NOT(OR(C560=1000,C560&gt;1000)),MID(TEXT((C560+1000)*1000,0),2,6),"keine Meter in Spalte km!!!"),IF(VALUE(I560)=1,CONCATENATE("_",VLOOKUP(IF(V560&gt;0,V560,J560),[1]Grundlage!$A$20:$B$181,2,0)),CONCATENATE("_",B560))))</f>
        <v/>
      </c>
      <c r="F560" s="2" t="s">
        <v>669</v>
      </c>
      <c r="G560" s="167">
        <f t="shared" si="116"/>
        <v>3154</v>
      </c>
      <c r="H560">
        <f t="shared" si="117"/>
        <v>9</v>
      </c>
      <c r="I560" s="2">
        <f t="shared" si="108"/>
        <v>0</v>
      </c>
      <c r="J560" s="2">
        <f t="shared" si="109"/>
        <v>0</v>
      </c>
      <c r="L560" s="2" t="str">
        <f t="shared" si="111"/>
        <v>4</v>
      </c>
      <c r="M560" s="2" t="str">
        <f t="shared" si="112"/>
        <v/>
      </c>
      <c r="N560" s="2" t="str">
        <f t="shared" si="113"/>
        <v/>
      </c>
      <c r="P560" s="168" t="str">
        <f t="shared" si="114"/>
        <v/>
      </c>
      <c r="AT560" s="19"/>
      <c r="AU560" s="14"/>
      <c r="AV560" s="14"/>
      <c r="AY560" s="1"/>
      <c r="AZ560" s="14"/>
      <c r="BB560" s="13"/>
      <c r="BF560" s="19"/>
    </row>
    <row r="561" spans="1:58" ht="15" thickBot="1" x14ac:dyDescent="0.25">
      <c r="A561" t="str">
        <f t="shared" si="106"/>
        <v>A8</v>
      </c>
      <c r="C561">
        <f t="shared" si="107"/>
        <v>53.95</v>
      </c>
      <c r="D561" t="str">
        <f t="shared" si="115"/>
        <v/>
      </c>
      <c r="E561" s="169" t="str">
        <f>IF(OR(A561="",B561="",C561=""),"",CONCATENATE(VLOOKUP(VALUE(I561),[1]Grundlage!$A$1:$B$14,2,0),IF(LEFT(A561,1)="A",IF(VALUE(MID(A561,2,10))&lt;10,"A00"&amp;VALUE(MID(A561,2,10)),IF(VALUE(MID(A561,2,10))&lt;100,"A0"&amp;VALUE(MID(A561,2,10)),IF(VALUE(MID(A561,2,10))&lt;1000,"A"&amp;VALUE(MID(A561,2,10))))),IF(LEFT(A561,1)="B",IF(VALUE(MID(A561,2,10))&lt;10,"B00"&amp;VALUE(MID(A561,2,10)),IF(VALUE(MID(A561,2,10))&lt;100,"B0"&amp;VALUE(MID(A561,2,10)),IF(VALUE(MID(A561,2,10))&lt;1000,"B"&amp;VALUE(MID(A561,2,10))))),A561)),"_",IF(NOT(OR(C561=1000,C561&gt;1000)),MID(TEXT((C561+1000)*1000,0),2,6),"keine Meter in Spalte km!!!"),IF(VALUE(I561)=1,CONCATENATE("_",VLOOKUP(IF(V561&gt;0,V561,J561),[1]Grundlage!$A$20:$B$181,2,0)),CONCATENATE("_",B561))))</f>
        <v/>
      </c>
      <c r="F561" s="2" t="s">
        <v>669</v>
      </c>
      <c r="G561" s="167">
        <f t="shared" si="116"/>
        <v>3154</v>
      </c>
      <c r="H561">
        <f t="shared" si="117"/>
        <v>9</v>
      </c>
      <c r="I561" s="2">
        <f t="shared" si="108"/>
        <v>0</v>
      </c>
      <c r="J561" s="2">
        <f t="shared" si="109"/>
        <v>0</v>
      </c>
      <c r="L561" s="2" t="str">
        <f t="shared" si="111"/>
        <v>4</v>
      </c>
      <c r="M561" s="2" t="str">
        <f t="shared" si="112"/>
        <v/>
      </c>
      <c r="N561" s="2" t="str">
        <f t="shared" si="113"/>
        <v/>
      </c>
      <c r="P561" s="168" t="str">
        <f t="shared" si="114"/>
        <v/>
      </c>
      <c r="AT561" s="19"/>
      <c r="AU561" s="14"/>
      <c r="AV561" s="14"/>
      <c r="AY561" s="1"/>
      <c r="AZ561" s="14"/>
      <c r="BB561" s="13"/>
    </row>
    <row r="562" spans="1:58" ht="15.75" thickTop="1" thickBot="1" x14ac:dyDescent="0.25">
      <c r="A562" t="str">
        <f t="shared" si="106"/>
        <v>Holzkirchen</v>
      </c>
      <c r="C562">
        <f t="shared" si="107"/>
        <v>53.95</v>
      </c>
      <c r="D562" t="str">
        <f t="shared" si="115"/>
        <v/>
      </c>
      <c r="E562" s="169" t="str">
        <f>IF(OR(A562="",B562="",C562=""),"",CONCATENATE(VLOOKUP(VALUE(I562),[1]Grundlage!$A$1:$B$14,2,0),IF(LEFT(A562,1)="A",IF(VALUE(MID(A562,2,10))&lt;10,"A00"&amp;VALUE(MID(A562,2,10)),IF(VALUE(MID(A562,2,10))&lt;100,"A0"&amp;VALUE(MID(A562,2,10)),IF(VALUE(MID(A562,2,10))&lt;1000,"A"&amp;VALUE(MID(A562,2,10))))),IF(LEFT(A562,1)="B",IF(VALUE(MID(A562,2,10))&lt;10,"B00"&amp;VALUE(MID(A562,2,10)),IF(VALUE(MID(A562,2,10))&lt;100,"B0"&amp;VALUE(MID(A562,2,10)),IF(VALUE(MID(A562,2,10))&lt;1000,"B"&amp;VALUE(MID(A562,2,10))))),A562)),"_",IF(NOT(OR(C562=1000,C562&gt;1000)),MID(TEXT((C562+1000)*1000,0),2,6),"keine Meter in Spalte km!!!"),IF(VALUE(I562)=1,CONCATENATE("_",VLOOKUP(IF(V562&gt;0,V562,J562),[1]Grundlage!$A$20:$B$181,2,0)),CONCATENATE("_",B562))))</f>
        <v/>
      </c>
      <c r="F562" s="2" t="s">
        <v>669</v>
      </c>
      <c r="G562" s="167">
        <f t="shared" si="116"/>
        <v>3154</v>
      </c>
      <c r="H562">
        <f t="shared" si="117"/>
        <v>9</v>
      </c>
      <c r="I562" s="2">
        <f t="shared" si="108"/>
        <v>0</v>
      </c>
      <c r="J562" s="2">
        <f t="shared" si="109"/>
        <v>0</v>
      </c>
      <c r="L562" s="2" t="str">
        <f t="shared" si="111"/>
        <v>4</v>
      </c>
      <c r="M562" s="2" t="str">
        <f t="shared" si="112"/>
        <v/>
      </c>
      <c r="N562" s="2" t="str">
        <f t="shared" si="113"/>
        <v/>
      </c>
      <c r="P562" s="168" t="str">
        <f t="shared" si="114"/>
        <v/>
      </c>
      <c r="AI562" s="48"/>
      <c r="AJ562" s="49" t="s">
        <v>17</v>
      </c>
      <c r="AK562" s="52" t="s">
        <v>108</v>
      </c>
      <c r="AL562" s="52"/>
      <c r="AM562" s="52"/>
      <c r="AN562" s="52"/>
      <c r="AO562" s="52"/>
      <c r="AP562" s="50"/>
      <c r="AQ562" s="50"/>
      <c r="AR562" s="50"/>
      <c r="AS562" s="50"/>
      <c r="AT562" s="53"/>
      <c r="AU562" s="54"/>
      <c r="AV562" s="54"/>
      <c r="AW562" s="50"/>
      <c r="AX562" s="50"/>
      <c r="AY562" s="53"/>
      <c r="AZ562" s="54"/>
      <c r="BA562" s="50"/>
      <c r="BB562" s="50"/>
      <c r="BC562" s="51"/>
      <c r="BD562" s="51"/>
      <c r="BE562" s="50"/>
    </row>
    <row r="563" spans="1:58" ht="15" thickTop="1" x14ac:dyDescent="0.2">
      <c r="A563" t="str">
        <f t="shared" si="106"/>
        <v>Holzkirchen</v>
      </c>
      <c r="C563">
        <f t="shared" si="107"/>
        <v>53.95</v>
      </c>
      <c r="D563" t="str">
        <f t="shared" si="115"/>
        <v/>
      </c>
      <c r="E563" s="169" t="str">
        <f>IF(OR(A563="",B563="",C563=""),"",CONCATENATE(VLOOKUP(VALUE(I563),[1]Grundlage!$A$1:$B$14,2,0),IF(LEFT(A563,1)="A",IF(VALUE(MID(A563,2,10))&lt;10,"A00"&amp;VALUE(MID(A563,2,10)),IF(VALUE(MID(A563,2,10))&lt;100,"A0"&amp;VALUE(MID(A563,2,10)),IF(VALUE(MID(A563,2,10))&lt;1000,"A"&amp;VALUE(MID(A563,2,10))))),IF(LEFT(A563,1)="B",IF(VALUE(MID(A563,2,10))&lt;10,"B00"&amp;VALUE(MID(A563,2,10)),IF(VALUE(MID(A563,2,10))&lt;100,"B0"&amp;VALUE(MID(A563,2,10)),IF(VALUE(MID(A563,2,10))&lt;1000,"B"&amp;VALUE(MID(A563,2,10))))),A563)),"_",IF(NOT(OR(C563=1000,C563&gt;1000)),MID(TEXT((C563+1000)*1000,0),2,6),"keine Meter in Spalte km!!!"),IF(VALUE(I563)=1,CONCATENATE("_",VLOOKUP(IF(V563&gt;0,V563,J563),[1]Grundlage!$A$20:$B$181,2,0)),CONCATENATE("_",B563))))</f>
        <v/>
      </c>
      <c r="F563" s="2" t="s">
        <v>669</v>
      </c>
      <c r="G563" s="167">
        <f t="shared" si="116"/>
        <v>3154</v>
      </c>
      <c r="H563">
        <f t="shared" si="117"/>
        <v>9</v>
      </c>
      <c r="I563" s="2">
        <f t="shared" si="108"/>
        <v>0</v>
      </c>
      <c r="J563" s="2">
        <f t="shared" si="109"/>
        <v>0</v>
      </c>
      <c r="L563" s="2" t="str">
        <f t="shared" si="111"/>
        <v>4</v>
      </c>
      <c r="M563" s="2" t="str">
        <f t="shared" si="112"/>
        <v/>
      </c>
      <c r="N563" s="2" t="str">
        <f t="shared" si="113"/>
        <v/>
      </c>
      <c r="P563" s="168" t="str">
        <f t="shared" si="114"/>
        <v/>
      </c>
      <c r="AJ563" s="3"/>
      <c r="AK563" s="20"/>
      <c r="AL563" s="20"/>
      <c r="AM563" s="20"/>
      <c r="AN563" s="20"/>
      <c r="AO563" s="20"/>
      <c r="AT563" s="19"/>
      <c r="AU563" s="14"/>
      <c r="AV563" s="14"/>
      <c r="AY563" s="1"/>
      <c r="AZ563" s="14"/>
      <c r="BB563" s="13"/>
    </row>
    <row r="564" spans="1:58" s="152" customFormat="1" ht="14.25" x14ac:dyDescent="0.2">
      <c r="A564" s="160" t="str">
        <f t="shared" si="106"/>
        <v>A995</v>
      </c>
      <c r="B564" s="152" t="s">
        <v>655</v>
      </c>
      <c r="C564" s="160">
        <f t="shared" si="107"/>
        <v>54.36</v>
      </c>
      <c r="D564" s="160"/>
      <c r="E564" s="170" t="str">
        <f>IF(OR(A564="",B564="",C564=""),"eine der Spalten BAB, FR, km leer?",CONCATENATE(VLOOKUP(VALUE(I564),[1]Grundlage!$A$1:$B$14,2,0),IF(LEFT(A564,1)="A",IF(VALUE(MID(A564,2,10))&lt;10,"A00"&amp;VALUE(MID(A564,2,10)),IF(VALUE(MID(A564,2,10))&lt;100,"A0"&amp;VALUE(MID(A564,2,10)),IF(VALUE(MID(A564,2,10))&lt;1000,"A"&amp;VALUE(MID(A564,2,10))))),IF(LEFT(A564,1)="B",IF(VALUE(MID(A564,2,10))&lt;10,"B00"&amp;VALUE(MID(A564,2,10)),IF(VALUE(MID(A564,2,10))&lt;100,"B0"&amp;VALUE(MID(A564,2,10)),IF(VALUE(MID(A564,2,10))&lt;1000,"B"&amp;VALUE(MID(A564,2,10))))),A564)),"_",IF(NOT(OR(C564=1000,C564&gt;1000)),MID(TEXT((C564+1000)*1000,0),2,6),"keine Meter in Spalte km!!!"),IF(VALUE(I564)=1,CONCATENATE("_",VLOOKUP(IF(V564&gt;0,V564,J564),[1]Grundlage!$A$20:$B$181,2,0)),CONCATENATE("_",B564))))</f>
        <v>SSt_A995_054360_S</v>
      </c>
      <c r="F564" s="152" t="s">
        <v>110</v>
      </c>
      <c r="G564" s="171">
        <f t="shared" si="116"/>
        <v>38699</v>
      </c>
      <c r="H564" s="160">
        <f t="shared" si="117"/>
        <v>55</v>
      </c>
      <c r="I564" s="152">
        <f t="shared" si="108"/>
        <v>0</v>
      </c>
      <c r="J564" s="152">
        <f t="shared" si="109"/>
        <v>0</v>
      </c>
      <c r="K564" s="152">
        <v>208</v>
      </c>
      <c r="L564" s="152">
        <f t="shared" si="111"/>
        <v>26</v>
      </c>
      <c r="M564" s="152" t="str">
        <f t="shared" si="112"/>
        <v/>
      </c>
      <c r="N564" s="152" t="str">
        <f t="shared" si="113"/>
        <v/>
      </c>
      <c r="P564" s="172" t="str">
        <f t="shared" si="114"/>
        <v/>
      </c>
      <c r="AI564" s="179">
        <v>54.36</v>
      </c>
      <c r="AJ564" s="148" t="s">
        <v>19</v>
      </c>
      <c r="AK564" s="148" t="s">
        <v>109</v>
      </c>
      <c r="AL564" s="148"/>
      <c r="AM564" s="148"/>
      <c r="AN564" s="148"/>
      <c r="AO564" s="148"/>
      <c r="AP564" s="148">
        <v>9906999</v>
      </c>
      <c r="AQ564" s="148">
        <v>97</v>
      </c>
      <c r="AR564" s="158" t="s">
        <v>240</v>
      </c>
      <c r="AS564" s="148">
        <v>37</v>
      </c>
      <c r="AT564" s="148"/>
      <c r="AU564" s="148"/>
      <c r="AV564" s="148"/>
      <c r="AW564" s="148"/>
      <c r="AX564" s="148">
        <v>26</v>
      </c>
      <c r="AY564" s="148"/>
      <c r="AZ564" s="148"/>
      <c r="BA564" s="148"/>
      <c r="BB564" s="149" t="s">
        <v>110</v>
      </c>
      <c r="BC564" s="150"/>
      <c r="BD564" s="158" t="s">
        <v>316</v>
      </c>
      <c r="BE564" s="152" t="s">
        <v>111</v>
      </c>
    </row>
    <row r="565" spans="1:58" s="152" customFormat="1" ht="14.25" x14ac:dyDescent="0.2">
      <c r="A565" s="160" t="str">
        <f t="shared" si="106"/>
        <v>A995</v>
      </c>
      <c r="B565" s="152" t="s">
        <v>655</v>
      </c>
      <c r="C565" s="160">
        <f t="shared" si="107"/>
        <v>54.36</v>
      </c>
      <c r="D565" s="160"/>
      <c r="E565" s="170" t="str">
        <f>IF(OR(A565="",B565="",C565=""),"eine der Spalten BAB, FR, km leer?",CONCATENATE(VLOOKUP(VALUE(I565),[1]Grundlage!$A$1:$B$14,2,0),IF(LEFT(A565,1)="A",IF(VALUE(MID(A565,2,10))&lt;10,"A00"&amp;VALUE(MID(A565,2,10)),IF(VALUE(MID(A565,2,10))&lt;100,"A0"&amp;VALUE(MID(A565,2,10)),IF(VALUE(MID(A565,2,10))&lt;1000,"A"&amp;VALUE(MID(A565,2,10))))),IF(LEFT(A565,1)="B",IF(VALUE(MID(A565,2,10))&lt;10,"B00"&amp;VALUE(MID(A565,2,10)),IF(VALUE(MID(A565,2,10))&lt;100,"B0"&amp;VALUE(MID(A565,2,10)),IF(VALUE(MID(A565,2,10))&lt;1000,"B"&amp;VALUE(MID(A565,2,10))))),A565)),"_",IF(NOT(OR(C565=1000,C565&gt;1000)),MID(TEXT((C565+1000)*1000,0),2,6),"keine Meter in Spalte km!!!"),IF(VALUE(I565)=1,CONCATENATE("_",VLOOKUP(IF(V565&gt;0,V565,J565),[1]Grundlage!$A$20:$B$181,2,0)),CONCATENATE("_",B565))))</f>
        <v>UQ_A995_054360_S</v>
      </c>
      <c r="F565" s="152" t="s">
        <v>269</v>
      </c>
      <c r="G565" s="171">
        <f t="shared" si="116"/>
        <v>38699</v>
      </c>
      <c r="H565" s="160">
        <f t="shared" si="117"/>
        <v>55</v>
      </c>
      <c r="I565" s="152">
        <f t="shared" si="108"/>
        <v>3</v>
      </c>
      <c r="J565" s="152">
        <f t="shared" si="109"/>
        <v>17</v>
      </c>
      <c r="K565" s="152">
        <v>208</v>
      </c>
      <c r="L565" s="152">
        <f t="shared" si="111"/>
        <v>26</v>
      </c>
      <c r="M565" s="152">
        <f t="shared" si="112"/>
        <v>1</v>
      </c>
      <c r="N565" s="152">
        <f t="shared" si="113"/>
        <v>1</v>
      </c>
      <c r="P565" s="172">
        <f t="shared" si="114"/>
        <v>71</v>
      </c>
      <c r="AI565" s="154"/>
      <c r="AT565" s="148">
        <v>3</v>
      </c>
      <c r="AU565" s="155">
        <v>17</v>
      </c>
      <c r="AV565" s="156">
        <v>11</v>
      </c>
      <c r="AW565" s="148"/>
      <c r="AX565" s="148"/>
      <c r="AY565" s="148">
        <v>1</v>
      </c>
      <c r="AZ565" s="155">
        <v>1</v>
      </c>
      <c r="BA565" s="156">
        <v>1</v>
      </c>
      <c r="BB565" s="152" t="s">
        <v>269</v>
      </c>
      <c r="BC565" s="150"/>
      <c r="BD565" s="150"/>
      <c r="BF565" s="189" t="s">
        <v>440</v>
      </c>
    </row>
    <row r="566" spans="1:58" s="152" customFormat="1" ht="14.25" x14ac:dyDescent="0.2">
      <c r="A566" s="160" t="str">
        <f t="shared" si="106"/>
        <v>A995</v>
      </c>
      <c r="B566" s="152" t="s">
        <v>655</v>
      </c>
      <c r="C566" s="160">
        <f t="shared" si="107"/>
        <v>54.36</v>
      </c>
      <c r="D566" s="160"/>
      <c r="E566" s="170" t="str">
        <f>IF(OR(A566="",B566="",C566=""),"eine der Spalten BAB, FR, km leer?",CONCATENATE(VLOOKUP(VALUE(I566),[1]Grundlage!$A$1:$B$14,2,0),IF(LEFT(A566,1)="A",IF(VALUE(MID(A566,2,10))&lt;10,"A00"&amp;VALUE(MID(A566,2,10)),IF(VALUE(MID(A566,2,10))&lt;100,"A0"&amp;VALUE(MID(A566,2,10)),IF(VALUE(MID(A566,2,10))&lt;1000,"A"&amp;VALUE(MID(A566,2,10))))),IF(LEFT(A566,1)="B",IF(VALUE(MID(A566,2,10))&lt;10,"B00"&amp;VALUE(MID(A566,2,10)),IF(VALUE(MID(A566,2,10))&lt;100,"B0"&amp;VALUE(MID(A566,2,10)),IF(VALUE(MID(A566,2,10))&lt;1000,"B"&amp;VALUE(MID(A566,2,10))))),A566)),"_",IF(NOT(OR(C566=1000,C566&gt;1000)),MID(TEXT((C566+1000)*1000,0),2,6),"keine Meter in Spalte km!!!"),IF(VALUE(I566)=1,CONCATENATE("_",VLOOKUP(IF(V566&gt;0,V566,J566),[1]Grundlage!$A$20:$B$181,2,0)),CONCATENATE("_",B566))))</f>
        <v>UQ_A995_054360_S</v>
      </c>
      <c r="F566" s="152" t="s">
        <v>270</v>
      </c>
      <c r="G566" s="171">
        <f t="shared" si="116"/>
        <v>38699</v>
      </c>
      <c r="H566" s="160">
        <f t="shared" si="117"/>
        <v>55</v>
      </c>
      <c r="I566" s="152">
        <f t="shared" si="108"/>
        <v>3</v>
      </c>
      <c r="J566" s="152">
        <f t="shared" si="109"/>
        <v>2</v>
      </c>
      <c r="K566" s="152">
        <v>208</v>
      </c>
      <c r="L566" s="152">
        <f t="shared" si="111"/>
        <v>26</v>
      </c>
      <c r="M566" s="152">
        <f t="shared" si="112"/>
        <v>1</v>
      </c>
      <c r="N566" s="152">
        <f t="shared" si="113"/>
        <v>2</v>
      </c>
      <c r="P566" s="172">
        <f t="shared" si="114"/>
        <v>70</v>
      </c>
      <c r="AI566" s="154"/>
      <c r="AT566" s="148">
        <v>3</v>
      </c>
      <c r="AU566" s="155">
        <v>2</v>
      </c>
      <c r="AV566" s="155">
        <v>2</v>
      </c>
      <c r="AY566" s="148">
        <v>1</v>
      </c>
      <c r="AZ566" s="155">
        <v>2</v>
      </c>
      <c r="BA566" s="155">
        <v>2</v>
      </c>
      <c r="BB566" s="152" t="s">
        <v>270</v>
      </c>
      <c r="BC566" s="150"/>
      <c r="BD566" s="150"/>
      <c r="BF566" s="189" t="s">
        <v>555</v>
      </c>
    </row>
    <row r="567" spans="1:58" s="152" customFormat="1" ht="14.25" x14ac:dyDescent="0.2">
      <c r="A567" s="160" t="str">
        <f t="shared" si="106"/>
        <v>A995</v>
      </c>
      <c r="B567" s="152" t="s">
        <v>655</v>
      </c>
      <c r="C567" s="160">
        <f t="shared" si="107"/>
        <v>54.36</v>
      </c>
      <c r="D567" s="160"/>
      <c r="E567" s="170" t="str">
        <f>IF(OR(A567="",B567="",C567=""),"eine der Spalten BAB, FR, km leer?",CONCATENATE(VLOOKUP(VALUE(I567),[1]Grundlage!$A$1:$B$14,2,0),IF(LEFT(A567,1)="A",IF(VALUE(MID(A567,2,10))&lt;10,"A00"&amp;VALUE(MID(A567,2,10)),IF(VALUE(MID(A567,2,10))&lt;100,"A0"&amp;VALUE(MID(A567,2,10)),IF(VALUE(MID(A567,2,10))&lt;1000,"A"&amp;VALUE(MID(A567,2,10))))),IF(LEFT(A567,1)="B",IF(VALUE(MID(A567,2,10))&lt;10,"B00"&amp;VALUE(MID(A567,2,10)),IF(VALUE(MID(A567,2,10))&lt;100,"B0"&amp;VALUE(MID(A567,2,10)),IF(VALUE(MID(A567,2,10))&lt;1000,"B"&amp;VALUE(MID(A567,2,10))))),A567)),"_",IF(NOT(OR(C567=1000,C567&gt;1000)),MID(TEXT((C567+1000)*1000,0),2,6),"keine Meter in Spalte km!!!"),IF(VALUE(I567)=1,CONCATENATE("_",VLOOKUP(IF(V567&gt;0,V567,J567),[1]Grundlage!$A$20:$B$181,2,0)),CONCATENATE("_",B567))))</f>
        <v>UQ_A995_054360_S</v>
      </c>
      <c r="F567" s="152" t="s">
        <v>25</v>
      </c>
      <c r="G567" s="171">
        <f t="shared" si="116"/>
        <v>38699</v>
      </c>
      <c r="H567" s="160">
        <f t="shared" si="117"/>
        <v>55</v>
      </c>
      <c r="I567" s="152">
        <f t="shared" si="108"/>
        <v>3</v>
      </c>
      <c r="J567" s="152">
        <f t="shared" si="109"/>
        <v>11</v>
      </c>
      <c r="K567" s="152">
        <v>208</v>
      </c>
      <c r="L567" s="152">
        <f t="shared" si="111"/>
        <v>26</v>
      </c>
      <c r="M567" s="152">
        <f t="shared" si="112"/>
        <v>1</v>
      </c>
      <c r="N567" s="152">
        <f t="shared" si="113"/>
        <v>3</v>
      </c>
      <c r="P567" s="172">
        <f t="shared" si="114"/>
        <v>48</v>
      </c>
      <c r="AI567" s="154"/>
      <c r="AT567" s="148">
        <v>3</v>
      </c>
      <c r="AU567" s="155">
        <v>11</v>
      </c>
      <c r="AV567" s="155" t="s">
        <v>78</v>
      </c>
      <c r="AY567" s="148">
        <v>1</v>
      </c>
      <c r="AZ567" s="155">
        <v>3</v>
      </c>
      <c r="BA567" s="155">
        <v>3</v>
      </c>
      <c r="BB567" s="152" t="s">
        <v>25</v>
      </c>
      <c r="BC567" s="150"/>
      <c r="BD567" s="150"/>
      <c r="BF567" s="189" t="s">
        <v>441</v>
      </c>
    </row>
    <row r="568" spans="1:58" s="152" customFormat="1" ht="14.25" x14ac:dyDescent="0.2">
      <c r="A568" s="160" t="str">
        <f t="shared" si="106"/>
        <v>A995</v>
      </c>
      <c r="B568" s="152" t="s">
        <v>655</v>
      </c>
      <c r="C568" s="160">
        <f t="shared" si="107"/>
        <v>54.36</v>
      </c>
      <c r="D568" s="160"/>
      <c r="E568" s="170" t="str">
        <f>IF(OR(A568="",B568="",C568=""),"eine der Spalten BAB, FR, km leer?",CONCATENATE(VLOOKUP(VALUE(I568),[1]Grundlage!$A$1:$B$14,2,0),IF(LEFT(A568,1)="A",IF(VALUE(MID(A568,2,10))&lt;10,"A00"&amp;VALUE(MID(A568,2,10)),IF(VALUE(MID(A568,2,10))&lt;100,"A0"&amp;VALUE(MID(A568,2,10)),IF(VALUE(MID(A568,2,10))&lt;1000,"A"&amp;VALUE(MID(A568,2,10))))),IF(LEFT(A568,1)="B",IF(VALUE(MID(A568,2,10))&lt;10,"B00"&amp;VALUE(MID(A568,2,10)),IF(VALUE(MID(A568,2,10))&lt;100,"B0"&amp;VALUE(MID(A568,2,10)),IF(VALUE(MID(A568,2,10))&lt;1000,"B"&amp;VALUE(MID(A568,2,10))))),A568)),"_",IF(NOT(OR(C568=1000,C568&gt;1000)),MID(TEXT((C568+1000)*1000,0),2,6),"keine Meter in Spalte km!!!"),IF(VALUE(I568)=1,CONCATENATE("_",VLOOKUP(IF(V568&gt;0,V568,J568),[1]Grundlage!$A$20:$B$181,2,0)),CONCATENATE("_",B568))))</f>
        <v>UQ_A995_054360_S</v>
      </c>
      <c r="F568" s="152" t="s">
        <v>26</v>
      </c>
      <c r="G568" s="171">
        <f t="shared" si="116"/>
        <v>38699</v>
      </c>
      <c r="H568" s="160">
        <f t="shared" si="117"/>
        <v>55</v>
      </c>
      <c r="I568" s="152">
        <f t="shared" si="108"/>
        <v>3</v>
      </c>
      <c r="J568" s="152">
        <f t="shared" si="109"/>
        <v>13</v>
      </c>
      <c r="K568" s="152">
        <v>208</v>
      </c>
      <c r="L568" s="152">
        <f t="shared" si="111"/>
        <v>26</v>
      </c>
      <c r="M568" s="152">
        <f t="shared" si="112"/>
        <v>1</v>
      </c>
      <c r="N568" s="152">
        <f t="shared" si="113"/>
        <v>4</v>
      </c>
      <c r="P568" s="172">
        <f t="shared" si="114"/>
        <v>55</v>
      </c>
      <c r="AI568" s="154"/>
      <c r="AT568" s="148">
        <v>3</v>
      </c>
      <c r="AU568" s="155">
        <v>13</v>
      </c>
      <c r="AV568" s="155" t="s">
        <v>80</v>
      </c>
      <c r="AY568" s="148">
        <v>1</v>
      </c>
      <c r="AZ568" s="155">
        <v>4</v>
      </c>
      <c r="BA568" s="155">
        <v>4</v>
      </c>
      <c r="BB568" s="152" t="s">
        <v>26</v>
      </c>
      <c r="BC568" s="150"/>
      <c r="BD568" s="150"/>
      <c r="BF568" s="189" t="s">
        <v>442</v>
      </c>
    </row>
    <row r="569" spans="1:58" s="152" customFormat="1" ht="14.25" x14ac:dyDescent="0.2">
      <c r="A569" s="160" t="str">
        <f t="shared" si="106"/>
        <v>A995</v>
      </c>
      <c r="B569" s="152" t="s">
        <v>655</v>
      </c>
      <c r="C569" s="160">
        <f t="shared" si="107"/>
        <v>54.36</v>
      </c>
      <c r="D569" s="160"/>
      <c r="E569" s="170" t="str">
        <f>IF(OR(A569="",B569="",C569=""),"eine der Spalten BAB, FR, km leer?",CONCATENATE(VLOOKUP(VALUE(I569),[1]Grundlage!$A$1:$B$14,2,0),IF(LEFT(A569,1)="A",IF(VALUE(MID(A569,2,10))&lt;10,"A00"&amp;VALUE(MID(A569,2,10)),IF(VALUE(MID(A569,2,10))&lt;100,"A0"&amp;VALUE(MID(A569,2,10)),IF(VALUE(MID(A569,2,10))&lt;1000,"A"&amp;VALUE(MID(A569,2,10))))),IF(LEFT(A569,1)="B",IF(VALUE(MID(A569,2,10))&lt;10,"B00"&amp;VALUE(MID(A569,2,10)),IF(VALUE(MID(A569,2,10))&lt;100,"B0"&amp;VALUE(MID(A569,2,10)),IF(VALUE(MID(A569,2,10))&lt;1000,"B"&amp;VALUE(MID(A569,2,10))))),A569)),"_",IF(NOT(OR(C569=1000,C569&gt;1000)),MID(TEXT((C569+1000)*1000,0),2,6),"keine Meter in Spalte km!!!"),IF(VALUE(I569)=1,CONCATENATE("_",VLOOKUP(IF(V569&gt;0,V569,J569),[1]Grundlage!$A$20:$B$181,2,0)),CONCATENATE("_",B569))))</f>
        <v>UQ_A995_054360_S</v>
      </c>
      <c r="F569" s="152" t="s">
        <v>27</v>
      </c>
      <c r="G569" s="171">
        <f t="shared" si="116"/>
        <v>38699</v>
      </c>
      <c r="H569" s="160">
        <f t="shared" si="117"/>
        <v>55</v>
      </c>
      <c r="I569" s="152">
        <f t="shared" si="108"/>
        <v>3</v>
      </c>
      <c r="J569" s="152">
        <f t="shared" si="109"/>
        <v>12</v>
      </c>
      <c r="K569" s="152">
        <v>208</v>
      </c>
      <c r="L569" s="152">
        <f t="shared" si="111"/>
        <v>26</v>
      </c>
      <c r="M569" s="152">
        <f t="shared" si="112"/>
        <v>1</v>
      </c>
      <c r="N569" s="152">
        <f t="shared" si="113"/>
        <v>5</v>
      </c>
      <c r="P569" s="172">
        <f t="shared" si="114"/>
        <v>66</v>
      </c>
      <c r="AI569" s="154"/>
      <c r="AT569" s="148">
        <v>3</v>
      </c>
      <c r="AU569" s="155">
        <v>12</v>
      </c>
      <c r="AV569" s="155" t="s">
        <v>79</v>
      </c>
      <c r="AY569" s="148">
        <v>1</v>
      </c>
      <c r="AZ569" s="155">
        <v>5</v>
      </c>
      <c r="BA569" s="155">
        <v>5</v>
      </c>
      <c r="BB569" s="152" t="s">
        <v>27</v>
      </c>
      <c r="BC569" s="150"/>
      <c r="BD569" s="150"/>
      <c r="BF569" s="189" t="s">
        <v>443</v>
      </c>
    </row>
    <row r="570" spans="1:58" s="152" customFormat="1" ht="14.25" x14ac:dyDescent="0.2">
      <c r="A570" s="160" t="str">
        <f t="shared" si="106"/>
        <v>A995</v>
      </c>
      <c r="B570" s="152" t="s">
        <v>655</v>
      </c>
      <c r="C570" s="160">
        <f t="shared" si="107"/>
        <v>54.36</v>
      </c>
      <c r="D570" s="160"/>
      <c r="E570" s="170" t="str">
        <f>IF(OR(A570="",B570="",C570=""),"eine der Spalten BAB, FR, km leer?",CONCATENATE(VLOOKUP(VALUE(I570),[1]Grundlage!$A$1:$B$14,2,0),IF(LEFT(A570,1)="A",IF(VALUE(MID(A570,2,10))&lt;10,"A00"&amp;VALUE(MID(A570,2,10)),IF(VALUE(MID(A570,2,10))&lt;100,"A0"&amp;VALUE(MID(A570,2,10)),IF(VALUE(MID(A570,2,10))&lt;1000,"A"&amp;VALUE(MID(A570,2,10))))),IF(LEFT(A570,1)="B",IF(VALUE(MID(A570,2,10))&lt;10,"B00"&amp;VALUE(MID(A570,2,10)),IF(VALUE(MID(A570,2,10))&lt;100,"B0"&amp;VALUE(MID(A570,2,10)),IF(VALUE(MID(A570,2,10))&lt;1000,"B"&amp;VALUE(MID(A570,2,10))))),A570)),"_",IF(NOT(OR(C570=1000,C570&gt;1000)),MID(TEXT((C570+1000)*1000,0),2,6),"keine Meter in Spalte km!!!"),IF(VALUE(I570)=1,CONCATENATE("_",VLOOKUP(IF(V570&gt;0,V570,J570),[1]Grundlage!$A$20:$B$181,2,0)),CONCATENATE("_",B570))))</f>
        <v>UQ_A995_054360_S</v>
      </c>
      <c r="F570" s="152" t="s">
        <v>28</v>
      </c>
      <c r="G570" s="171">
        <f t="shared" si="116"/>
        <v>38699</v>
      </c>
      <c r="H570" s="160">
        <f t="shared" si="117"/>
        <v>55</v>
      </c>
      <c r="I570" s="152">
        <f t="shared" si="108"/>
        <v>3</v>
      </c>
      <c r="J570" s="152">
        <f t="shared" si="109"/>
        <v>6</v>
      </c>
      <c r="K570" s="152">
        <v>208</v>
      </c>
      <c r="L570" s="152">
        <f t="shared" si="111"/>
        <v>26</v>
      </c>
      <c r="M570" s="152">
        <f t="shared" si="112"/>
        <v>1</v>
      </c>
      <c r="N570" s="152">
        <f t="shared" si="113"/>
        <v>6</v>
      </c>
      <c r="P570" s="172">
        <f t="shared" si="114"/>
        <v>65</v>
      </c>
      <c r="AI570" s="154"/>
      <c r="AT570" s="148">
        <v>3</v>
      </c>
      <c r="AU570" s="155">
        <v>6</v>
      </c>
      <c r="AV570" s="156">
        <v>6</v>
      </c>
      <c r="AY570" s="148">
        <v>1</v>
      </c>
      <c r="AZ570" s="155">
        <v>6</v>
      </c>
      <c r="BA570" s="155">
        <v>6</v>
      </c>
      <c r="BB570" s="152" t="s">
        <v>28</v>
      </c>
      <c r="BC570" s="150"/>
      <c r="BD570" s="150"/>
      <c r="BF570" s="189" t="s">
        <v>556</v>
      </c>
    </row>
    <row r="571" spans="1:58" s="152" customFormat="1" ht="14.25" x14ac:dyDescent="0.2">
      <c r="A571" s="160" t="str">
        <f t="shared" si="106"/>
        <v>A995</v>
      </c>
      <c r="B571" s="152" t="s">
        <v>655</v>
      </c>
      <c r="C571" s="160">
        <f t="shared" si="107"/>
        <v>54.36</v>
      </c>
      <c r="D571" s="160"/>
      <c r="E571" s="170" t="str">
        <f>IF(OR(A571="",B571="",C571=""),"eine der Spalten BAB, FR, km leer?",CONCATENATE(VLOOKUP(VALUE(I571),[1]Grundlage!$A$1:$B$14,2,0),IF(LEFT(A571,1)="A",IF(VALUE(MID(A571,2,10))&lt;10,"A00"&amp;VALUE(MID(A571,2,10)),IF(VALUE(MID(A571,2,10))&lt;100,"A0"&amp;VALUE(MID(A571,2,10)),IF(VALUE(MID(A571,2,10))&lt;1000,"A"&amp;VALUE(MID(A571,2,10))))),IF(LEFT(A571,1)="B",IF(VALUE(MID(A571,2,10))&lt;10,"B00"&amp;VALUE(MID(A571,2,10)),IF(VALUE(MID(A571,2,10))&lt;100,"B0"&amp;VALUE(MID(A571,2,10)),IF(VALUE(MID(A571,2,10))&lt;1000,"B"&amp;VALUE(MID(A571,2,10))))),A571)),"_",IF(NOT(OR(C571=1000,C571&gt;1000)),MID(TEXT((C571+1000)*1000,0),2,6),"keine Meter in Spalte km!!!"),IF(VALUE(I571)=1,CONCATENATE("_",VLOOKUP(IF(V571&gt;0,V571,J571),[1]Grundlage!$A$20:$B$181,2,0)),CONCATENATE("_",B571))))</f>
        <v>UQ_A995_054360_S</v>
      </c>
      <c r="F571" s="152" t="s">
        <v>29</v>
      </c>
      <c r="G571" s="171">
        <f t="shared" si="116"/>
        <v>38699</v>
      </c>
      <c r="H571" s="160">
        <f t="shared" si="117"/>
        <v>55</v>
      </c>
      <c r="I571" s="152">
        <f t="shared" si="108"/>
        <v>3</v>
      </c>
      <c r="J571" s="152">
        <f t="shared" si="109"/>
        <v>1</v>
      </c>
      <c r="K571" s="152">
        <v>208</v>
      </c>
      <c r="L571" s="152">
        <f t="shared" si="111"/>
        <v>26</v>
      </c>
      <c r="M571" s="152">
        <f t="shared" si="112"/>
        <v>1</v>
      </c>
      <c r="N571" s="152">
        <f t="shared" si="113"/>
        <v>7</v>
      </c>
      <c r="P571" s="172">
        <f t="shared" si="114"/>
        <v>49</v>
      </c>
      <c r="AI571" s="154"/>
      <c r="AT571" s="148">
        <v>3</v>
      </c>
      <c r="AU571" s="155">
        <v>1</v>
      </c>
      <c r="AV571" s="156">
        <v>1</v>
      </c>
      <c r="AY571" s="148">
        <v>1</v>
      </c>
      <c r="AZ571" s="155">
        <v>7</v>
      </c>
      <c r="BA571" s="155">
        <v>7</v>
      </c>
      <c r="BB571" s="152" t="s">
        <v>29</v>
      </c>
      <c r="BC571" s="150"/>
      <c r="BD571" s="150"/>
      <c r="BF571" s="189" t="s">
        <v>557</v>
      </c>
    </row>
    <row r="572" spans="1:58" s="152" customFormat="1" ht="14.25" x14ac:dyDescent="0.2">
      <c r="A572" s="160" t="str">
        <f t="shared" si="106"/>
        <v>A995</v>
      </c>
      <c r="B572" s="152" t="s">
        <v>655</v>
      </c>
      <c r="C572" s="160">
        <f t="shared" si="107"/>
        <v>54.36</v>
      </c>
      <c r="D572" s="160"/>
      <c r="E572" s="170" t="str">
        <f>IF(OR(A572="",B572="",C572=""),"eine der Spalten BAB, FR, km leer?",CONCATENATE(VLOOKUP(VALUE(I572),[1]Grundlage!$A$1:$B$14,2,0),IF(LEFT(A572,1)="A",IF(VALUE(MID(A572,2,10))&lt;10,"A00"&amp;VALUE(MID(A572,2,10)),IF(VALUE(MID(A572,2,10))&lt;100,"A0"&amp;VALUE(MID(A572,2,10)),IF(VALUE(MID(A572,2,10))&lt;1000,"A"&amp;VALUE(MID(A572,2,10))))),IF(LEFT(A572,1)="B",IF(VALUE(MID(A572,2,10))&lt;10,"B00"&amp;VALUE(MID(A572,2,10)),IF(VALUE(MID(A572,2,10))&lt;100,"B0"&amp;VALUE(MID(A572,2,10)),IF(VALUE(MID(A572,2,10))&lt;1000,"B"&amp;VALUE(MID(A572,2,10))))),A572)),"_",IF(NOT(OR(C572=1000,C572&gt;1000)),MID(TEXT((C572+1000)*1000,0),2,6),"keine Meter in Spalte km!!!"),IF(VALUE(I572)=1,CONCATENATE("_",VLOOKUP(IF(V572&gt;0,V572,J572),[1]Grundlage!$A$20:$B$181,2,0)),CONCATENATE("_",B572))))</f>
        <v>UQ_A995_054360_S</v>
      </c>
      <c r="F572" s="152" t="s">
        <v>30</v>
      </c>
      <c r="G572" s="171">
        <f t="shared" si="116"/>
        <v>38699</v>
      </c>
      <c r="H572" s="160">
        <f t="shared" si="117"/>
        <v>55</v>
      </c>
      <c r="I572" s="152">
        <f t="shared" si="108"/>
        <v>3</v>
      </c>
      <c r="J572" s="152">
        <f t="shared" si="109"/>
        <v>41</v>
      </c>
      <c r="K572" s="152">
        <v>208</v>
      </c>
      <c r="L572" s="152">
        <f t="shared" si="111"/>
        <v>26</v>
      </c>
      <c r="M572" s="152">
        <f t="shared" si="112"/>
        <v>1</v>
      </c>
      <c r="N572" s="152">
        <f t="shared" si="113"/>
        <v>8</v>
      </c>
      <c r="P572" s="172">
        <f t="shared" si="114"/>
        <v>67</v>
      </c>
      <c r="AI572" s="154"/>
      <c r="AT572" s="148">
        <v>3</v>
      </c>
      <c r="AU572" s="155">
        <v>41</v>
      </c>
      <c r="AV572" s="155">
        <v>29</v>
      </c>
      <c r="AY572" s="148">
        <v>1</v>
      </c>
      <c r="AZ572" s="155">
        <v>8</v>
      </c>
      <c r="BA572" s="155">
        <v>8</v>
      </c>
      <c r="BB572" s="152" t="s">
        <v>30</v>
      </c>
      <c r="BC572" s="150"/>
      <c r="BD572" s="150"/>
      <c r="BF572" s="189" t="s">
        <v>558</v>
      </c>
    </row>
    <row r="573" spans="1:58" s="152" customFormat="1" ht="14.25" x14ac:dyDescent="0.2">
      <c r="A573" s="160" t="str">
        <f t="shared" si="106"/>
        <v>A995</v>
      </c>
      <c r="B573" s="152" t="s">
        <v>655</v>
      </c>
      <c r="C573" s="160">
        <f t="shared" si="107"/>
        <v>54.36</v>
      </c>
      <c r="D573" s="160"/>
      <c r="E573" s="170" t="str">
        <f>IF(OR(A573="",B573="",C573=""),"eine der Spalten BAB, FR, km leer?",CONCATENATE(VLOOKUP(VALUE(I573),[1]Grundlage!$A$1:$B$14,2,0),IF(LEFT(A573,1)="A",IF(VALUE(MID(A573,2,10))&lt;10,"A00"&amp;VALUE(MID(A573,2,10)),IF(VALUE(MID(A573,2,10))&lt;100,"A0"&amp;VALUE(MID(A573,2,10)),IF(VALUE(MID(A573,2,10))&lt;1000,"A"&amp;VALUE(MID(A573,2,10))))),IF(LEFT(A573,1)="B",IF(VALUE(MID(A573,2,10))&lt;10,"B00"&amp;VALUE(MID(A573,2,10)),IF(VALUE(MID(A573,2,10))&lt;100,"B0"&amp;VALUE(MID(A573,2,10)),IF(VALUE(MID(A573,2,10))&lt;1000,"B"&amp;VALUE(MID(A573,2,10))))),A573)),"_",IF(NOT(OR(C573=1000,C573&gt;1000)),MID(TEXT((C573+1000)*1000,0),2,6),"keine Meter in Spalte km!!!"),IF(VALUE(I573)=1,CONCATENATE("_",VLOOKUP(IF(V573&gt;0,V573,J573),[1]Grundlage!$A$20:$B$181,2,0)),CONCATENATE("_",B573))))</f>
        <v>UQ_A995_054360_S</v>
      </c>
      <c r="F573" s="152" t="s">
        <v>271</v>
      </c>
      <c r="G573" s="171">
        <f t="shared" si="116"/>
        <v>38699</v>
      </c>
      <c r="H573" s="160">
        <f t="shared" si="117"/>
        <v>55</v>
      </c>
      <c r="I573" s="152">
        <f t="shared" si="108"/>
        <v>3</v>
      </c>
      <c r="J573" s="152">
        <f t="shared" si="109"/>
        <v>5</v>
      </c>
      <c r="K573" s="152">
        <v>208</v>
      </c>
      <c r="L573" s="152">
        <f t="shared" si="111"/>
        <v>26</v>
      </c>
      <c r="M573" s="152">
        <f t="shared" si="112"/>
        <v>1</v>
      </c>
      <c r="N573" s="152">
        <f t="shared" si="113"/>
        <v>9</v>
      </c>
      <c r="P573" s="172">
        <f t="shared" si="114"/>
        <v>53</v>
      </c>
      <c r="AI573" s="154"/>
      <c r="AT573" s="148">
        <v>3</v>
      </c>
      <c r="AU573" s="155">
        <v>5</v>
      </c>
      <c r="AV573" s="156">
        <v>5</v>
      </c>
      <c r="AY573" s="148">
        <v>1</v>
      </c>
      <c r="AZ573" s="155">
        <v>9</v>
      </c>
      <c r="BA573" s="152">
        <v>9</v>
      </c>
      <c r="BB573" s="152" t="s">
        <v>271</v>
      </c>
      <c r="BC573" s="150"/>
      <c r="BD573" s="150"/>
      <c r="BF573" s="189" t="s">
        <v>444</v>
      </c>
    </row>
    <row r="574" spans="1:58" s="152" customFormat="1" ht="14.25" x14ac:dyDescent="0.2">
      <c r="A574" s="160" t="str">
        <f t="shared" si="106"/>
        <v>A995</v>
      </c>
      <c r="B574" s="152" t="s">
        <v>655</v>
      </c>
      <c r="C574" s="160">
        <f t="shared" si="107"/>
        <v>54.36</v>
      </c>
      <c r="D574" s="160"/>
      <c r="E574" s="170" t="str">
        <f>IF(OR(A574="",B574="",C574=""),"eine der Spalten BAB, FR, km leer?",CONCATENATE(VLOOKUP(VALUE(I574),[1]Grundlage!$A$1:$B$14,2,0),IF(LEFT(A574,1)="A",IF(VALUE(MID(A574,2,10))&lt;10,"A00"&amp;VALUE(MID(A574,2,10)),IF(VALUE(MID(A574,2,10))&lt;100,"A0"&amp;VALUE(MID(A574,2,10)),IF(VALUE(MID(A574,2,10))&lt;1000,"A"&amp;VALUE(MID(A574,2,10))))),IF(LEFT(A574,1)="B",IF(VALUE(MID(A574,2,10))&lt;10,"B00"&amp;VALUE(MID(A574,2,10)),IF(VALUE(MID(A574,2,10))&lt;100,"B0"&amp;VALUE(MID(A574,2,10)),IF(VALUE(MID(A574,2,10))&lt;1000,"B"&amp;VALUE(MID(A574,2,10))))),A574)),"_",IF(NOT(OR(C574=1000,C574&gt;1000)),MID(TEXT((C574+1000)*1000,0),2,6),"keine Meter in Spalte km!!!"),IF(VALUE(I574)=1,CONCATENATE("_",VLOOKUP(IF(V574&gt;0,V574,J574),[1]Grundlage!$A$20:$B$181,2,0)),CONCATENATE("_",B574))))</f>
        <v>UQ_A995_054360_S</v>
      </c>
      <c r="F574" s="152" t="s">
        <v>272</v>
      </c>
      <c r="G574" s="171">
        <f t="shared" si="116"/>
        <v>38699</v>
      </c>
      <c r="H574" s="160">
        <f t="shared" si="117"/>
        <v>55</v>
      </c>
      <c r="I574" s="152">
        <f t="shared" si="108"/>
        <v>3</v>
      </c>
      <c r="J574" s="152">
        <f t="shared" si="109"/>
        <v>82</v>
      </c>
      <c r="K574" s="152">
        <v>208</v>
      </c>
      <c r="L574" s="152">
        <f t="shared" si="111"/>
        <v>26</v>
      </c>
      <c r="M574" s="152">
        <f t="shared" si="112"/>
        <v>1</v>
      </c>
      <c r="N574" s="152">
        <f t="shared" si="113"/>
        <v>10</v>
      </c>
      <c r="P574" s="172">
        <f t="shared" si="114"/>
        <v>72</v>
      </c>
      <c r="AI574" s="154"/>
      <c r="AT574" s="148">
        <v>3</v>
      </c>
      <c r="AU574" s="155">
        <v>82</v>
      </c>
      <c r="AV574" s="155">
        <v>52</v>
      </c>
      <c r="AY574" s="148">
        <v>1</v>
      </c>
      <c r="AZ574" s="155">
        <v>10</v>
      </c>
      <c r="BA574" s="155" t="s">
        <v>95</v>
      </c>
      <c r="BB574" s="152" t="s">
        <v>272</v>
      </c>
      <c r="BC574" s="150"/>
      <c r="BD574" s="150"/>
      <c r="BF574" s="189" t="s">
        <v>559</v>
      </c>
    </row>
    <row r="575" spans="1:58" ht="14.25" x14ac:dyDescent="0.2">
      <c r="A575" t="str">
        <f t="shared" si="106"/>
        <v>A995</v>
      </c>
      <c r="C575">
        <f t="shared" si="107"/>
        <v>54.36</v>
      </c>
      <c r="D575" t="str">
        <f t="shared" si="115"/>
        <v/>
      </c>
      <c r="E575" s="169" t="str">
        <f>IF(OR(A575="",B575="",C575=""),"",CONCATENATE(VLOOKUP(VALUE(I575),[1]Grundlage!$A$1:$B$14,2,0),IF(LEFT(A575,1)="A",IF(VALUE(MID(A575,2,10))&lt;10,"A00"&amp;VALUE(MID(A575,2,10)),IF(VALUE(MID(A575,2,10))&lt;100,"A0"&amp;VALUE(MID(A575,2,10)),IF(VALUE(MID(A575,2,10))&lt;1000,"A"&amp;VALUE(MID(A575,2,10))))),IF(LEFT(A575,1)="B",IF(VALUE(MID(A575,2,10))&lt;10,"B00"&amp;VALUE(MID(A575,2,10)),IF(VALUE(MID(A575,2,10))&lt;100,"B0"&amp;VALUE(MID(A575,2,10)),IF(VALUE(MID(A575,2,10))&lt;1000,"B"&amp;VALUE(MID(A575,2,10))))),A575)),"_",IF(NOT(OR(C575=1000,C575&gt;1000)),MID(TEXT((C575+1000)*1000,0),2,6),"keine Meter in Spalte km!!!"),IF(VALUE(I575)=1,CONCATENATE("_",VLOOKUP(IF(V575&gt;0,V575,J575),[1]Grundlage!$A$20:$B$181,2,0)),CONCATENATE("_",B575))))</f>
        <v/>
      </c>
      <c r="F575" s="2" t="s">
        <v>669</v>
      </c>
      <c r="G575" s="167">
        <f t="shared" si="116"/>
        <v>38699</v>
      </c>
      <c r="H575">
        <f t="shared" si="117"/>
        <v>55</v>
      </c>
      <c r="I575" s="2">
        <f t="shared" si="108"/>
        <v>0</v>
      </c>
      <c r="J575" s="2">
        <f t="shared" si="109"/>
        <v>0</v>
      </c>
      <c r="K575" s="2">
        <v>208</v>
      </c>
      <c r="L575" s="2">
        <f t="shared" si="111"/>
        <v>26</v>
      </c>
      <c r="M575" s="2" t="str">
        <f t="shared" si="112"/>
        <v/>
      </c>
      <c r="N575" s="2" t="str">
        <f t="shared" si="113"/>
        <v/>
      </c>
      <c r="P575" s="168" t="str">
        <f t="shared" si="114"/>
        <v/>
      </c>
      <c r="AT575" s="19"/>
      <c r="AU575" s="14"/>
      <c r="AV575" s="27"/>
      <c r="AY575" s="1"/>
      <c r="AZ575" s="14"/>
      <c r="BB575" s="13"/>
    </row>
    <row r="576" spans="1:58" ht="14.25" x14ac:dyDescent="0.2">
      <c r="A576" t="str">
        <f t="shared" si="106"/>
        <v>A995</v>
      </c>
      <c r="C576">
        <f t="shared" si="107"/>
        <v>54.36</v>
      </c>
      <c r="D576" t="str">
        <f t="shared" si="115"/>
        <v/>
      </c>
      <c r="E576" s="169" t="str">
        <f>IF(OR(A576="",B576="",C576=""),"",CONCATENATE(VLOOKUP(VALUE(I576),[1]Grundlage!$A$1:$B$14,2,0),IF(LEFT(A576,1)="A",IF(VALUE(MID(A576,2,10))&lt;10,"A00"&amp;VALUE(MID(A576,2,10)),IF(VALUE(MID(A576,2,10))&lt;100,"A0"&amp;VALUE(MID(A576,2,10)),IF(VALUE(MID(A576,2,10))&lt;1000,"A"&amp;VALUE(MID(A576,2,10))))),IF(LEFT(A576,1)="B",IF(VALUE(MID(A576,2,10))&lt;10,"B00"&amp;VALUE(MID(A576,2,10)),IF(VALUE(MID(A576,2,10))&lt;100,"B0"&amp;VALUE(MID(A576,2,10)),IF(VALUE(MID(A576,2,10))&lt;1000,"B"&amp;VALUE(MID(A576,2,10))))),A576)),"_",IF(NOT(OR(C576=1000,C576&gt;1000)),MID(TEXT((C576+1000)*1000,0),2,6),"keine Meter in Spalte km!!!"),IF(VALUE(I576)=1,CONCATENATE("_",VLOOKUP(IF(V576&gt;0,V576,J576),[1]Grundlage!$A$20:$B$181,2,0)),CONCATENATE("_",B576))))</f>
        <v/>
      </c>
      <c r="F576" s="2" t="s">
        <v>669</v>
      </c>
      <c r="G576" s="167">
        <f t="shared" si="116"/>
        <v>38699</v>
      </c>
      <c r="H576">
        <f t="shared" si="117"/>
        <v>55</v>
      </c>
      <c r="I576" s="2">
        <f t="shared" si="108"/>
        <v>0</v>
      </c>
      <c r="J576" s="2">
        <f t="shared" si="109"/>
        <v>0</v>
      </c>
      <c r="K576" s="2">
        <v>208</v>
      </c>
      <c r="L576" s="2">
        <f t="shared" si="111"/>
        <v>26</v>
      </c>
      <c r="M576" s="2" t="str">
        <f t="shared" si="112"/>
        <v/>
      </c>
      <c r="N576" s="2" t="str">
        <f t="shared" si="113"/>
        <v/>
      </c>
      <c r="P576" s="168" t="str">
        <f t="shared" si="114"/>
        <v/>
      </c>
      <c r="AJ576" s="3"/>
      <c r="AK576" s="20"/>
      <c r="AL576" s="20"/>
      <c r="AM576" s="20"/>
      <c r="AN576" s="20"/>
      <c r="AO576" s="20"/>
      <c r="AT576" s="19"/>
      <c r="AU576" s="14"/>
      <c r="AV576" s="14"/>
      <c r="AY576" s="1"/>
      <c r="AZ576" s="14"/>
      <c r="BB576" s="13"/>
    </row>
    <row r="577" spans="1:58" s="152" customFormat="1" ht="13.5" customHeight="1" x14ac:dyDescent="0.2">
      <c r="A577" s="160" t="s">
        <v>168</v>
      </c>
      <c r="B577" s="152" t="s">
        <v>658</v>
      </c>
      <c r="C577" s="160">
        <f t="shared" si="107"/>
        <v>2.6</v>
      </c>
      <c r="D577" s="160"/>
      <c r="E577" s="170" t="str">
        <f>IF(OR(A577="",B577="",C577=""),"eine der Spalten BAB, FR, km leer?",CONCATENATE(VLOOKUP(VALUE(I577),[1]Grundlage!$A$1:$B$14,2,0),IF(LEFT(A577,1)="A",IF(VALUE(MID(A577,2,10))&lt;10,"A00"&amp;VALUE(MID(A577,2,10)),IF(VALUE(MID(A577,2,10))&lt;100,"A0"&amp;VALUE(MID(A577,2,10)),IF(VALUE(MID(A577,2,10))&lt;1000,"A"&amp;VALUE(MID(A577,2,10))))),IF(LEFT(A577,1)="B",IF(VALUE(MID(A577,2,10))&lt;10,"B00"&amp;VALUE(MID(A577,2,10)),IF(VALUE(MID(A577,2,10))&lt;100,"B0"&amp;VALUE(MID(A577,2,10)),IF(VALUE(MID(A577,2,10))&lt;1000,"B"&amp;VALUE(MID(A577,2,10))))),A577)),"_",IF(NOT(OR(C577=1000,C577&gt;1000)),MID(TEXT((C577+1000)*1000,0),2,6),"keine Meter in Spalte km!!!"),IF(VALUE(I577)=1,CONCATENATE("_",VLOOKUP(IF(V577&gt;0,V577,J577),[1]Grundlage!$A$20:$B$181,2,0)),CONCATENATE("_",B577))))</f>
        <v>SSt_A008_002600_O</v>
      </c>
      <c r="F577" s="152" t="s">
        <v>112</v>
      </c>
      <c r="G577" s="171">
        <f t="shared" si="116"/>
        <v>3152</v>
      </c>
      <c r="H577" s="160">
        <f t="shared" si="117"/>
        <v>99</v>
      </c>
      <c r="I577" s="152">
        <f t="shared" si="108"/>
        <v>0</v>
      </c>
      <c r="J577" s="152">
        <f t="shared" si="109"/>
        <v>0</v>
      </c>
      <c r="K577" s="152">
        <v>208</v>
      </c>
      <c r="L577" s="152">
        <f t="shared" si="111"/>
        <v>94</v>
      </c>
      <c r="M577" s="152" t="str">
        <f t="shared" si="112"/>
        <v/>
      </c>
      <c r="N577" s="152" t="str">
        <f t="shared" si="113"/>
        <v/>
      </c>
      <c r="P577" s="172" t="str">
        <f t="shared" si="114"/>
        <v/>
      </c>
      <c r="AI577" s="179">
        <v>2.6</v>
      </c>
      <c r="AJ577" s="148" t="s">
        <v>19</v>
      </c>
      <c r="AK577" s="148" t="s">
        <v>60</v>
      </c>
      <c r="AL577" s="148"/>
      <c r="AM577" s="148"/>
      <c r="AN577" s="148"/>
      <c r="AO577" s="148"/>
      <c r="AP577" s="148">
        <v>807011</v>
      </c>
      <c r="AQ577" s="158" t="s">
        <v>79</v>
      </c>
      <c r="AR577" s="148">
        <v>50</v>
      </c>
      <c r="AS577" s="148">
        <v>63</v>
      </c>
      <c r="AT577" s="148"/>
      <c r="AU577" s="148"/>
      <c r="AV577" s="148"/>
      <c r="AW577" s="148"/>
      <c r="AX577" s="148">
        <v>94</v>
      </c>
      <c r="AY577" s="148"/>
      <c r="AZ577" s="148"/>
      <c r="BA577" s="148"/>
      <c r="BB577" s="149" t="s">
        <v>112</v>
      </c>
      <c r="BC577" s="150"/>
      <c r="BD577" s="151" t="s">
        <v>163</v>
      </c>
      <c r="BE577" s="152" t="s">
        <v>108</v>
      </c>
      <c r="BF577" s="152" t="s">
        <v>459</v>
      </c>
    </row>
    <row r="578" spans="1:58" s="152" customFormat="1" ht="14.25" x14ac:dyDescent="0.2">
      <c r="A578" s="160" t="str">
        <f t="shared" si="106"/>
        <v>A8</v>
      </c>
      <c r="B578" s="152" t="s">
        <v>658</v>
      </c>
      <c r="C578" s="160">
        <f t="shared" si="107"/>
        <v>2.6</v>
      </c>
      <c r="D578" s="160"/>
      <c r="E578" s="170" t="str">
        <f>IF(OR(A578="",B578="",C578=""),"eine der Spalten BAB, FR, km leer?",CONCATENATE(VLOOKUP(VALUE(I578),[1]Grundlage!$A$1:$B$14,2,0),IF(LEFT(A578,1)="A",IF(VALUE(MID(A578,2,10))&lt;10,"A00"&amp;VALUE(MID(A578,2,10)),IF(VALUE(MID(A578,2,10))&lt;100,"A0"&amp;VALUE(MID(A578,2,10)),IF(VALUE(MID(A578,2,10))&lt;1000,"A"&amp;VALUE(MID(A578,2,10))))),IF(LEFT(A578,1)="B",IF(VALUE(MID(A578,2,10))&lt;10,"B00"&amp;VALUE(MID(A578,2,10)),IF(VALUE(MID(A578,2,10))&lt;100,"B0"&amp;VALUE(MID(A578,2,10)),IF(VALUE(MID(A578,2,10))&lt;1000,"B"&amp;VALUE(MID(A578,2,10))))),A578)),"_",IF(NOT(OR(C578=1000,C578&gt;1000)),MID(TEXT((C578+1000)*1000,0),2,6),"keine Meter in Spalte km!!!"),IF(VALUE(I578)=1,CONCATENATE("_",VLOOKUP(IF(V578&gt;0,V578,J578),[1]Grundlage!$A$20:$B$181,2,0)),CONCATENATE("_",B578))))</f>
        <v>UQ_A008_002600_O</v>
      </c>
      <c r="F578" s="152" t="s">
        <v>269</v>
      </c>
      <c r="G578" s="171">
        <f t="shared" si="116"/>
        <v>3152</v>
      </c>
      <c r="H578" s="160">
        <f t="shared" si="117"/>
        <v>99</v>
      </c>
      <c r="I578" s="152">
        <f t="shared" si="108"/>
        <v>3</v>
      </c>
      <c r="J578" s="152">
        <f t="shared" si="109"/>
        <v>17</v>
      </c>
      <c r="K578" s="152">
        <v>208</v>
      </c>
      <c r="L578" s="152">
        <f t="shared" si="111"/>
        <v>94</v>
      </c>
      <c r="M578" s="152">
        <f t="shared" si="112"/>
        <v>1</v>
      </c>
      <c r="N578" s="152">
        <f t="shared" si="113"/>
        <v>1</v>
      </c>
      <c r="P578" s="172">
        <f t="shared" si="114"/>
        <v>71</v>
      </c>
      <c r="AI578" s="154"/>
      <c r="AT578" s="148">
        <v>3</v>
      </c>
      <c r="AU578" s="155">
        <v>17</v>
      </c>
      <c r="AV578" s="156">
        <v>11</v>
      </c>
      <c r="AW578" s="148"/>
      <c r="AX578" s="148"/>
      <c r="AY578" s="148">
        <v>1</v>
      </c>
      <c r="AZ578" s="155">
        <v>1</v>
      </c>
      <c r="BA578" s="156">
        <v>1</v>
      </c>
      <c r="BB578" s="152" t="s">
        <v>269</v>
      </c>
      <c r="BC578" s="150"/>
      <c r="BD578" s="150"/>
      <c r="BF578" s="152" t="s">
        <v>440</v>
      </c>
    </row>
    <row r="579" spans="1:58" s="152" customFormat="1" ht="14.25" x14ac:dyDescent="0.2">
      <c r="A579" s="160" t="str">
        <f t="shared" si="106"/>
        <v>A8</v>
      </c>
      <c r="B579" s="152" t="s">
        <v>658</v>
      </c>
      <c r="C579" s="160">
        <f t="shared" si="107"/>
        <v>2.6</v>
      </c>
      <c r="D579" s="160"/>
      <c r="E579" s="170" t="str">
        <f>IF(OR(A579="",B579="",C579=""),"eine der Spalten BAB, FR, km leer?",CONCATENATE(VLOOKUP(VALUE(I579),[1]Grundlage!$A$1:$B$14,2,0),IF(LEFT(A579,1)="A",IF(VALUE(MID(A579,2,10))&lt;10,"A00"&amp;VALUE(MID(A579,2,10)),IF(VALUE(MID(A579,2,10))&lt;100,"A0"&amp;VALUE(MID(A579,2,10)),IF(VALUE(MID(A579,2,10))&lt;1000,"A"&amp;VALUE(MID(A579,2,10))))),IF(LEFT(A579,1)="B",IF(VALUE(MID(A579,2,10))&lt;10,"B00"&amp;VALUE(MID(A579,2,10)),IF(VALUE(MID(A579,2,10))&lt;100,"B0"&amp;VALUE(MID(A579,2,10)),IF(VALUE(MID(A579,2,10))&lt;1000,"B"&amp;VALUE(MID(A579,2,10))))),A579)),"_",IF(NOT(OR(C579=1000,C579&gt;1000)),MID(TEXT((C579+1000)*1000,0),2,6),"keine Meter in Spalte km!!!"),IF(VALUE(I579)=1,CONCATENATE("_",VLOOKUP(IF(V579&gt;0,V579,J579),[1]Grundlage!$A$20:$B$181,2,0)),CONCATENATE("_",B579))))</f>
        <v>UQ_A008_002600_O</v>
      </c>
      <c r="F579" s="152" t="s">
        <v>270</v>
      </c>
      <c r="G579" s="171">
        <f t="shared" si="116"/>
        <v>3152</v>
      </c>
      <c r="H579" s="160">
        <f t="shared" si="117"/>
        <v>99</v>
      </c>
      <c r="I579" s="152">
        <f t="shared" si="108"/>
        <v>3</v>
      </c>
      <c r="J579" s="152">
        <f t="shared" si="109"/>
        <v>2</v>
      </c>
      <c r="K579" s="152">
        <v>208</v>
      </c>
      <c r="L579" s="152">
        <f t="shared" si="111"/>
        <v>94</v>
      </c>
      <c r="M579" s="152">
        <f t="shared" si="112"/>
        <v>1</v>
      </c>
      <c r="N579" s="152">
        <f t="shared" si="113"/>
        <v>2</v>
      </c>
      <c r="P579" s="172">
        <f t="shared" si="114"/>
        <v>70</v>
      </c>
      <c r="AI579" s="154"/>
      <c r="AT579" s="148">
        <v>3</v>
      </c>
      <c r="AU579" s="155">
        <v>2</v>
      </c>
      <c r="AV579" s="155">
        <v>2</v>
      </c>
      <c r="AY579" s="148">
        <v>1</v>
      </c>
      <c r="AZ579" s="155">
        <v>2</v>
      </c>
      <c r="BA579" s="155">
        <v>2</v>
      </c>
      <c r="BB579" s="152" t="s">
        <v>270</v>
      </c>
      <c r="BC579" s="150"/>
      <c r="BD579" s="150"/>
      <c r="BF579" s="152" t="s">
        <v>473</v>
      </c>
    </row>
    <row r="580" spans="1:58" s="152" customFormat="1" ht="14.25" x14ac:dyDescent="0.2">
      <c r="A580" s="160" t="str">
        <f t="shared" si="106"/>
        <v>A8</v>
      </c>
      <c r="B580" s="152" t="s">
        <v>658</v>
      </c>
      <c r="C580" s="160">
        <f t="shared" si="107"/>
        <v>2.6</v>
      </c>
      <c r="D580" s="160"/>
      <c r="E580" s="170" t="str">
        <f>IF(OR(A580="",B580="",C580=""),"eine der Spalten BAB, FR, km leer?",CONCATENATE(VLOOKUP(VALUE(I580),[1]Grundlage!$A$1:$B$14,2,0),IF(LEFT(A580,1)="A",IF(VALUE(MID(A580,2,10))&lt;10,"A00"&amp;VALUE(MID(A580,2,10)),IF(VALUE(MID(A580,2,10))&lt;100,"A0"&amp;VALUE(MID(A580,2,10)),IF(VALUE(MID(A580,2,10))&lt;1000,"A"&amp;VALUE(MID(A580,2,10))))),IF(LEFT(A580,1)="B",IF(VALUE(MID(A580,2,10))&lt;10,"B00"&amp;VALUE(MID(A580,2,10)),IF(VALUE(MID(A580,2,10))&lt;100,"B0"&amp;VALUE(MID(A580,2,10)),IF(VALUE(MID(A580,2,10))&lt;1000,"B"&amp;VALUE(MID(A580,2,10))))),A580)),"_",IF(NOT(OR(C580=1000,C580&gt;1000)),MID(TEXT((C580+1000)*1000,0),2,6),"keine Meter in Spalte km!!!"),IF(VALUE(I580)=1,CONCATENATE("_",VLOOKUP(IF(V580&gt;0,V580,J580),[1]Grundlage!$A$20:$B$181,2,0)),CONCATENATE("_",B580))))</f>
        <v>UQ_A008_002600_O</v>
      </c>
      <c r="F580" s="152" t="s">
        <v>25</v>
      </c>
      <c r="G580" s="171">
        <f t="shared" si="116"/>
        <v>3152</v>
      </c>
      <c r="H580" s="160">
        <f t="shared" si="117"/>
        <v>99</v>
      </c>
      <c r="I580" s="152">
        <f t="shared" si="108"/>
        <v>3</v>
      </c>
      <c r="J580" s="152">
        <f t="shared" si="109"/>
        <v>11</v>
      </c>
      <c r="K580" s="152">
        <v>208</v>
      </c>
      <c r="L580" s="152">
        <f t="shared" si="111"/>
        <v>94</v>
      </c>
      <c r="M580" s="152">
        <f t="shared" si="112"/>
        <v>1</v>
      </c>
      <c r="N580" s="152">
        <f t="shared" si="113"/>
        <v>3</v>
      </c>
      <c r="P580" s="172">
        <f t="shared" si="114"/>
        <v>48</v>
      </c>
      <c r="AI580" s="154"/>
      <c r="AT580" s="148">
        <v>3</v>
      </c>
      <c r="AU580" s="155">
        <v>11</v>
      </c>
      <c r="AV580" s="155" t="s">
        <v>78</v>
      </c>
      <c r="AY580" s="148">
        <v>1</v>
      </c>
      <c r="AZ580" s="155">
        <v>3</v>
      </c>
      <c r="BA580" s="155">
        <v>3</v>
      </c>
      <c r="BB580" s="152" t="s">
        <v>25</v>
      </c>
      <c r="BC580" s="150"/>
      <c r="BD580" s="150"/>
      <c r="BF580" s="152" t="s">
        <v>441</v>
      </c>
    </row>
    <row r="581" spans="1:58" s="152" customFormat="1" ht="14.25" x14ac:dyDescent="0.2">
      <c r="A581" s="160" t="str">
        <f t="shared" si="106"/>
        <v>A8</v>
      </c>
      <c r="B581" s="152" t="s">
        <v>658</v>
      </c>
      <c r="C581" s="160">
        <f t="shared" si="107"/>
        <v>2.6</v>
      </c>
      <c r="D581" s="160"/>
      <c r="E581" s="170" t="str">
        <f>IF(OR(A581="",B581="",C581=""),"eine der Spalten BAB, FR, km leer?",CONCATENATE(VLOOKUP(VALUE(I581),[1]Grundlage!$A$1:$B$14,2,0),IF(LEFT(A581,1)="A",IF(VALUE(MID(A581,2,10))&lt;10,"A00"&amp;VALUE(MID(A581,2,10)),IF(VALUE(MID(A581,2,10))&lt;100,"A0"&amp;VALUE(MID(A581,2,10)),IF(VALUE(MID(A581,2,10))&lt;1000,"A"&amp;VALUE(MID(A581,2,10))))),IF(LEFT(A581,1)="B",IF(VALUE(MID(A581,2,10))&lt;10,"B00"&amp;VALUE(MID(A581,2,10)),IF(VALUE(MID(A581,2,10))&lt;100,"B0"&amp;VALUE(MID(A581,2,10)),IF(VALUE(MID(A581,2,10))&lt;1000,"B"&amp;VALUE(MID(A581,2,10))))),A581)),"_",IF(NOT(OR(C581=1000,C581&gt;1000)),MID(TEXT((C581+1000)*1000,0),2,6),"keine Meter in Spalte km!!!"),IF(VALUE(I581)=1,CONCATENATE("_",VLOOKUP(IF(V581&gt;0,V581,J581),[1]Grundlage!$A$20:$B$181,2,0)),CONCATENATE("_",B581))))</f>
        <v>UQ_A008_002600_O</v>
      </c>
      <c r="F581" s="152" t="s">
        <v>26</v>
      </c>
      <c r="G581" s="171">
        <f t="shared" si="116"/>
        <v>3152</v>
      </c>
      <c r="H581" s="160">
        <f t="shared" si="117"/>
        <v>99</v>
      </c>
      <c r="I581" s="152">
        <f t="shared" si="108"/>
        <v>3</v>
      </c>
      <c r="J581" s="152">
        <f t="shared" si="109"/>
        <v>13</v>
      </c>
      <c r="K581" s="152">
        <v>208</v>
      </c>
      <c r="L581" s="152">
        <f t="shared" si="111"/>
        <v>94</v>
      </c>
      <c r="M581" s="152">
        <f t="shared" si="112"/>
        <v>1</v>
      </c>
      <c r="N581" s="152">
        <f t="shared" si="113"/>
        <v>4</v>
      </c>
      <c r="P581" s="172">
        <f t="shared" si="114"/>
        <v>55</v>
      </c>
      <c r="AI581" s="154"/>
      <c r="AT581" s="148">
        <v>3</v>
      </c>
      <c r="AU581" s="155">
        <v>13</v>
      </c>
      <c r="AV581" s="155" t="s">
        <v>80</v>
      </c>
      <c r="AY581" s="148">
        <v>1</v>
      </c>
      <c r="AZ581" s="155">
        <v>4</v>
      </c>
      <c r="BA581" s="155">
        <v>4</v>
      </c>
      <c r="BB581" s="152" t="s">
        <v>26</v>
      </c>
      <c r="BC581" s="150"/>
      <c r="BD581" s="150"/>
      <c r="BF581" s="152" t="s">
        <v>442</v>
      </c>
    </row>
    <row r="582" spans="1:58" s="152" customFormat="1" ht="14.25" x14ac:dyDescent="0.2">
      <c r="A582" s="160" t="str">
        <f t="shared" si="106"/>
        <v>A8</v>
      </c>
      <c r="B582" s="152" t="s">
        <v>658</v>
      </c>
      <c r="C582" s="160">
        <f t="shared" si="107"/>
        <v>2.6</v>
      </c>
      <c r="D582" s="160"/>
      <c r="E582" s="170" t="str">
        <f>IF(OR(A582="",B582="",C582=""),"eine der Spalten BAB, FR, km leer?",CONCATENATE(VLOOKUP(VALUE(I582),[1]Grundlage!$A$1:$B$14,2,0),IF(LEFT(A582,1)="A",IF(VALUE(MID(A582,2,10))&lt;10,"A00"&amp;VALUE(MID(A582,2,10)),IF(VALUE(MID(A582,2,10))&lt;100,"A0"&amp;VALUE(MID(A582,2,10)),IF(VALUE(MID(A582,2,10))&lt;1000,"A"&amp;VALUE(MID(A582,2,10))))),IF(LEFT(A582,1)="B",IF(VALUE(MID(A582,2,10))&lt;10,"B00"&amp;VALUE(MID(A582,2,10)),IF(VALUE(MID(A582,2,10))&lt;100,"B0"&amp;VALUE(MID(A582,2,10)),IF(VALUE(MID(A582,2,10))&lt;1000,"B"&amp;VALUE(MID(A582,2,10))))),A582)),"_",IF(NOT(OR(C582=1000,C582&gt;1000)),MID(TEXT((C582+1000)*1000,0),2,6),"keine Meter in Spalte km!!!"),IF(VALUE(I582)=1,CONCATENATE("_",VLOOKUP(IF(V582&gt;0,V582,J582),[1]Grundlage!$A$20:$B$181,2,0)),CONCATENATE("_",B582))))</f>
        <v>UQ_A008_002600_O</v>
      </c>
      <c r="F582" s="152" t="s">
        <v>27</v>
      </c>
      <c r="G582" s="171">
        <f t="shared" si="116"/>
        <v>3152</v>
      </c>
      <c r="H582" s="160">
        <f t="shared" si="117"/>
        <v>99</v>
      </c>
      <c r="I582" s="152">
        <f t="shared" si="108"/>
        <v>3</v>
      </c>
      <c r="J582" s="152">
        <f t="shared" si="109"/>
        <v>12</v>
      </c>
      <c r="K582" s="152">
        <v>208</v>
      </c>
      <c r="L582" s="152">
        <f t="shared" si="111"/>
        <v>94</v>
      </c>
      <c r="M582" s="152">
        <f t="shared" si="112"/>
        <v>1</v>
      </c>
      <c r="N582" s="152">
        <f t="shared" si="113"/>
        <v>5</v>
      </c>
      <c r="P582" s="172">
        <f t="shared" si="114"/>
        <v>66</v>
      </c>
      <c r="AI582" s="154"/>
      <c r="AT582" s="148">
        <v>3</v>
      </c>
      <c r="AU582" s="155">
        <v>12</v>
      </c>
      <c r="AV582" s="155" t="s">
        <v>79</v>
      </c>
      <c r="AY582" s="148">
        <v>1</v>
      </c>
      <c r="AZ582" s="155">
        <v>5</v>
      </c>
      <c r="BA582" s="155">
        <v>5</v>
      </c>
      <c r="BB582" s="152" t="s">
        <v>27</v>
      </c>
      <c r="BC582" s="150"/>
      <c r="BD582" s="150"/>
      <c r="BF582" s="152" t="s">
        <v>443</v>
      </c>
    </row>
    <row r="583" spans="1:58" s="152" customFormat="1" ht="14.25" x14ac:dyDescent="0.2">
      <c r="A583" s="160" t="str">
        <f t="shared" si="106"/>
        <v>A8</v>
      </c>
      <c r="B583" s="152" t="s">
        <v>658</v>
      </c>
      <c r="C583" s="160">
        <f t="shared" si="107"/>
        <v>2.6</v>
      </c>
      <c r="D583" s="160"/>
      <c r="E583" s="170" t="str">
        <f>IF(OR(A583="",B583="",C583=""),"eine der Spalten BAB, FR, km leer?",CONCATENATE(VLOOKUP(VALUE(I583),[1]Grundlage!$A$1:$B$14,2,0),IF(LEFT(A583,1)="A",IF(VALUE(MID(A583,2,10))&lt;10,"A00"&amp;VALUE(MID(A583,2,10)),IF(VALUE(MID(A583,2,10))&lt;100,"A0"&amp;VALUE(MID(A583,2,10)),IF(VALUE(MID(A583,2,10))&lt;1000,"A"&amp;VALUE(MID(A583,2,10))))),IF(LEFT(A583,1)="B",IF(VALUE(MID(A583,2,10))&lt;10,"B00"&amp;VALUE(MID(A583,2,10)),IF(VALUE(MID(A583,2,10))&lt;100,"B0"&amp;VALUE(MID(A583,2,10)),IF(VALUE(MID(A583,2,10))&lt;1000,"B"&amp;VALUE(MID(A583,2,10))))),A583)),"_",IF(NOT(OR(C583=1000,C583&gt;1000)),MID(TEXT((C583+1000)*1000,0),2,6),"keine Meter in Spalte km!!!"),IF(VALUE(I583)=1,CONCATENATE("_",VLOOKUP(IF(V583&gt;0,V583,J583),[1]Grundlage!$A$20:$B$181,2,0)),CONCATENATE("_",B583))))</f>
        <v>UQ_A008_002600_O</v>
      </c>
      <c r="F583" s="152" t="s">
        <v>28</v>
      </c>
      <c r="G583" s="171">
        <f t="shared" si="116"/>
        <v>3152</v>
      </c>
      <c r="H583" s="160">
        <f t="shared" si="117"/>
        <v>99</v>
      </c>
      <c r="I583" s="152">
        <f t="shared" si="108"/>
        <v>3</v>
      </c>
      <c r="J583" s="152">
        <f t="shared" si="109"/>
        <v>6</v>
      </c>
      <c r="K583" s="152">
        <v>208</v>
      </c>
      <c r="L583" s="152">
        <f t="shared" si="111"/>
        <v>94</v>
      </c>
      <c r="M583" s="152">
        <f t="shared" si="112"/>
        <v>1</v>
      </c>
      <c r="N583" s="152">
        <f t="shared" si="113"/>
        <v>6</v>
      </c>
      <c r="P583" s="172">
        <f t="shared" si="114"/>
        <v>65</v>
      </c>
      <c r="AI583" s="154"/>
      <c r="AT583" s="148">
        <v>3</v>
      </c>
      <c r="AU583" s="155">
        <v>6</v>
      </c>
      <c r="AV583" s="156">
        <v>6</v>
      </c>
      <c r="AY583" s="148">
        <v>1</v>
      </c>
      <c r="AZ583" s="155">
        <v>6</v>
      </c>
      <c r="BA583" s="155">
        <v>6</v>
      </c>
      <c r="BB583" s="152" t="s">
        <v>28</v>
      </c>
      <c r="BC583" s="150"/>
      <c r="BD583" s="150"/>
      <c r="BF583" s="152" t="s">
        <v>474</v>
      </c>
    </row>
    <row r="584" spans="1:58" s="152" customFormat="1" ht="14.25" x14ac:dyDescent="0.2">
      <c r="A584" s="160" t="str">
        <f t="shared" si="106"/>
        <v>A8</v>
      </c>
      <c r="B584" s="152" t="s">
        <v>658</v>
      </c>
      <c r="C584" s="160">
        <f t="shared" si="107"/>
        <v>2.6</v>
      </c>
      <c r="D584" s="160"/>
      <c r="E584" s="170" t="str">
        <f>IF(OR(A584="",B584="",C584=""),"eine der Spalten BAB, FR, km leer?",CONCATENATE(VLOOKUP(VALUE(I584),[1]Grundlage!$A$1:$B$14,2,0),IF(LEFT(A584,1)="A",IF(VALUE(MID(A584,2,10))&lt;10,"A00"&amp;VALUE(MID(A584,2,10)),IF(VALUE(MID(A584,2,10))&lt;100,"A0"&amp;VALUE(MID(A584,2,10)),IF(VALUE(MID(A584,2,10))&lt;1000,"A"&amp;VALUE(MID(A584,2,10))))),IF(LEFT(A584,1)="B",IF(VALUE(MID(A584,2,10))&lt;10,"B00"&amp;VALUE(MID(A584,2,10)),IF(VALUE(MID(A584,2,10))&lt;100,"B0"&amp;VALUE(MID(A584,2,10)),IF(VALUE(MID(A584,2,10))&lt;1000,"B"&amp;VALUE(MID(A584,2,10))))),A584)),"_",IF(NOT(OR(C584=1000,C584&gt;1000)),MID(TEXT((C584+1000)*1000,0),2,6),"keine Meter in Spalte km!!!"),IF(VALUE(I584)=1,CONCATENATE("_",VLOOKUP(IF(V584&gt;0,V584,J584),[1]Grundlage!$A$20:$B$181,2,0)),CONCATENATE("_",B584))))</f>
        <v>UQ_A008_002600_O</v>
      </c>
      <c r="F584" s="152" t="s">
        <v>29</v>
      </c>
      <c r="G584" s="171">
        <f t="shared" si="116"/>
        <v>3152</v>
      </c>
      <c r="H584" s="160">
        <f t="shared" si="117"/>
        <v>99</v>
      </c>
      <c r="I584" s="152">
        <f t="shared" si="108"/>
        <v>3</v>
      </c>
      <c r="J584" s="152">
        <f t="shared" si="109"/>
        <v>1</v>
      </c>
      <c r="K584" s="152">
        <v>208</v>
      </c>
      <c r="L584" s="152">
        <f t="shared" si="111"/>
        <v>94</v>
      </c>
      <c r="M584" s="152">
        <f t="shared" si="112"/>
        <v>1</v>
      </c>
      <c r="N584" s="152">
        <f t="shared" si="113"/>
        <v>7</v>
      </c>
      <c r="P584" s="172">
        <f t="shared" si="114"/>
        <v>49</v>
      </c>
      <c r="AI584" s="154"/>
      <c r="AT584" s="148">
        <v>3</v>
      </c>
      <c r="AU584" s="155">
        <v>1</v>
      </c>
      <c r="AV584" s="156">
        <v>1</v>
      </c>
      <c r="AY584" s="148">
        <v>1</v>
      </c>
      <c r="AZ584" s="155">
        <v>7</v>
      </c>
      <c r="BA584" s="155">
        <v>7</v>
      </c>
      <c r="BB584" s="152" t="s">
        <v>29</v>
      </c>
      <c r="BC584" s="150"/>
      <c r="BD584" s="150"/>
      <c r="BF584" s="152" t="s">
        <v>475</v>
      </c>
    </row>
    <row r="585" spans="1:58" s="152" customFormat="1" ht="14.25" x14ac:dyDescent="0.2">
      <c r="A585" s="160" t="str">
        <f t="shared" si="106"/>
        <v>A8</v>
      </c>
      <c r="B585" s="152" t="s">
        <v>658</v>
      </c>
      <c r="C585" s="160">
        <f t="shared" si="107"/>
        <v>2.6</v>
      </c>
      <c r="D585" s="160"/>
      <c r="E585" s="170" t="str">
        <f>IF(OR(A585="",B585="",C585=""),"eine der Spalten BAB, FR, km leer?",CONCATENATE(VLOOKUP(VALUE(I585),[1]Grundlage!$A$1:$B$14,2,0),IF(LEFT(A585,1)="A",IF(VALUE(MID(A585,2,10))&lt;10,"A00"&amp;VALUE(MID(A585,2,10)),IF(VALUE(MID(A585,2,10))&lt;100,"A0"&amp;VALUE(MID(A585,2,10)),IF(VALUE(MID(A585,2,10))&lt;1000,"A"&amp;VALUE(MID(A585,2,10))))),IF(LEFT(A585,1)="B",IF(VALUE(MID(A585,2,10))&lt;10,"B00"&amp;VALUE(MID(A585,2,10)),IF(VALUE(MID(A585,2,10))&lt;100,"B0"&amp;VALUE(MID(A585,2,10)),IF(VALUE(MID(A585,2,10))&lt;1000,"B"&amp;VALUE(MID(A585,2,10))))),A585)),"_",IF(NOT(OR(C585=1000,C585&gt;1000)),MID(TEXT((C585+1000)*1000,0),2,6),"keine Meter in Spalte km!!!"),IF(VALUE(I585)=1,CONCATENATE("_",VLOOKUP(IF(V585&gt;0,V585,J585),[1]Grundlage!$A$20:$B$181,2,0)),CONCATENATE("_",B585))))</f>
        <v>UQ_A008_002600_O</v>
      </c>
      <c r="F585" s="152" t="s">
        <v>30</v>
      </c>
      <c r="G585" s="171">
        <f t="shared" si="116"/>
        <v>3152</v>
      </c>
      <c r="H585" s="160">
        <f t="shared" si="117"/>
        <v>99</v>
      </c>
      <c r="I585" s="152">
        <f t="shared" si="108"/>
        <v>3</v>
      </c>
      <c r="J585" s="152">
        <f t="shared" si="109"/>
        <v>41</v>
      </c>
      <c r="K585" s="152">
        <v>208</v>
      </c>
      <c r="L585" s="152">
        <f t="shared" si="111"/>
        <v>94</v>
      </c>
      <c r="M585" s="152">
        <f t="shared" si="112"/>
        <v>1</v>
      </c>
      <c r="N585" s="152">
        <f t="shared" si="113"/>
        <v>8</v>
      </c>
      <c r="P585" s="172">
        <f t="shared" si="114"/>
        <v>67</v>
      </c>
      <c r="AI585" s="154"/>
      <c r="AT585" s="148">
        <v>3</v>
      </c>
      <c r="AU585" s="155">
        <v>41</v>
      </c>
      <c r="AV585" s="155">
        <v>29</v>
      </c>
      <c r="AY585" s="148">
        <v>1</v>
      </c>
      <c r="AZ585" s="155">
        <v>8</v>
      </c>
      <c r="BA585" s="155">
        <v>8</v>
      </c>
      <c r="BB585" s="152" t="s">
        <v>30</v>
      </c>
      <c r="BC585" s="150"/>
      <c r="BD585" s="150"/>
      <c r="BF585" s="152" t="s">
        <v>476</v>
      </c>
    </row>
    <row r="586" spans="1:58" s="152" customFormat="1" ht="14.25" x14ac:dyDescent="0.2">
      <c r="A586" s="160" t="str">
        <f t="shared" ref="A586:A649" si="118">IF(ISBLANK(AK586),A585,AK586)</f>
        <v>A8</v>
      </c>
      <c r="B586" s="152" t="s">
        <v>658</v>
      </c>
      <c r="C586" s="160">
        <f t="shared" ref="C586:C649" si="119">IF(ISBLANK(AI586),C585,AI586)</f>
        <v>2.6</v>
      </c>
      <c r="D586" s="160"/>
      <c r="E586" s="170" t="str">
        <f>IF(OR(A586="",B586="",C586=""),"eine der Spalten BAB, FR, km leer?",CONCATENATE(VLOOKUP(VALUE(I586),[1]Grundlage!$A$1:$B$14,2,0),IF(LEFT(A586,1)="A",IF(VALUE(MID(A586,2,10))&lt;10,"A00"&amp;VALUE(MID(A586,2,10)),IF(VALUE(MID(A586,2,10))&lt;100,"A0"&amp;VALUE(MID(A586,2,10)),IF(VALUE(MID(A586,2,10))&lt;1000,"A"&amp;VALUE(MID(A586,2,10))))),IF(LEFT(A586,1)="B",IF(VALUE(MID(A586,2,10))&lt;10,"B00"&amp;VALUE(MID(A586,2,10)),IF(VALUE(MID(A586,2,10))&lt;100,"B0"&amp;VALUE(MID(A586,2,10)),IF(VALUE(MID(A586,2,10))&lt;1000,"B"&amp;VALUE(MID(A586,2,10))))),A586)),"_",IF(NOT(OR(C586=1000,C586&gt;1000)),MID(TEXT((C586+1000)*1000,0),2,6),"keine Meter in Spalte km!!!"),IF(VALUE(I586)=1,CONCATENATE("_",VLOOKUP(IF(V586&gt;0,V586,J586),[1]Grundlage!$A$20:$B$181,2,0)),CONCATENATE("_",B586))))</f>
        <v>UQ_A008_002600_O</v>
      </c>
      <c r="F586" s="152" t="s">
        <v>271</v>
      </c>
      <c r="G586" s="171">
        <f t="shared" si="116"/>
        <v>3152</v>
      </c>
      <c r="H586" s="160">
        <f t="shared" si="117"/>
        <v>99</v>
      </c>
      <c r="I586" s="152">
        <f t="shared" ref="I586:I649" si="120">IF(D586="SS",254,AT586)</f>
        <v>3</v>
      </c>
      <c r="J586" s="152">
        <f t="shared" ref="J586:J649" si="121">IF(D586="SS",0,AU586)</f>
        <v>5</v>
      </c>
      <c r="K586" s="152">
        <v>208</v>
      </c>
      <c r="L586" s="152">
        <f t="shared" ref="L586:L649" si="122">IF(ISBLANK(AX586),L585,AX586)</f>
        <v>94</v>
      </c>
      <c r="M586" s="152">
        <f t="shared" ref="M586:M649" si="123">IF(ISBLANK(AY586),"",AY586)</f>
        <v>1</v>
      </c>
      <c r="N586" s="152">
        <f t="shared" ref="N586:N649" si="124">IF(ISBLANK(AZ586),"",AZ586)</f>
        <v>9</v>
      </c>
      <c r="P586" s="172">
        <f t="shared" si="114"/>
        <v>53</v>
      </c>
      <c r="AI586" s="154"/>
      <c r="AT586" s="148">
        <v>3</v>
      </c>
      <c r="AU586" s="155">
        <v>5</v>
      </c>
      <c r="AV586" s="156">
        <v>5</v>
      </c>
      <c r="AY586" s="148">
        <v>1</v>
      </c>
      <c r="AZ586" s="155">
        <v>9</v>
      </c>
      <c r="BA586" s="152">
        <v>9</v>
      </c>
      <c r="BB586" s="152" t="s">
        <v>271</v>
      </c>
      <c r="BC586" s="150"/>
      <c r="BD586" s="150"/>
      <c r="BF586" s="152" t="s">
        <v>444</v>
      </c>
    </row>
    <row r="587" spans="1:58" s="152" customFormat="1" ht="14.25" x14ac:dyDescent="0.2">
      <c r="A587" s="160" t="str">
        <f t="shared" si="118"/>
        <v>A8</v>
      </c>
      <c r="B587" s="152" t="s">
        <v>658</v>
      </c>
      <c r="C587" s="160">
        <f t="shared" si="119"/>
        <v>2.6</v>
      </c>
      <c r="D587" s="160"/>
      <c r="E587" s="170" t="str">
        <f>IF(OR(A587="",B587="",C587=""),"eine der Spalten BAB, FR, km leer?",CONCATENATE(VLOOKUP(VALUE(I587),[1]Grundlage!$A$1:$B$14,2,0),IF(LEFT(A587,1)="A",IF(VALUE(MID(A587,2,10))&lt;10,"A00"&amp;VALUE(MID(A587,2,10)),IF(VALUE(MID(A587,2,10))&lt;100,"A0"&amp;VALUE(MID(A587,2,10)),IF(VALUE(MID(A587,2,10))&lt;1000,"A"&amp;VALUE(MID(A587,2,10))))),IF(LEFT(A587,1)="B",IF(VALUE(MID(A587,2,10))&lt;10,"B00"&amp;VALUE(MID(A587,2,10)),IF(VALUE(MID(A587,2,10))&lt;100,"B0"&amp;VALUE(MID(A587,2,10)),IF(VALUE(MID(A587,2,10))&lt;1000,"B"&amp;VALUE(MID(A587,2,10))))),A587)),"_",IF(NOT(OR(C587=1000,C587&gt;1000)),MID(TEXT((C587+1000)*1000,0),2,6),"keine Meter in Spalte km!!!"),IF(VALUE(I587)=1,CONCATENATE("_",VLOOKUP(IF(V587&gt;0,V587,J587),[1]Grundlage!$A$20:$B$181,2,0)),CONCATENATE("_",B587))))</f>
        <v>UQ_A008_002600_O</v>
      </c>
      <c r="F587" s="152" t="s">
        <v>272</v>
      </c>
      <c r="G587" s="171">
        <f t="shared" si="116"/>
        <v>3152</v>
      </c>
      <c r="H587" s="160">
        <f t="shared" si="117"/>
        <v>99</v>
      </c>
      <c r="I587" s="152">
        <f t="shared" si="120"/>
        <v>3</v>
      </c>
      <c r="J587" s="152">
        <f t="shared" si="121"/>
        <v>82</v>
      </c>
      <c r="K587" s="152">
        <v>208</v>
      </c>
      <c r="L587" s="152">
        <f t="shared" si="122"/>
        <v>94</v>
      </c>
      <c r="M587" s="152">
        <f t="shared" si="123"/>
        <v>1</v>
      </c>
      <c r="N587" s="152">
        <f t="shared" si="124"/>
        <v>10</v>
      </c>
      <c r="P587" s="172">
        <f t="shared" ref="P587:P650" si="125">IF(AT587&lt;&gt;3,"",IF(BB587="Helligkeitssensor",61,IF(BB587="Helligkeit",61,IF(BB588="Lichtsensor",61,IF(BB587="Lufttemperatur",48,IF(BB587="Niederschlagsart",71,IF(BB587="Niederschlagsintensität",53,IF(BB587="relative Luftfeuchte RLF",55,IF(BB587="Sichtweite",60,IF(BB587="Sichtweite 1",60,IF(BB587="Zustand der Fahrbahnoberfläche FBZ",79,IF(BB587="Wasserfilmdicke WFD",72,IF(BB587="Clusterkanal FG3","",IF(BB587="Gefriertemperatur GT",65,IF(BB587="Fahrbahnoberflächentemperatur FBT",49,VALUE(RIGHT(BB587,2)))))))))))))))))</f>
        <v>72</v>
      </c>
      <c r="AI587" s="154"/>
      <c r="AJ587" s="149"/>
      <c r="AK587" s="190"/>
      <c r="AL587" s="190"/>
      <c r="AM587" s="190"/>
      <c r="AN587" s="190"/>
      <c r="AO587" s="190"/>
      <c r="AT587" s="148">
        <v>3</v>
      </c>
      <c r="AU587" s="155">
        <v>82</v>
      </c>
      <c r="AV587" s="155"/>
      <c r="AY587" s="148">
        <v>1</v>
      </c>
      <c r="AZ587" s="155">
        <v>10</v>
      </c>
      <c r="BA587" s="155" t="s">
        <v>95</v>
      </c>
      <c r="BB587" s="152" t="s">
        <v>272</v>
      </c>
      <c r="BC587" s="150"/>
      <c r="BD587" s="150"/>
      <c r="BF587" s="152" t="s">
        <v>477</v>
      </c>
    </row>
    <row r="588" spans="1:58" ht="14.25" x14ac:dyDescent="0.2">
      <c r="A588" t="str">
        <f t="shared" si="118"/>
        <v>A8</v>
      </c>
      <c r="C588">
        <f t="shared" si="119"/>
        <v>2.6</v>
      </c>
      <c r="D588" t="str">
        <f t="shared" si="115"/>
        <v/>
      </c>
      <c r="E588" s="169" t="str">
        <f>IF(OR(A588="",B588="",C588=""),"",CONCATENATE(VLOOKUP(VALUE(I588),[1]Grundlage!$A$1:$B$14,2,0),IF(LEFT(A588,1)="A",IF(VALUE(MID(A588,2,10))&lt;10,"A00"&amp;VALUE(MID(A588,2,10)),IF(VALUE(MID(A588,2,10))&lt;100,"A0"&amp;VALUE(MID(A588,2,10)),IF(VALUE(MID(A588,2,10))&lt;1000,"A"&amp;VALUE(MID(A588,2,10))))),IF(LEFT(A588,1)="B",IF(VALUE(MID(A588,2,10))&lt;10,"B00"&amp;VALUE(MID(A588,2,10)),IF(VALUE(MID(A588,2,10))&lt;100,"B0"&amp;VALUE(MID(A588,2,10)),IF(VALUE(MID(A588,2,10))&lt;1000,"B"&amp;VALUE(MID(A588,2,10))))),A588)),"_",IF(NOT(OR(C588=1000,C588&gt;1000)),MID(TEXT((C588+1000)*1000,0),2,6),"keine Meter in Spalte km!!!"),IF(VALUE(I588)=1,CONCATENATE("_",VLOOKUP(IF(V588&gt;0,V588,J588),[1]Grundlage!$A$20:$B$181,2,0)),CONCATENATE("_",B588))))</f>
        <v/>
      </c>
      <c r="F588" s="2" t="s">
        <v>669</v>
      </c>
      <c r="G588" s="167">
        <f t="shared" si="116"/>
        <v>3152</v>
      </c>
      <c r="H588">
        <f t="shared" si="117"/>
        <v>99</v>
      </c>
      <c r="I588" s="2">
        <f t="shared" si="120"/>
        <v>0</v>
      </c>
      <c r="J588" s="2">
        <f t="shared" si="121"/>
        <v>0</v>
      </c>
      <c r="K588" s="2">
        <v>208</v>
      </c>
      <c r="L588" s="2">
        <f t="shared" si="122"/>
        <v>94</v>
      </c>
      <c r="M588" s="2" t="str">
        <f t="shared" si="123"/>
        <v/>
      </c>
      <c r="N588" s="2" t="str">
        <f t="shared" si="124"/>
        <v/>
      </c>
      <c r="P588" s="168" t="str">
        <f t="shared" si="125"/>
        <v/>
      </c>
      <c r="AJ588" s="3"/>
      <c r="AK588" s="20"/>
      <c r="AL588" s="20"/>
      <c r="AM588" s="20"/>
      <c r="AN588" s="20"/>
      <c r="AO588" s="20"/>
      <c r="AT588" s="19"/>
      <c r="AU588" s="14"/>
      <c r="AV588" s="14"/>
      <c r="AY588" s="1"/>
      <c r="AZ588" s="14"/>
      <c r="BB588" s="13"/>
    </row>
    <row r="589" spans="1:58" s="152" customFormat="1" ht="14.25" x14ac:dyDescent="0.2">
      <c r="A589" s="160" t="str">
        <f t="shared" si="118"/>
        <v>A94</v>
      </c>
      <c r="B589" s="152" t="s">
        <v>657</v>
      </c>
      <c r="C589" s="160">
        <f t="shared" si="119"/>
        <v>21.1</v>
      </c>
      <c r="D589" s="160"/>
      <c r="E589" s="170" t="str">
        <f>IF(OR(A589="",B589="",C589=""),"eine der Spalten BAB, FR, km leer?",CONCATENATE(VLOOKUP(VALUE(I589),[1]Grundlage!$A$1:$B$14,2,0),IF(LEFT(A589,1)="A",IF(VALUE(MID(A589,2,10))&lt;10,"A00"&amp;VALUE(MID(A589,2,10)),IF(VALUE(MID(A589,2,10))&lt;100,"A0"&amp;VALUE(MID(A589,2,10)),IF(VALUE(MID(A589,2,10))&lt;1000,"A"&amp;VALUE(MID(A589,2,10))))),IF(LEFT(A589,1)="B",IF(VALUE(MID(A589,2,10))&lt;10,"B00"&amp;VALUE(MID(A589,2,10)),IF(VALUE(MID(A589,2,10))&lt;100,"B0"&amp;VALUE(MID(A589,2,10)),IF(VALUE(MID(A589,2,10))&lt;1000,"B"&amp;VALUE(MID(A589,2,10))))),A589)),"_",IF(NOT(OR(C589=1000,C589&gt;1000)),MID(TEXT((C589+1000)*1000,0),2,6),"keine Meter in Spalte km!!!"),IF(VALUE(I589)=1,CONCATENATE("_",VLOOKUP(IF(V589&gt;0,V589,J589),[1]Grundlage!$A$20:$B$181,2,0)),CONCATENATE("_",B589))))</f>
        <v>SSt_A094_021100_W</v>
      </c>
      <c r="F589" s="152" t="s">
        <v>114</v>
      </c>
      <c r="G589" s="171">
        <f t="shared" si="116"/>
        <v>36783</v>
      </c>
      <c r="H589" s="160">
        <f t="shared" si="117"/>
        <v>32</v>
      </c>
      <c r="I589" s="152">
        <f t="shared" si="120"/>
        <v>0</v>
      </c>
      <c r="J589" s="152">
        <f t="shared" si="121"/>
        <v>0</v>
      </c>
      <c r="K589" s="152">
        <v>208</v>
      </c>
      <c r="L589" s="152">
        <f t="shared" si="122"/>
        <v>96</v>
      </c>
      <c r="M589" s="152" t="str">
        <f t="shared" si="123"/>
        <v/>
      </c>
      <c r="N589" s="152" t="str">
        <f t="shared" si="124"/>
        <v/>
      </c>
      <c r="P589" s="172" t="str">
        <f t="shared" si="125"/>
        <v/>
      </c>
      <c r="AI589" s="173">
        <v>21.1</v>
      </c>
      <c r="AJ589" s="148" t="s">
        <v>19</v>
      </c>
      <c r="AK589" s="148" t="s">
        <v>113</v>
      </c>
      <c r="AL589" s="148"/>
      <c r="AM589" s="148"/>
      <c r="AN589" s="148"/>
      <c r="AO589" s="148"/>
      <c r="AP589" s="148">
        <v>9416480</v>
      </c>
      <c r="AQ589" s="158" t="s">
        <v>242</v>
      </c>
      <c r="AR589" s="158" t="s">
        <v>241</v>
      </c>
      <c r="AS589" s="148">
        <v>20</v>
      </c>
      <c r="AT589" s="148"/>
      <c r="AU589" s="148"/>
      <c r="AV589" s="148"/>
      <c r="AW589" s="148"/>
      <c r="AX589" s="148">
        <v>96</v>
      </c>
      <c r="AY589" s="148"/>
      <c r="AZ589" s="148"/>
      <c r="BA589" s="148"/>
      <c r="BB589" s="149" t="s">
        <v>114</v>
      </c>
      <c r="BC589" s="150"/>
      <c r="BD589" s="151" t="s">
        <v>163</v>
      </c>
      <c r="BE589" s="152" t="s">
        <v>111</v>
      </c>
      <c r="BF589" s="152" t="s">
        <v>460</v>
      </c>
    </row>
    <row r="590" spans="1:58" s="152" customFormat="1" ht="14.25" x14ac:dyDescent="0.2">
      <c r="A590" s="160" t="str">
        <f t="shared" si="118"/>
        <v>A94</v>
      </c>
      <c r="B590" s="152" t="s">
        <v>657</v>
      </c>
      <c r="C590" s="160">
        <f t="shared" si="119"/>
        <v>21.1</v>
      </c>
      <c r="D590" s="160"/>
      <c r="E590" s="170" t="str">
        <f>IF(OR(A590="",B590="",C590=""),"eine der Spalten BAB, FR, km leer?",CONCATENATE(VLOOKUP(VALUE(I590),[1]Grundlage!$A$1:$B$14,2,0),IF(LEFT(A590,1)="A",IF(VALUE(MID(A590,2,10))&lt;10,"A00"&amp;VALUE(MID(A590,2,10)),IF(VALUE(MID(A590,2,10))&lt;100,"A0"&amp;VALUE(MID(A590,2,10)),IF(VALUE(MID(A590,2,10))&lt;1000,"A"&amp;VALUE(MID(A590,2,10))))),IF(LEFT(A590,1)="B",IF(VALUE(MID(A590,2,10))&lt;10,"B00"&amp;VALUE(MID(A590,2,10)),IF(VALUE(MID(A590,2,10))&lt;100,"B0"&amp;VALUE(MID(A590,2,10)),IF(VALUE(MID(A590,2,10))&lt;1000,"B"&amp;VALUE(MID(A590,2,10))))),A590)),"_",IF(NOT(OR(C590=1000,C590&gt;1000)),MID(TEXT((C590+1000)*1000,0),2,6),"keine Meter in Spalte km!!!"),IF(VALUE(I590)=1,CONCATENATE("_",VLOOKUP(IF(V590&gt;0,V590,J590),[1]Grundlage!$A$20:$B$181,2,0)),CONCATENATE("_",B590))))</f>
        <v>UQ_A094_021100_W</v>
      </c>
      <c r="F590" s="152" t="s">
        <v>269</v>
      </c>
      <c r="G590" s="171">
        <f t="shared" si="116"/>
        <v>36783</v>
      </c>
      <c r="H590" s="160">
        <f t="shared" si="117"/>
        <v>32</v>
      </c>
      <c r="I590" s="152">
        <f t="shared" si="120"/>
        <v>3</v>
      </c>
      <c r="J590" s="152">
        <f t="shared" si="121"/>
        <v>17</v>
      </c>
      <c r="K590" s="152">
        <v>208</v>
      </c>
      <c r="L590" s="152">
        <f t="shared" si="122"/>
        <v>96</v>
      </c>
      <c r="M590" s="152">
        <f t="shared" si="123"/>
        <v>1</v>
      </c>
      <c r="N590" s="152">
        <f t="shared" si="124"/>
        <v>1</v>
      </c>
      <c r="P590" s="172">
        <f t="shared" si="125"/>
        <v>71</v>
      </c>
      <c r="AI590" s="154"/>
      <c r="AT590" s="148">
        <v>3</v>
      </c>
      <c r="AU590" s="155">
        <v>17</v>
      </c>
      <c r="AV590" s="156">
        <v>11</v>
      </c>
      <c r="AW590" s="148"/>
      <c r="AX590" s="148"/>
      <c r="AY590" s="148">
        <v>1</v>
      </c>
      <c r="AZ590" s="155">
        <v>1</v>
      </c>
      <c r="BA590" s="156">
        <v>1</v>
      </c>
      <c r="BB590" s="152" t="s">
        <v>269</v>
      </c>
      <c r="BC590" s="150"/>
      <c r="BD590" s="150"/>
      <c r="BF590" s="152" t="s">
        <v>440</v>
      </c>
    </row>
    <row r="591" spans="1:58" s="152" customFormat="1" ht="14.25" x14ac:dyDescent="0.2">
      <c r="A591" s="160" t="str">
        <f t="shared" si="118"/>
        <v>A94</v>
      </c>
      <c r="B591" s="152" t="s">
        <v>657</v>
      </c>
      <c r="C591" s="160">
        <f t="shared" si="119"/>
        <v>21.1</v>
      </c>
      <c r="D591" s="160"/>
      <c r="E591" s="170" t="str">
        <f>IF(OR(A591="",B591="",C591=""),"eine der Spalten BAB, FR, km leer?",CONCATENATE(VLOOKUP(VALUE(I591),[1]Grundlage!$A$1:$B$14,2,0),IF(LEFT(A591,1)="A",IF(VALUE(MID(A591,2,10))&lt;10,"A00"&amp;VALUE(MID(A591,2,10)),IF(VALUE(MID(A591,2,10))&lt;100,"A0"&amp;VALUE(MID(A591,2,10)),IF(VALUE(MID(A591,2,10))&lt;1000,"A"&amp;VALUE(MID(A591,2,10))))),IF(LEFT(A591,1)="B",IF(VALUE(MID(A591,2,10))&lt;10,"B00"&amp;VALUE(MID(A591,2,10)),IF(VALUE(MID(A591,2,10))&lt;100,"B0"&amp;VALUE(MID(A591,2,10)),IF(VALUE(MID(A591,2,10))&lt;1000,"B"&amp;VALUE(MID(A591,2,10))))),A591)),"_",IF(NOT(OR(C591=1000,C591&gt;1000)),MID(TEXT((C591+1000)*1000,0),2,6),"keine Meter in Spalte km!!!"),IF(VALUE(I591)=1,CONCATENATE("_",VLOOKUP(IF(V591&gt;0,V591,J591),[1]Grundlage!$A$20:$B$181,2,0)),CONCATENATE("_",B591))))</f>
        <v>UQ_A094_021100_W</v>
      </c>
      <c r="F591" s="152" t="s">
        <v>270</v>
      </c>
      <c r="G591" s="171">
        <f t="shared" si="116"/>
        <v>36783</v>
      </c>
      <c r="H591" s="160">
        <f t="shared" si="117"/>
        <v>32</v>
      </c>
      <c r="I591" s="152">
        <f t="shared" si="120"/>
        <v>3</v>
      </c>
      <c r="J591" s="152">
        <f t="shared" si="121"/>
        <v>2</v>
      </c>
      <c r="K591" s="152">
        <v>208</v>
      </c>
      <c r="L591" s="152">
        <f t="shared" si="122"/>
        <v>96</v>
      </c>
      <c r="M591" s="152">
        <f t="shared" si="123"/>
        <v>1</v>
      </c>
      <c r="N591" s="152">
        <f t="shared" si="124"/>
        <v>2</v>
      </c>
      <c r="P591" s="172">
        <f t="shared" si="125"/>
        <v>70</v>
      </c>
      <c r="AI591" s="154"/>
      <c r="AT591" s="148">
        <v>3</v>
      </c>
      <c r="AU591" s="155">
        <v>2</v>
      </c>
      <c r="AV591" s="156">
        <v>2</v>
      </c>
      <c r="AY591" s="148">
        <v>1</v>
      </c>
      <c r="AZ591" s="155">
        <v>2</v>
      </c>
      <c r="BA591" s="155">
        <v>2</v>
      </c>
      <c r="BB591" s="152" t="s">
        <v>270</v>
      </c>
      <c r="BC591" s="150"/>
      <c r="BD591" s="150"/>
      <c r="BF591" s="152" t="s">
        <v>478</v>
      </c>
    </row>
    <row r="592" spans="1:58" s="152" customFormat="1" ht="14.25" x14ac:dyDescent="0.2">
      <c r="A592" s="160" t="str">
        <f t="shared" si="118"/>
        <v>A94</v>
      </c>
      <c r="B592" s="152" t="s">
        <v>657</v>
      </c>
      <c r="C592" s="160">
        <f t="shared" si="119"/>
        <v>21.1</v>
      </c>
      <c r="D592" s="160"/>
      <c r="E592" s="170" t="str">
        <f>IF(OR(A592="",B592="",C592=""),"eine der Spalten BAB, FR, km leer?",CONCATENATE(VLOOKUP(VALUE(I592),[1]Grundlage!$A$1:$B$14,2,0),IF(LEFT(A592,1)="A",IF(VALUE(MID(A592,2,10))&lt;10,"A00"&amp;VALUE(MID(A592,2,10)),IF(VALUE(MID(A592,2,10))&lt;100,"A0"&amp;VALUE(MID(A592,2,10)),IF(VALUE(MID(A592,2,10))&lt;1000,"A"&amp;VALUE(MID(A592,2,10))))),IF(LEFT(A592,1)="B",IF(VALUE(MID(A592,2,10))&lt;10,"B00"&amp;VALUE(MID(A592,2,10)),IF(VALUE(MID(A592,2,10))&lt;100,"B0"&amp;VALUE(MID(A592,2,10)),IF(VALUE(MID(A592,2,10))&lt;1000,"B"&amp;VALUE(MID(A592,2,10))))),A592)),"_",IF(NOT(OR(C592=1000,C592&gt;1000)),MID(TEXT((C592+1000)*1000,0),2,6),"keine Meter in Spalte km!!!"),IF(VALUE(I592)=1,CONCATENATE("_",VLOOKUP(IF(V592&gt;0,V592,J592),[1]Grundlage!$A$20:$B$181,2,0)),CONCATENATE("_",B592))))</f>
        <v>UQ_A094_021100_W</v>
      </c>
      <c r="F592" s="152" t="s">
        <v>25</v>
      </c>
      <c r="G592" s="171">
        <f t="shared" si="116"/>
        <v>36783</v>
      </c>
      <c r="H592" s="160">
        <f t="shared" si="117"/>
        <v>32</v>
      </c>
      <c r="I592" s="152">
        <f t="shared" si="120"/>
        <v>3</v>
      </c>
      <c r="J592" s="152">
        <f t="shared" si="121"/>
        <v>11</v>
      </c>
      <c r="K592" s="152">
        <v>208</v>
      </c>
      <c r="L592" s="152">
        <f t="shared" si="122"/>
        <v>96</v>
      </c>
      <c r="M592" s="152">
        <f t="shared" si="123"/>
        <v>1</v>
      </c>
      <c r="N592" s="152">
        <f t="shared" si="124"/>
        <v>3</v>
      </c>
      <c r="P592" s="172">
        <f t="shared" si="125"/>
        <v>48</v>
      </c>
      <c r="AI592" s="154"/>
      <c r="AT592" s="148">
        <v>3</v>
      </c>
      <c r="AU592" s="155">
        <v>11</v>
      </c>
      <c r="AV592" s="156" t="s">
        <v>78</v>
      </c>
      <c r="AY592" s="148">
        <v>1</v>
      </c>
      <c r="AZ592" s="155">
        <f>AZ591+1</f>
        <v>3</v>
      </c>
      <c r="BA592" s="155">
        <f t="shared" ref="BA592:BA598" si="126">BA591+1</f>
        <v>3</v>
      </c>
      <c r="BB592" s="152" t="s">
        <v>25</v>
      </c>
      <c r="BC592" s="150"/>
      <c r="BD592" s="150"/>
      <c r="BF592" s="152" t="s">
        <v>441</v>
      </c>
    </row>
    <row r="593" spans="1:58" s="152" customFormat="1" ht="14.25" x14ac:dyDescent="0.2">
      <c r="A593" s="160" t="str">
        <f t="shared" si="118"/>
        <v>A94</v>
      </c>
      <c r="B593" s="152" t="s">
        <v>657</v>
      </c>
      <c r="C593" s="160">
        <f t="shared" si="119"/>
        <v>21.1</v>
      </c>
      <c r="D593" s="160"/>
      <c r="E593" s="170" t="str">
        <f>IF(OR(A593="",B593="",C593=""),"eine der Spalten BAB, FR, km leer?",CONCATENATE(VLOOKUP(VALUE(I593),[1]Grundlage!$A$1:$B$14,2,0),IF(LEFT(A593,1)="A",IF(VALUE(MID(A593,2,10))&lt;10,"A00"&amp;VALUE(MID(A593,2,10)),IF(VALUE(MID(A593,2,10))&lt;100,"A0"&amp;VALUE(MID(A593,2,10)),IF(VALUE(MID(A593,2,10))&lt;1000,"A"&amp;VALUE(MID(A593,2,10))))),IF(LEFT(A593,1)="B",IF(VALUE(MID(A593,2,10))&lt;10,"B00"&amp;VALUE(MID(A593,2,10)),IF(VALUE(MID(A593,2,10))&lt;100,"B0"&amp;VALUE(MID(A593,2,10)),IF(VALUE(MID(A593,2,10))&lt;1000,"B"&amp;VALUE(MID(A593,2,10))))),A593)),"_",IF(NOT(OR(C593=1000,C593&gt;1000)),MID(TEXT((C593+1000)*1000,0),2,6),"keine Meter in Spalte km!!!"),IF(VALUE(I593)=1,CONCATENATE("_",VLOOKUP(IF(V593&gt;0,V593,J593),[1]Grundlage!$A$20:$B$181,2,0)),CONCATENATE("_",B593))))</f>
        <v>UQ_A094_021100_W</v>
      </c>
      <c r="F593" s="152" t="s">
        <v>26</v>
      </c>
      <c r="G593" s="171">
        <f t="shared" si="116"/>
        <v>36783</v>
      </c>
      <c r="H593" s="160">
        <f t="shared" si="117"/>
        <v>32</v>
      </c>
      <c r="I593" s="152">
        <f t="shared" si="120"/>
        <v>3</v>
      </c>
      <c r="J593" s="152">
        <f t="shared" si="121"/>
        <v>13</v>
      </c>
      <c r="K593" s="152">
        <v>208</v>
      </c>
      <c r="L593" s="152">
        <f t="shared" si="122"/>
        <v>96</v>
      </c>
      <c r="M593" s="152">
        <f t="shared" si="123"/>
        <v>1</v>
      </c>
      <c r="N593" s="152">
        <f t="shared" si="124"/>
        <v>4</v>
      </c>
      <c r="P593" s="172">
        <f t="shared" si="125"/>
        <v>55</v>
      </c>
      <c r="AI593" s="154"/>
      <c r="AT593" s="148">
        <v>3</v>
      </c>
      <c r="AU593" s="155">
        <v>13</v>
      </c>
      <c r="AV593" s="156" t="s">
        <v>80</v>
      </c>
      <c r="AY593" s="148">
        <v>1</v>
      </c>
      <c r="AZ593" s="155">
        <f t="shared" ref="AZ593:AZ602" si="127">AZ592+1</f>
        <v>4</v>
      </c>
      <c r="BA593" s="155">
        <f t="shared" si="126"/>
        <v>4</v>
      </c>
      <c r="BB593" s="152" t="s">
        <v>26</v>
      </c>
      <c r="BC593" s="150"/>
      <c r="BD593" s="150"/>
      <c r="BF593" s="152" t="s">
        <v>442</v>
      </c>
    </row>
    <row r="594" spans="1:58" s="152" customFormat="1" ht="14.25" x14ac:dyDescent="0.2">
      <c r="A594" s="160" t="str">
        <f t="shared" si="118"/>
        <v>A94</v>
      </c>
      <c r="B594" s="152" t="s">
        <v>657</v>
      </c>
      <c r="C594" s="160">
        <f t="shared" si="119"/>
        <v>21.1</v>
      </c>
      <c r="D594" s="160"/>
      <c r="E594" s="170" t="str">
        <f>IF(OR(A594="",B594="",C594=""),"eine der Spalten BAB, FR, km leer?",CONCATENATE(VLOOKUP(VALUE(I594),[1]Grundlage!$A$1:$B$14,2,0),IF(LEFT(A594,1)="A",IF(VALUE(MID(A594,2,10))&lt;10,"A00"&amp;VALUE(MID(A594,2,10)),IF(VALUE(MID(A594,2,10))&lt;100,"A0"&amp;VALUE(MID(A594,2,10)),IF(VALUE(MID(A594,2,10))&lt;1000,"A"&amp;VALUE(MID(A594,2,10))))),IF(LEFT(A594,1)="B",IF(VALUE(MID(A594,2,10))&lt;10,"B00"&amp;VALUE(MID(A594,2,10)),IF(VALUE(MID(A594,2,10))&lt;100,"B0"&amp;VALUE(MID(A594,2,10)),IF(VALUE(MID(A594,2,10))&lt;1000,"B"&amp;VALUE(MID(A594,2,10))))),A594)),"_",IF(NOT(OR(C594=1000,C594&gt;1000)),MID(TEXT((C594+1000)*1000,0),2,6),"keine Meter in Spalte km!!!"),IF(VALUE(I594)=1,CONCATENATE("_",VLOOKUP(IF(V594&gt;0,V594,J594),[1]Grundlage!$A$20:$B$181,2,0)),CONCATENATE("_",B594))))</f>
        <v>UQ_A094_021100_W</v>
      </c>
      <c r="F594" s="152" t="s">
        <v>27</v>
      </c>
      <c r="G594" s="171">
        <f t="shared" si="116"/>
        <v>36783</v>
      </c>
      <c r="H594" s="160">
        <f t="shared" si="117"/>
        <v>32</v>
      </c>
      <c r="I594" s="152">
        <f t="shared" si="120"/>
        <v>3</v>
      </c>
      <c r="J594" s="152">
        <f t="shared" si="121"/>
        <v>12</v>
      </c>
      <c r="K594" s="152">
        <v>208</v>
      </c>
      <c r="L594" s="152">
        <f t="shared" si="122"/>
        <v>96</v>
      </c>
      <c r="M594" s="152">
        <f t="shared" si="123"/>
        <v>1</v>
      </c>
      <c r="N594" s="152">
        <f t="shared" si="124"/>
        <v>5</v>
      </c>
      <c r="P594" s="172">
        <f t="shared" si="125"/>
        <v>66</v>
      </c>
      <c r="AI594" s="154"/>
      <c r="AT594" s="148">
        <v>3</v>
      </c>
      <c r="AU594" s="155">
        <v>12</v>
      </c>
      <c r="AV594" s="156" t="s">
        <v>79</v>
      </c>
      <c r="AY594" s="148">
        <v>1</v>
      </c>
      <c r="AZ594" s="155">
        <f t="shared" si="127"/>
        <v>5</v>
      </c>
      <c r="BA594" s="155">
        <f t="shared" si="126"/>
        <v>5</v>
      </c>
      <c r="BB594" s="152" t="s">
        <v>27</v>
      </c>
      <c r="BC594" s="150"/>
      <c r="BD594" s="150"/>
      <c r="BF594" s="152" t="s">
        <v>443</v>
      </c>
    </row>
    <row r="595" spans="1:58" s="152" customFormat="1" ht="14.25" x14ac:dyDescent="0.2">
      <c r="A595" s="160" t="str">
        <f t="shared" si="118"/>
        <v>A94</v>
      </c>
      <c r="B595" s="152" t="s">
        <v>657</v>
      </c>
      <c r="C595" s="160">
        <f t="shared" si="119"/>
        <v>21.1</v>
      </c>
      <c r="D595" s="160"/>
      <c r="E595" s="170" t="str">
        <f>IF(OR(A595="",B595="",C595=""),"eine der Spalten BAB, FR, km leer?",CONCATENATE(VLOOKUP(VALUE(I595),[1]Grundlage!$A$1:$B$14,2,0),IF(LEFT(A595,1)="A",IF(VALUE(MID(A595,2,10))&lt;10,"A00"&amp;VALUE(MID(A595,2,10)),IF(VALUE(MID(A595,2,10))&lt;100,"A0"&amp;VALUE(MID(A595,2,10)),IF(VALUE(MID(A595,2,10))&lt;1000,"A"&amp;VALUE(MID(A595,2,10))))),IF(LEFT(A595,1)="B",IF(VALUE(MID(A595,2,10))&lt;10,"B00"&amp;VALUE(MID(A595,2,10)),IF(VALUE(MID(A595,2,10))&lt;100,"B0"&amp;VALUE(MID(A595,2,10)),IF(VALUE(MID(A595,2,10))&lt;1000,"B"&amp;VALUE(MID(A595,2,10))))),A595)),"_",IF(NOT(OR(C595=1000,C595&gt;1000)),MID(TEXT((C595+1000)*1000,0),2,6),"keine Meter in Spalte km!!!"),IF(VALUE(I595)=1,CONCATENATE("_",VLOOKUP(IF(V595&gt;0,V595,J595),[1]Grundlage!$A$20:$B$181,2,0)),CONCATENATE("_",B595))))</f>
        <v>UQ_A094_021100_W</v>
      </c>
      <c r="F595" s="152" t="s">
        <v>28</v>
      </c>
      <c r="G595" s="171">
        <f t="shared" si="116"/>
        <v>36783</v>
      </c>
      <c r="H595" s="160">
        <f t="shared" si="117"/>
        <v>32</v>
      </c>
      <c r="I595" s="152">
        <f t="shared" si="120"/>
        <v>3</v>
      </c>
      <c r="J595" s="152">
        <f t="shared" si="121"/>
        <v>6</v>
      </c>
      <c r="K595" s="152">
        <v>208</v>
      </c>
      <c r="L595" s="152">
        <f t="shared" si="122"/>
        <v>96</v>
      </c>
      <c r="M595" s="152">
        <f t="shared" si="123"/>
        <v>1</v>
      </c>
      <c r="N595" s="152">
        <f t="shared" si="124"/>
        <v>6</v>
      </c>
      <c r="P595" s="172">
        <f t="shared" si="125"/>
        <v>65</v>
      </c>
      <c r="AI595" s="154"/>
      <c r="AT595" s="148">
        <v>3</v>
      </c>
      <c r="AU595" s="155">
        <v>6</v>
      </c>
      <c r="AV595" s="156">
        <v>6</v>
      </c>
      <c r="AY595" s="148">
        <v>1</v>
      </c>
      <c r="AZ595" s="155">
        <f t="shared" si="127"/>
        <v>6</v>
      </c>
      <c r="BA595" s="155">
        <f t="shared" si="126"/>
        <v>6</v>
      </c>
      <c r="BB595" s="152" t="s">
        <v>28</v>
      </c>
      <c r="BC595" s="150"/>
      <c r="BD595" s="150"/>
      <c r="BF595" s="152" t="s">
        <v>482</v>
      </c>
    </row>
    <row r="596" spans="1:58" s="152" customFormat="1" ht="14.25" x14ac:dyDescent="0.2">
      <c r="A596" s="160" t="str">
        <f t="shared" si="118"/>
        <v>A94</v>
      </c>
      <c r="B596" s="152" t="s">
        <v>657</v>
      </c>
      <c r="C596" s="160">
        <f t="shared" si="119"/>
        <v>21.1</v>
      </c>
      <c r="D596" s="160"/>
      <c r="E596" s="170" t="str">
        <f>IF(OR(A596="",B596="",C596=""),"eine der Spalten BAB, FR, km leer?",CONCATENATE(VLOOKUP(VALUE(I596),[1]Grundlage!$A$1:$B$14,2,0),IF(LEFT(A596,1)="A",IF(VALUE(MID(A596,2,10))&lt;10,"A00"&amp;VALUE(MID(A596,2,10)),IF(VALUE(MID(A596,2,10))&lt;100,"A0"&amp;VALUE(MID(A596,2,10)),IF(VALUE(MID(A596,2,10))&lt;1000,"A"&amp;VALUE(MID(A596,2,10))))),IF(LEFT(A596,1)="B",IF(VALUE(MID(A596,2,10))&lt;10,"B00"&amp;VALUE(MID(A596,2,10)),IF(VALUE(MID(A596,2,10))&lt;100,"B0"&amp;VALUE(MID(A596,2,10)),IF(VALUE(MID(A596,2,10))&lt;1000,"B"&amp;VALUE(MID(A596,2,10))))),A596)),"_",IF(NOT(OR(C596=1000,C596&gt;1000)),MID(TEXT((C596+1000)*1000,0),2,6),"keine Meter in Spalte km!!!"),IF(VALUE(I596)=1,CONCATENATE("_",VLOOKUP(IF(V596&gt;0,V596,J596),[1]Grundlage!$A$20:$B$181,2,0)),CONCATENATE("_",B596))))</f>
        <v>UQ_A094_021100_W</v>
      </c>
      <c r="F596" s="152" t="s">
        <v>29</v>
      </c>
      <c r="G596" s="171">
        <f t="shared" si="116"/>
        <v>36783</v>
      </c>
      <c r="H596" s="160">
        <f t="shared" si="117"/>
        <v>32</v>
      </c>
      <c r="I596" s="152">
        <f t="shared" si="120"/>
        <v>3</v>
      </c>
      <c r="J596" s="152">
        <f t="shared" si="121"/>
        <v>1</v>
      </c>
      <c r="K596" s="152">
        <v>208</v>
      </c>
      <c r="L596" s="152">
        <f t="shared" si="122"/>
        <v>96</v>
      </c>
      <c r="M596" s="152">
        <f t="shared" si="123"/>
        <v>1</v>
      </c>
      <c r="N596" s="152">
        <f t="shared" si="124"/>
        <v>7</v>
      </c>
      <c r="P596" s="172">
        <f t="shared" si="125"/>
        <v>49</v>
      </c>
      <c r="AI596" s="154"/>
      <c r="AT596" s="148">
        <v>3</v>
      </c>
      <c r="AU596" s="155">
        <v>1</v>
      </c>
      <c r="AV596" s="156">
        <v>1</v>
      </c>
      <c r="AY596" s="148">
        <v>1</v>
      </c>
      <c r="AZ596" s="155">
        <f t="shared" si="127"/>
        <v>7</v>
      </c>
      <c r="BA596" s="155">
        <f t="shared" si="126"/>
        <v>7</v>
      </c>
      <c r="BB596" s="152" t="s">
        <v>29</v>
      </c>
      <c r="BC596" s="150"/>
      <c r="BD596" s="150"/>
      <c r="BF596" s="152" t="s">
        <v>479</v>
      </c>
    </row>
    <row r="597" spans="1:58" s="152" customFormat="1" ht="14.25" x14ac:dyDescent="0.2">
      <c r="A597" s="160" t="str">
        <f t="shared" si="118"/>
        <v>A94</v>
      </c>
      <c r="B597" s="152" t="s">
        <v>657</v>
      </c>
      <c r="C597" s="160">
        <f t="shared" si="119"/>
        <v>21.1</v>
      </c>
      <c r="D597" s="160"/>
      <c r="E597" s="170" t="str">
        <f>IF(OR(A597="",B597="",C597=""),"eine der Spalten BAB, FR, km leer?",CONCATENATE(VLOOKUP(VALUE(I597),[1]Grundlage!$A$1:$B$14,2,0),IF(LEFT(A597,1)="A",IF(VALUE(MID(A597,2,10))&lt;10,"A00"&amp;VALUE(MID(A597,2,10)),IF(VALUE(MID(A597,2,10))&lt;100,"A0"&amp;VALUE(MID(A597,2,10)),IF(VALUE(MID(A597,2,10))&lt;1000,"A"&amp;VALUE(MID(A597,2,10))))),IF(LEFT(A597,1)="B",IF(VALUE(MID(A597,2,10))&lt;10,"B00"&amp;VALUE(MID(A597,2,10)),IF(VALUE(MID(A597,2,10))&lt;100,"B0"&amp;VALUE(MID(A597,2,10)),IF(VALUE(MID(A597,2,10))&lt;1000,"B"&amp;VALUE(MID(A597,2,10))))),A597)),"_",IF(NOT(OR(C597=1000,C597&gt;1000)),MID(TEXT((C597+1000)*1000,0),2,6),"keine Meter in Spalte km!!!"),IF(VALUE(I597)=1,CONCATENATE("_",VLOOKUP(IF(V597&gt;0,V597,J597),[1]Grundlage!$A$20:$B$181,2,0)),CONCATENATE("_",B597))))</f>
        <v>UQ_A094_021100_W</v>
      </c>
      <c r="F597" s="152" t="s">
        <v>30</v>
      </c>
      <c r="G597" s="171">
        <f t="shared" si="116"/>
        <v>36783</v>
      </c>
      <c r="H597" s="160">
        <f t="shared" si="117"/>
        <v>32</v>
      </c>
      <c r="I597" s="152">
        <f t="shared" si="120"/>
        <v>3</v>
      </c>
      <c r="J597" s="152">
        <f t="shared" si="121"/>
        <v>41</v>
      </c>
      <c r="K597" s="152">
        <v>208</v>
      </c>
      <c r="L597" s="152">
        <f t="shared" si="122"/>
        <v>96</v>
      </c>
      <c r="M597" s="152">
        <f t="shared" si="123"/>
        <v>1</v>
      </c>
      <c r="N597" s="152">
        <f t="shared" si="124"/>
        <v>8</v>
      </c>
      <c r="P597" s="172">
        <f t="shared" si="125"/>
        <v>67</v>
      </c>
      <c r="AI597" s="154"/>
      <c r="AT597" s="148">
        <v>3</v>
      </c>
      <c r="AU597" s="155">
        <v>41</v>
      </c>
      <c r="AV597" s="156">
        <v>29</v>
      </c>
      <c r="AY597" s="148">
        <v>1</v>
      </c>
      <c r="AZ597" s="155">
        <f t="shared" si="127"/>
        <v>8</v>
      </c>
      <c r="BA597" s="155">
        <f t="shared" si="126"/>
        <v>8</v>
      </c>
      <c r="BB597" s="152" t="s">
        <v>30</v>
      </c>
      <c r="BC597" s="150"/>
      <c r="BD597" s="150"/>
      <c r="BF597" s="152" t="s">
        <v>480</v>
      </c>
    </row>
    <row r="598" spans="1:58" s="152" customFormat="1" ht="14.25" x14ac:dyDescent="0.2">
      <c r="A598" s="160" t="str">
        <f t="shared" si="118"/>
        <v>A94</v>
      </c>
      <c r="B598" s="152" t="s">
        <v>657</v>
      </c>
      <c r="C598" s="160">
        <f t="shared" si="119"/>
        <v>21.1</v>
      </c>
      <c r="D598" s="160"/>
      <c r="E598" s="170" t="str">
        <f>IF(OR(A598="",B598="",C598=""),"eine der Spalten BAB, FR, km leer?",CONCATENATE(VLOOKUP(VALUE(I598),[1]Grundlage!$A$1:$B$14,2,0),IF(LEFT(A598,1)="A",IF(VALUE(MID(A598,2,10))&lt;10,"A00"&amp;VALUE(MID(A598,2,10)),IF(VALUE(MID(A598,2,10))&lt;100,"A0"&amp;VALUE(MID(A598,2,10)),IF(VALUE(MID(A598,2,10))&lt;1000,"A"&amp;VALUE(MID(A598,2,10))))),IF(LEFT(A598,1)="B",IF(VALUE(MID(A598,2,10))&lt;10,"B00"&amp;VALUE(MID(A598,2,10)),IF(VALUE(MID(A598,2,10))&lt;100,"B0"&amp;VALUE(MID(A598,2,10)),IF(VALUE(MID(A598,2,10))&lt;1000,"B"&amp;VALUE(MID(A598,2,10))))),A598)),"_",IF(NOT(OR(C598=1000,C598&gt;1000)),MID(TEXT((C598+1000)*1000,0),2,6),"keine Meter in Spalte km!!!"),IF(VALUE(I598)=1,CONCATENATE("_",VLOOKUP(IF(V598&gt;0,V598,J598),[1]Grundlage!$A$20:$B$181,2,0)),CONCATENATE("_",B598))))</f>
        <v>UQ_A094_021100_W</v>
      </c>
      <c r="F598" s="152" t="s">
        <v>41</v>
      </c>
      <c r="G598" s="171">
        <f t="shared" si="116"/>
        <v>36783</v>
      </c>
      <c r="H598" s="160">
        <f t="shared" si="117"/>
        <v>32</v>
      </c>
      <c r="I598" s="152">
        <f t="shared" si="120"/>
        <v>3</v>
      </c>
      <c r="J598" s="152">
        <f t="shared" si="121"/>
        <v>42</v>
      </c>
      <c r="K598" s="152">
        <v>208</v>
      </c>
      <c r="L598" s="152">
        <f t="shared" si="122"/>
        <v>96</v>
      </c>
      <c r="M598" s="152">
        <f t="shared" si="123"/>
        <v>1</v>
      </c>
      <c r="N598" s="152">
        <f t="shared" si="124"/>
        <v>9</v>
      </c>
      <c r="P598" s="172">
        <f t="shared" si="125"/>
        <v>69</v>
      </c>
      <c r="AI598" s="154"/>
      <c r="AT598" s="148">
        <v>3</v>
      </c>
      <c r="AU598" s="155">
        <v>42</v>
      </c>
      <c r="AV598" s="156" t="s">
        <v>152</v>
      </c>
      <c r="AY598" s="148">
        <v>1</v>
      </c>
      <c r="AZ598" s="155">
        <f t="shared" si="127"/>
        <v>9</v>
      </c>
      <c r="BA598" s="155">
        <f t="shared" si="126"/>
        <v>9</v>
      </c>
      <c r="BB598" s="152" t="s">
        <v>41</v>
      </c>
      <c r="BC598" s="150"/>
      <c r="BD598" s="150"/>
      <c r="BF598" s="152" t="s">
        <v>465</v>
      </c>
    </row>
    <row r="599" spans="1:58" s="152" customFormat="1" ht="14.25" x14ac:dyDescent="0.2">
      <c r="A599" s="160" t="str">
        <f t="shared" si="118"/>
        <v>A94</v>
      </c>
      <c r="B599" s="152" t="s">
        <v>657</v>
      </c>
      <c r="C599" s="160">
        <f t="shared" si="119"/>
        <v>21.1</v>
      </c>
      <c r="D599" s="160"/>
      <c r="E599" s="170" t="str">
        <f>IF(OR(A599="",B599="",C599=""),"eine der Spalten BAB, FR, km leer?",CONCATENATE(VLOOKUP(VALUE(I599),[1]Grundlage!$A$1:$B$14,2,0),IF(LEFT(A599,1)="A",IF(VALUE(MID(A599,2,10))&lt;10,"A00"&amp;VALUE(MID(A599,2,10)),IF(VALUE(MID(A599,2,10))&lt;100,"A0"&amp;VALUE(MID(A599,2,10)),IF(VALUE(MID(A599,2,10))&lt;1000,"A"&amp;VALUE(MID(A599,2,10))))),IF(LEFT(A599,1)="B",IF(VALUE(MID(A599,2,10))&lt;10,"B00"&amp;VALUE(MID(A599,2,10)),IF(VALUE(MID(A599,2,10))&lt;100,"B0"&amp;VALUE(MID(A599,2,10)),IF(VALUE(MID(A599,2,10))&lt;1000,"B"&amp;VALUE(MID(A599,2,10))))),A599)),"_",IF(NOT(OR(C599=1000,C599&gt;1000)),MID(TEXT((C599+1000)*1000,0),2,6),"keine Meter in Spalte km!!!"),IF(VALUE(I599)=1,CONCATENATE("_",VLOOKUP(IF(V599&gt;0,V599,J599),[1]Grundlage!$A$20:$B$181,2,0)),CONCATENATE("_",B599))))</f>
        <v>UQ_A094_021100_W</v>
      </c>
      <c r="F599" s="152" t="s">
        <v>42</v>
      </c>
      <c r="G599" s="171">
        <f t="shared" si="116"/>
        <v>36783</v>
      </c>
      <c r="H599" s="160">
        <f t="shared" si="117"/>
        <v>32</v>
      </c>
      <c r="I599" s="152">
        <f t="shared" si="120"/>
        <v>3</v>
      </c>
      <c r="J599" s="152">
        <f t="shared" si="121"/>
        <v>14</v>
      </c>
      <c r="K599" s="152">
        <v>208</v>
      </c>
      <c r="L599" s="152">
        <f t="shared" si="122"/>
        <v>96</v>
      </c>
      <c r="M599" s="152">
        <f t="shared" si="123"/>
        <v>1</v>
      </c>
      <c r="N599" s="152">
        <f t="shared" si="124"/>
        <v>10</v>
      </c>
      <c r="P599" s="172">
        <f>IF(AT599&lt;&gt;3,"",IF(BB599="Helligkeitssensor",61,IF(BB599="Helligkeit",61,IF(BB600="Lichtsensor",61,IF(BB599="Lufttemperatur",48,IF(BB599="Niederschlagsart",71,IF(BB599="Niederschlagsintensität",53,IF(BB599="relative Luftfeuchte RLF",55,IF(BB599="Sichtweite",60,IF(BB599="Sichtweite 1",60,IF(BB599="Zustand der Fahrbahnoberfläche FBZ",79,IF(BB599="Wasserfilmdicke WFD",72,IF(BB599="Clusterkanal FG3","",IF(BB599="Gefriertemperatur GT",65,IF(BB599="Fahrbahnoberflächentemperatur FBT",49,IF(BB599="Windrichtung  Typ 56 ",56,VALUE(RIGHT(BB599,2))))))))))))))))))</f>
        <v>56</v>
      </c>
      <c r="AI599" s="154"/>
      <c r="AT599" s="148">
        <v>3</v>
      </c>
      <c r="AU599" s="155">
        <v>14</v>
      </c>
      <c r="AV599" s="156" t="s">
        <v>81</v>
      </c>
      <c r="AY599" s="148">
        <v>1</v>
      </c>
      <c r="AZ599" s="155">
        <f t="shared" si="127"/>
        <v>10</v>
      </c>
      <c r="BA599" s="155" t="s">
        <v>95</v>
      </c>
      <c r="BB599" s="152" t="s">
        <v>42</v>
      </c>
      <c r="BC599" s="150"/>
      <c r="BD599" s="150"/>
      <c r="BF599" s="152" t="s">
        <v>515</v>
      </c>
    </row>
    <row r="600" spans="1:58" s="152" customFormat="1" ht="14.25" x14ac:dyDescent="0.2">
      <c r="A600" s="160" t="str">
        <f t="shared" si="118"/>
        <v>A94</v>
      </c>
      <c r="B600" s="152" t="s">
        <v>657</v>
      </c>
      <c r="C600" s="160">
        <f t="shared" si="119"/>
        <v>21.1</v>
      </c>
      <c r="D600" s="160"/>
      <c r="E600" s="170" t="str">
        <f>IF(OR(A600="",B600="",C600=""),"eine der Spalten BAB, FR, km leer?",CONCATENATE(VLOOKUP(VALUE(I600),[1]Grundlage!$A$1:$B$14,2,0),IF(LEFT(A600,1)="A",IF(VALUE(MID(A600,2,10))&lt;10,"A00"&amp;VALUE(MID(A600,2,10)),IF(VALUE(MID(A600,2,10))&lt;100,"A0"&amp;VALUE(MID(A600,2,10)),IF(VALUE(MID(A600,2,10))&lt;1000,"A"&amp;VALUE(MID(A600,2,10))))),IF(LEFT(A600,1)="B",IF(VALUE(MID(A600,2,10))&lt;10,"B00"&amp;VALUE(MID(A600,2,10)),IF(VALUE(MID(A600,2,10))&lt;100,"B0"&amp;VALUE(MID(A600,2,10)),IF(VALUE(MID(A600,2,10))&lt;1000,"B"&amp;VALUE(MID(A600,2,10))))),A600)),"_",IF(NOT(OR(C600=1000,C600&gt;1000)),MID(TEXT((C600+1000)*1000,0),2,6),"keine Meter in Spalte km!!!"),IF(VALUE(I600)=1,CONCATENATE("_",VLOOKUP(IF(V600&gt;0,V600,J600),[1]Grundlage!$A$20:$B$181,2,0)),CONCATENATE("_",B600))))</f>
        <v>UQ_A094_021100_W</v>
      </c>
      <c r="F600" s="152" t="s">
        <v>43</v>
      </c>
      <c r="G600" s="171">
        <f t="shared" si="116"/>
        <v>36783</v>
      </c>
      <c r="H600" s="160">
        <f t="shared" si="117"/>
        <v>32</v>
      </c>
      <c r="I600" s="152">
        <f t="shared" si="120"/>
        <v>3</v>
      </c>
      <c r="J600" s="152">
        <f t="shared" si="121"/>
        <v>15</v>
      </c>
      <c r="K600" s="152">
        <v>208</v>
      </c>
      <c r="L600" s="152">
        <f t="shared" si="122"/>
        <v>96</v>
      </c>
      <c r="M600" s="152">
        <f t="shared" si="123"/>
        <v>1</v>
      </c>
      <c r="N600" s="152">
        <f t="shared" si="124"/>
        <v>11</v>
      </c>
      <c r="P600" s="172">
        <f t="shared" si="125"/>
        <v>57</v>
      </c>
      <c r="AI600" s="154"/>
      <c r="AT600" s="148">
        <v>3</v>
      </c>
      <c r="AU600" s="155">
        <v>15</v>
      </c>
      <c r="AV600" s="156" t="s">
        <v>82</v>
      </c>
      <c r="AY600" s="148">
        <v>1</v>
      </c>
      <c r="AZ600" s="155">
        <f t="shared" si="127"/>
        <v>11</v>
      </c>
      <c r="BA600" s="155" t="s">
        <v>78</v>
      </c>
      <c r="BB600" s="152" t="s">
        <v>43</v>
      </c>
      <c r="BC600" s="150"/>
      <c r="BD600" s="150"/>
      <c r="BF600" s="152" t="s">
        <v>446</v>
      </c>
    </row>
    <row r="601" spans="1:58" s="152" customFormat="1" ht="14.25" x14ac:dyDescent="0.2">
      <c r="A601" s="160" t="str">
        <f t="shared" si="118"/>
        <v>A94</v>
      </c>
      <c r="B601" s="152" t="s">
        <v>657</v>
      </c>
      <c r="C601" s="160">
        <f t="shared" si="119"/>
        <v>21.1</v>
      </c>
      <c r="D601" s="160"/>
      <c r="E601" s="170" t="str">
        <f>IF(OR(A601="",B601="",C601=""),"eine der Spalten BAB, FR, km leer?",CONCATENATE(VLOOKUP(VALUE(I601),[1]Grundlage!$A$1:$B$14,2,0),IF(LEFT(A601,1)="A",IF(VALUE(MID(A601,2,10))&lt;10,"A00"&amp;VALUE(MID(A601,2,10)),IF(VALUE(MID(A601,2,10))&lt;100,"A0"&amp;VALUE(MID(A601,2,10)),IF(VALUE(MID(A601,2,10))&lt;1000,"A"&amp;VALUE(MID(A601,2,10))))),IF(LEFT(A601,1)="B",IF(VALUE(MID(A601,2,10))&lt;10,"B00"&amp;VALUE(MID(A601,2,10)),IF(VALUE(MID(A601,2,10))&lt;100,"B0"&amp;VALUE(MID(A601,2,10)),IF(VALUE(MID(A601,2,10))&lt;1000,"B"&amp;VALUE(MID(A601,2,10))))),A601)),"_",IF(NOT(OR(C601=1000,C601&gt;1000)),MID(TEXT((C601+1000)*1000,0),2,6),"keine Meter in Spalte km!!!"),IF(VALUE(I601)=1,CONCATENATE("_",VLOOKUP(IF(V601&gt;0,V601,J601),[1]Grundlage!$A$20:$B$181,2,0)),CONCATENATE("_",B601))))</f>
        <v>UQ_A094_021100_W</v>
      </c>
      <c r="F601" s="152" t="s">
        <v>271</v>
      </c>
      <c r="G601" s="171">
        <f t="shared" si="116"/>
        <v>36783</v>
      </c>
      <c r="H601" s="160">
        <f t="shared" si="117"/>
        <v>32</v>
      </c>
      <c r="I601" s="152">
        <f t="shared" si="120"/>
        <v>3</v>
      </c>
      <c r="J601" s="152">
        <f t="shared" si="121"/>
        <v>5</v>
      </c>
      <c r="K601" s="152">
        <v>208</v>
      </c>
      <c r="L601" s="152">
        <f t="shared" si="122"/>
        <v>96</v>
      </c>
      <c r="M601" s="152">
        <f t="shared" si="123"/>
        <v>1</v>
      </c>
      <c r="N601" s="152">
        <f t="shared" si="124"/>
        <v>12</v>
      </c>
      <c r="P601" s="172">
        <f t="shared" si="125"/>
        <v>53</v>
      </c>
      <c r="AI601" s="154"/>
      <c r="AT601" s="148">
        <v>3</v>
      </c>
      <c r="AU601" s="155">
        <v>5</v>
      </c>
      <c r="AV601" s="156">
        <v>5</v>
      </c>
      <c r="AY601" s="148">
        <v>1</v>
      </c>
      <c r="AZ601" s="155">
        <f t="shared" si="127"/>
        <v>12</v>
      </c>
      <c r="BA601" s="155" t="s">
        <v>79</v>
      </c>
      <c r="BB601" s="152" t="s">
        <v>271</v>
      </c>
      <c r="BC601" s="150"/>
      <c r="BD601" s="150"/>
      <c r="BF601" s="152" t="s">
        <v>444</v>
      </c>
    </row>
    <row r="602" spans="1:58" s="152" customFormat="1" ht="14.25" x14ac:dyDescent="0.2">
      <c r="A602" s="160" t="str">
        <f t="shared" si="118"/>
        <v>A94</v>
      </c>
      <c r="B602" s="152" t="s">
        <v>657</v>
      </c>
      <c r="C602" s="160">
        <f t="shared" si="119"/>
        <v>21.1</v>
      </c>
      <c r="D602" s="160"/>
      <c r="E602" s="170" t="str">
        <f>IF(OR(A602="",B602="",C602=""),"eine der Spalten BAB, FR, km leer?",CONCATENATE(VLOOKUP(VALUE(I602),[1]Grundlage!$A$1:$B$14,2,0),IF(LEFT(A602,1)="A",IF(VALUE(MID(A602,2,10))&lt;10,"A00"&amp;VALUE(MID(A602,2,10)),IF(VALUE(MID(A602,2,10))&lt;100,"A0"&amp;VALUE(MID(A602,2,10)),IF(VALUE(MID(A602,2,10))&lt;1000,"A"&amp;VALUE(MID(A602,2,10))))),IF(LEFT(A602,1)="B",IF(VALUE(MID(A602,2,10))&lt;10,"B00"&amp;VALUE(MID(A602,2,10)),IF(VALUE(MID(A602,2,10))&lt;100,"B0"&amp;VALUE(MID(A602,2,10)),IF(VALUE(MID(A602,2,10))&lt;1000,"B"&amp;VALUE(MID(A602,2,10))))),A602)),"_",IF(NOT(OR(C602=1000,C602&gt;1000)),MID(TEXT((C602+1000)*1000,0),2,6),"keine Meter in Spalte km!!!"),IF(VALUE(I602)=1,CONCATENATE("_",VLOOKUP(IF(V602&gt;0,V602,J602),[1]Grundlage!$A$20:$B$181,2,0)),CONCATENATE("_",B602))))</f>
        <v>UQ_A094_021100_W</v>
      </c>
      <c r="F602" s="152" t="s">
        <v>272</v>
      </c>
      <c r="G602" s="171">
        <f t="shared" si="116"/>
        <v>36783</v>
      </c>
      <c r="H602" s="160">
        <f t="shared" si="117"/>
        <v>32</v>
      </c>
      <c r="I602" s="152">
        <f t="shared" si="120"/>
        <v>3</v>
      </c>
      <c r="J602" s="152">
        <f t="shared" si="121"/>
        <v>82</v>
      </c>
      <c r="K602" s="152">
        <v>208</v>
      </c>
      <c r="L602" s="152">
        <f t="shared" si="122"/>
        <v>96</v>
      </c>
      <c r="M602" s="152">
        <f t="shared" si="123"/>
        <v>1</v>
      </c>
      <c r="N602" s="152">
        <f t="shared" si="124"/>
        <v>13</v>
      </c>
      <c r="P602" s="172">
        <f t="shared" si="125"/>
        <v>72</v>
      </c>
      <c r="AI602" s="154"/>
      <c r="AT602" s="148">
        <v>3</v>
      </c>
      <c r="AU602" s="155">
        <v>82</v>
      </c>
      <c r="AV602" s="155"/>
      <c r="AY602" s="148">
        <v>1</v>
      </c>
      <c r="AZ602" s="155">
        <f t="shared" si="127"/>
        <v>13</v>
      </c>
      <c r="BA602" s="155" t="s">
        <v>80</v>
      </c>
      <c r="BB602" s="152" t="s">
        <v>272</v>
      </c>
      <c r="BC602" s="150"/>
      <c r="BD602" s="150"/>
      <c r="BF602" s="152" t="s">
        <v>481</v>
      </c>
    </row>
    <row r="603" spans="1:58" ht="14.25" x14ac:dyDescent="0.2">
      <c r="A603" t="str">
        <f t="shared" si="118"/>
        <v>A94</v>
      </c>
      <c r="C603">
        <f t="shared" si="119"/>
        <v>21.1</v>
      </c>
      <c r="D603" t="str">
        <f t="shared" si="115"/>
        <v/>
      </c>
      <c r="E603" s="169" t="str">
        <f>IF(OR(A603="",B603="",C603=""),"",CONCATENATE(VLOOKUP(VALUE(I603),[1]Grundlage!$A$1:$B$14,2,0),IF(LEFT(A603,1)="A",IF(VALUE(MID(A603,2,10))&lt;10,"A00"&amp;VALUE(MID(A603,2,10)),IF(VALUE(MID(A603,2,10))&lt;100,"A0"&amp;VALUE(MID(A603,2,10)),IF(VALUE(MID(A603,2,10))&lt;1000,"A"&amp;VALUE(MID(A603,2,10))))),IF(LEFT(A603,1)="B",IF(VALUE(MID(A603,2,10))&lt;10,"B00"&amp;VALUE(MID(A603,2,10)),IF(VALUE(MID(A603,2,10))&lt;100,"B0"&amp;VALUE(MID(A603,2,10)),IF(VALUE(MID(A603,2,10))&lt;1000,"B"&amp;VALUE(MID(A603,2,10))))),A603)),"_",IF(NOT(OR(C603=1000,C603&gt;1000)),MID(TEXT((C603+1000)*1000,0),2,6),"keine Meter in Spalte km!!!"),IF(VALUE(I603)=1,CONCATENATE("_",VLOOKUP(IF(V603&gt;0,V603,J603),[1]Grundlage!$A$20:$B$181,2,0)),CONCATENATE("_",B603))))</f>
        <v/>
      </c>
      <c r="F603" s="2" t="s">
        <v>669</v>
      </c>
      <c r="G603" s="167">
        <f t="shared" si="116"/>
        <v>36783</v>
      </c>
      <c r="H603">
        <f t="shared" si="117"/>
        <v>32</v>
      </c>
      <c r="I603" s="2">
        <f t="shared" si="120"/>
        <v>0</v>
      </c>
      <c r="J603" s="2">
        <f t="shared" si="121"/>
        <v>0</v>
      </c>
      <c r="K603" s="2">
        <v>208</v>
      </c>
      <c r="L603" s="2">
        <f t="shared" si="122"/>
        <v>96</v>
      </c>
      <c r="M603" s="2" t="str">
        <f t="shared" si="123"/>
        <v/>
      </c>
      <c r="N603" s="2" t="str">
        <f t="shared" si="124"/>
        <v/>
      </c>
      <c r="P603" s="168" t="str">
        <f t="shared" si="125"/>
        <v/>
      </c>
      <c r="AT603" s="19"/>
      <c r="AU603" s="14"/>
      <c r="AV603" s="14"/>
      <c r="AW603" s="13"/>
      <c r="AX603" s="13"/>
      <c r="AY603" s="19"/>
      <c r="AZ603" s="14"/>
      <c r="BA603" s="13"/>
      <c r="BB603" s="13"/>
    </row>
    <row r="604" spans="1:58" ht="15" thickBot="1" x14ac:dyDescent="0.25">
      <c r="A604" t="str">
        <f t="shared" si="118"/>
        <v>A94</v>
      </c>
      <c r="C604">
        <f t="shared" si="119"/>
        <v>21.1</v>
      </c>
      <c r="D604" t="str">
        <f t="shared" ref="D604:D667" si="128">IF(AJ604="SST","SS",IF(AND(AJ604="",ISTEXT(BF604)),"UFD",""))</f>
        <v/>
      </c>
      <c r="E604" s="169" t="str">
        <f>IF(OR(A604="",B604="",C604=""),"",CONCATENATE(VLOOKUP(VALUE(I604),[1]Grundlage!$A$1:$B$14,2,0),IF(LEFT(A604,1)="A",IF(VALUE(MID(A604,2,10))&lt;10,"A00"&amp;VALUE(MID(A604,2,10)),IF(VALUE(MID(A604,2,10))&lt;100,"A0"&amp;VALUE(MID(A604,2,10)),IF(VALUE(MID(A604,2,10))&lt;1000,"A"&amp;VALUE(MID(A604,2,10))))),IF(LEFT(A604,1)="B",IF(VALUE(MID(A604,2,10))&lt;10,"B00"&amp;VALUE(MID(A604,2,10)),IF(VALUE(MID(A604,2,10))&lt;100,"B0"&amp;VALUE(MID(A604,2,10)),IF(VALUE(MID(A604,2,10))&lt;1000,"B"&amp;VALUE(MID(A604,2,10))))),A604)),"_",IF(NOT(OR(C604=1000,C604&gt;1000)),MID(TEXT((C604+1000)*1000,0),2,6),"keine Meter in Spalte km!!!"),IF(VALUE(I604)=1,CONCATENATE("_",VLOOKUP(IF(V604&gt;0,V604,J604),[1]Grundlage!$A$20:$B$181,2,0)),CONCATENATE("_",B604))))</f>
        <v/>
      </c>
      <c r="F604" s="2" t="s">
        <v>669</v>
      </c>
      <c r="G604" s="167">
        <f t="shared" si="116"/>
        <v>36783</v>
      </c>
      <c r="H604">
        <f t="shared" si="117"/>
        <v>32</v>
      </c>
      <c r="I604" s="2">
        <f t="shared" si="120"/>
        <v>0</v>
      </c>
      <c r="J604" s="2">
        <f t="shared" si="121"/>
        <v>0</v>
      </c>
      <c r="K604" s="2">
        <v>208</v>
      </c>
      <c r="L604" s="2">
        <f t="shared" si="122"/>
        <v>96</v>
      </c>
      <c r="M604" s="2" t="str">
        <f t="shared" si="123"/>
        <v/>
      </c>
      <c r="N604" s="2" t="str">
        <f t="shared" si="124"/>
        <v/>
      </c>
      <c r="P604" s="168" t="str">
        <f t="shared" si="125"/>
        <v/>
      </c>
      <c r="AT604" s="19"/>
      <c r="AU604" s="14"/>
      <c r="AV604" s="14"/>
      <c r="AY604" s="1"/>
      <c r="AZ604" s="14"/>
      <c r="BB604" s="13"/>
    </row>
    <row r="605" spans="1:58" ht="15.75" thickTop="1" thickBot="1" x14ac:dyDescent="0.25">
      <c r="A605" t="str">
        <f t="shared" si="118"/>
        <v>München Nord</v>
      </c>
      <c r="C605">
        <f t="shared" si="119"/>
        <v>21.1</v>
      </c>
      <c r="D605" t="str">
        <f t="shared" si="128"/>
        <v/>
      </c>
      <c r="E605" s="169" t="str">
        <f>IF(OR(A605="",B605="",C605=""),"",CONCATENATE(VLOOKUP(VALUE(I605),[1]Grundlage!$A$1:$B$14,2,0),IF(LEFT(A605,1)="A",IF(VALUE(MID(A605,2,10))&lt;10,"A00"&amp;VALUE(MID(A605,2,10)),IF(VALUE(MID(A605,2,10))&lt;100,"A0"&amp;VALUE(MID(A605,2,10)),IF(VALUE(MID(A605,2,10))&lt;1000,"A"&amp;VALUE(MID(A605,2,10))))),IF(LEFT(A605,1)="B",IF(VALUE(MID(A605,2,10))&lt;10,"B00"&amp;VALUE(MID(A605,2,10)),IF(VALUE(MID(A605,2,10))&lt;100,"B0"&amp;VALUE(MID(A605,2,10)),IF(VALUE(MID(A605,2,10))&lt;1000,"B"&amp;VALUE(MID(A605,2,10))))),A605)),"_",IF(NOT(OR(C605=1000,C605&gt;1000)),MID(TEXT((C605+1000)*1000,0),2,6),"keine Meter in Spalte km!!!"),IF(VALUE(I605)=1,CONCATENATE("_",VLOOKUP(IF(V605&gt;0,V605,J605),[1]Grundlage!$A$20:$B$181,2,0)),CONCATENATE("_",B605))))</f>
        <v/>
      </c>
      <c r="F605" s="2" t="s">
        <v>669</v>
      </c>
      <c r="G605" s="167">
        <f t="shared" si="116"/>
        <v>36783</v>
      </c>
      <c r="H605">
        <f t="shared" si="117"/>
        <v>32</v>
      </c>
      <c r="I605" s="2">
        <f t="shared" si="120"/>
        <v>0</v>
      </c>
      <c r="J605" s="2">
        <f t="shared" si="121"/>
        <v>0</v>
      </c>
      <c r="L605" s="2">
        <f t="shared" si="122"/>
        <v>96</v>
      </c>
      <c r="M605" s="2" t="str">
        <f t="shared" si="123"/>
        <v/>
      </c>
      <c r="N605" s="2" t="str">
        <f t="shared" si="124"/>
        <v/>
      </c>
      <c r="P605" s="168" t="str">
        <f t="shared" si="125"/>
        <v/>
      </c>
      <c r="AI605" s="48"/>
      <c r="AJ605" s="49" t="s">
        <v>17</v>
      </c>
      <c r="AK605" s="49" t="s">
        <v>115</v>
      </c>
      <c r="AL605" s="49"/>
      <c r="AM605" s="49"/>
      <c r="AN605" s="49"/>
      <c r="AO605" s="49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1"/>
      <c r="BD605" s="51"/>
      <c r="BE605" s="50"/>
    </row>
    <row r="606" spans="1:58" ht="15" thickTop="1" x14ac:dyDescent="0.2">
      <c r="A606" t="str">
        <f t="shared" si="118"/>
        <v>München Nord</v>
      </c>
      <c r="C606">
        <f t="shared" si="119"/>
        <v>21.1</v>
      </c>
      <c r="D606" t="str">
        <f t="shared" si="128"/>
        <v/>
      </c>
      <c r="E606" s="169" t="str">
        <f>IF(OR(A606="",B606="",C606=""),"",CONCATENATE(VLOOKUP(VALUE(I606),[1]Grundlage!$A$1:$B$14,2,0),IF(LEFT(A606,1)="A",IF(VALUE(MID(A606,2,10))&lt;10,"A00"&amp;VALUE(MID(A606,2,10)),IF(VALUE(MID(A606,2,10))&lt;100,"A0"&amp;VALUE(MID(A606,2,10)),IF(VALUE(MID(A606,2,10))&lt;1000,"A"&amp;VALUE(MID(A606,2,10))))),IF(LEFT(A606,1)="B",IF(VALUE(MID(A606,2,10))&lt;10,"B00"&amp;VALUE(MID(A606,2,10)),IF(VALUE(MID(A606,2,10))&lt;100,"B0"&amp;VALUE(MID(A606,2,10)),IF(VALUE(MID(A606,2,10))&lt;1000,"B"&amp;VALUE(MID(A606,2,10))))),A606)),"_",IF(NOT(OR(C606=1000,C606&gt;1000)),MID(TEXT((C606+1000)*1000,0),2,6),"keine Meter in Spalte km!!!"),IF(VALUE(I606)=1,CONCATENATE("_",VLOOKUP(IF(V606&gt;0,V606,J606),[1]Grundlage!$A$20:$B$181,2,0)),CONCATENATE("_",B606))))</f>
        <v/>
      </c>
      <c r="F606" s="2" t="s">
        <v>669</v>
      </c>
      <c r="G606" s="167">
        <f t="shared" si="116"/>
        <v>36783</v>
      </c>
      <c r="H606">
        <f t="shared" si="117"/>
        <v>32</v>
      </c>
      <c r="I606" s="2">
        <f t="shared" si="120"/>
        <v>0</v>
      </c>
      <c r="J606" s="2">
        <f t="shared" si="121"/>
        <v>0</v>
      </c>
      <c r="L606" s="2">
        <f t="shared" si="122"/>
        <v>96</v>
      </c>
      <c r="M606" s="2" t="str">
        <f t="shared" si="123"/>
        <v/>
      </c>
      <c r="N606" s="2" t="str">
        <f t="shared" si="124"/>
        <v/>
      </c>
      <c r="P606" s="168" t="str">
        <f t="shared" si="125"/>
        <v/>
      </c>
      <c r="AT606" s="19"/>
      <c r="AU606" s="14"/>
      <c r="AV606" s="14"/>
      <c r="AY606" s="1"/>
      <c r="AZ606" s="14"/>
      <c r="BB606" s="13"/>
    </row>
    <row r="607" spans="1:58" ht="14.25" x14ac:dyDescent="0.2">
      <c r="A607" t="str">
        <f t="shared" si="118"/>
        <v>A99</v>
      </c>
      <c r="B607" s="2" t="s">
        <v>656</v>
      </c>
      <c r="C607">
        <f t="shared" si="119"/>
        <v>15.85</v>
      </c>
      <c r="D607" t="str">
        <f t="shared" si="128"/>
        <v>SS</v>
      </c>
      <c r="E607" s="169" t="str">
        <f>IF(OR(A607="",B607="",C607=""),"eine der Spalten BAB, FR, km leer?",CONCATENATE(VLOOKUP(VALUE(I607),[1]Grundlage!$A$1:$B$14,2,0),IF(LEFT(A607,1)="A",IF(VALUE(MID(A607,2,10))&lt;10,"A00"&amp;VALUE(MID(A607,2,10)),IF(VALUE(MID(A607,2,10))&lt;100,"A0"&amp;VALUE(MID(A607,2,10)),IF(VALUE(MID(A607,2,10))&lt;1000,"A"&amp;VALUE(MID(A607,2,10))))),IF(LEFT(A607,1)="B",IF(VALUE(MID(A607,2,10))&lt;10,"B00"&amp;VALUE(MID(A607,2,10)),IF(VALUE(MID(A607,2,10))&lt;100,"B0"&amp;VALUE(MID(A607,2,10)),IF(VALUE(MID(A607,2,10))&lt;1000,"B"&amp;VALUE(MID(A607,2,10))))),A607)),"_",IF(NOT(OR(C607=1000,C607&gt;1000)),MID(TEXT((C607+1000)*1000,0),2,6),"keine Meter in Spalte km!!!"),IF(VALUE(I607)=1,CONCATENATE("_",VLOOKUP(IF(V607&gt;0,V607,J607),[1]Grundlage!$A$20:$B$181,2,0)),CONCATENATE("_",B607))))</f>
        <v>SSt_A099_015850_N</v>
      </c>
      <c r="F607" s="2" t="s">
        <v>71</v>
      </c>
      <c r="G607" s="167">
        <f t="shared" si="116"/>
        <v>38738</v>
      </c>
      <c r="H607">
        <f t="shared" si="117"/>
        <v>246</v>
      </c>
      <c r="I607" s="2">
        <f t="shared" si="120"/>
        <v>254</v>
      </c>
      <c r="J607" s="2">
        <f t="shared" si="121"/>
        <v>0</v>
      </c>
      <c r="K607" s="13">
        <v>209</v>
      </c>
      <c r="L607" s="2">
        <f t="shared" si="122"/>
        <v>2</v>
      </c>
      <c r="M607" s="2" t="str">
        <f t="shared" si="123"/>
        <v/>
      </c>
      <c r="N607" s="2" t="str">
        <f t="shared" si="124"/>
        <v/>
      </c>
      <c r="P607" s="168" t="str">
        <f t="shared" si="125"/>
        <v/>
      </c>
      <c r="AI607" s="41">
        <v>15.85</v>
      </c>
      <c r="AJ607" s="36" t="s">
        <v>19</v>
      </c>
      <c r="AK607" s="36" t="s">
        <v>70</v>
      </c>
      <c r="AL607" s="36"/>
      <c r="AM607" s="36"/>
      <c r="AN607" s="36"/>
      <c r="AO607" s="36"/>
      <c r="AP607" s="42">
        <v>9917174</v>
      </c>
      <c r="AQ607" s="42">
        <v>97</v>
      </c>
      <c r="AR607" s="42">
        <v>52</v>
      </c>
      <c r="AS607" s="42" t="s">
        <v>243</v>
      </c>
      <c r="AT607" s="36"/>
      <c r="AU607" s="36"/>
      <c r="AV607" s="36"/>
      <c r="AW607" s="36"/>
      <c r="AX607" s="36">
        <v>2</v>
      </c>
      <c r="AY607" s="36"/>
      <c r="AZ607" s="36"/>
      <c r="BA607" s="36"/>
      <c r="BB607" s="37" t="s">
        <v>71</v>
      </c>
      <c r="BC607" s="45"/>
      <c r="BD607" s="96" t="s">
        <v>163</v>
      </c>
      <c r="BE607" s="39" t="s">
        <v>115</v>
      </c>
      <c r="BF607" s="2" t="s">
        <v>483</v>
      </c>
    </row>
    <row r="608" spans="1:58" ht="14.25" x14ac:dyDescent="0.2">
      <c r="A608" t="str">
        <f t="shared" si="118"/>
        <v>A99</v>
      </c>
      <c r="B608" s="2" t="s">
        <v>656</v>
      </c>
      <c r="C608">
        <f t="shared" si="119"/>
        <v>15.85</v>
      </c>
      <c r="D608" t="str">
        <f t="shared" si="128"/>
        <v>UFD</v>
      </c>
      <c r="E608" s="169" t="str">
        <f>IF(OR(A608="",B608="",C608=""),"eine der Spalten BAB, FR, km leer?",CONCATENATE(VLOOKUP(VALUE(I608),[1]Grundlage!$A$1:$B$14,2,0),IF(LEFT(A608,1)="A",IF(VALUE(MID(A608,2,10))&lt;10,"A00"&amp;VALUE(MID(A608,2,10)),IF(VALUE(MID(A608,2,10))&lt;100,"A0"&amp;VALUE(MID(A608,2,10)),IF(VALUE(MID(A608,2,10))&lt;1000,"A"&amp;VALUE(MID(A608,2,10))))),IF(LEFT(A608,1)="B",IF(VALUE(MID(A608,2,10))&lt;10,"B00"&amp;VALUE(MID(A608,2,10)),IF(VALUE(MID(A608,2,10))&lt;100,"B0"&amp;VALUE(MID(A608,2,10)),IF(VALUE(MID(A608,2,10))&lt;1000,"B"&amp;VALUE(MID(A608,2,10))))),A608)),"_",IF(NOT(OR(C608=1000,C608&gt;1000)),MID(TEXT((C608+1000)*1000,0),2,6),"keine Meter in Spalte km!!!"),IF(VALUE(I608)=1,CONCATENATE("_",VLOOKUP(IF(V608&gt;0,V608,J608),[1]Grundlage!$A$20:$B$181,2,0)),CONCATENATE("_",B608))))</f>
        <v>UQ_A099_015850_N</v>
      </c>
      <c r="F608" s="2" t="s">
        <v>269</v>
      </c>
      <c r="G608" s="167">
        <f t="shared" si="116"/>
        <v>38738</v>
      </c>
      <c r="H608">
        <f t="shared" si="117"/>
        <v>246</v>
      </c>
      <c r="I608" s="2">
        <f t="shared" si="120"/>
        <v>3</v>
      </c>
      <c r="J608" s="2">
        <f t="shared" si="121"/>
        <v>6</v>
      </c>
      <c r="K608" s="13">
        <v>209</v>
      </c>
      <c r="L608" s="2">
        <f t="shared" si="122"/>
        <v>2</v>
      </c>
      <c r="M608" s="2">
        <f t="shared" si="123"/>
        <v>1</v>
      </c>
      <c r="N608" s="2">
        <f t="shared" si="124"/>
        <v>1</v>
      </c>
      <c r="P608" s="168">
        <f t="shared" si="125"/>
        <v>71</v>
      </c>
      <c r="AI608" s="154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48">
        <v>3</v>
      </c>
      <c r="AU608" s="155">
        <v>6</v>
      </c>
      <c r="AV608" s="156">
        <v>6</v>
      </c>
      <c r="AW608" s="148"/>
      <c r="AX608" s="148"/>
      <c r="AY608" s="148">
        <v>1</v>
      </c>
      <c r="AZ608" s="155">
        <v>1</v>
      </c>
      <c r="BA608" s="157" t="s">
        <v>154</v>
      </c>
      <c r="BB608" s="152" t="s">
        <v>269</v>
      </c>
      <c r="BC608" s="25"/>
      <c r="BF608" s="57" t="s">
        <v>440</v>
      </c>
    </row>
    <row r="609" spans="1:58" ht="14.25" x14ac:dyDescent="0.2">
      <c r="A609" t="str">
        <f t="shared" si="118"/>
        <v>A99</v>
      </c>
      <c r="B609" s="2" t="s">
        <v>656</v>
      </c>
      <c r="C609">
        <f t="shared" si="119"/>
        <v>15.85</v>
      </c>
      <c r="D609" t="str">
        <f t="shared" si="128"/>
        <v>UFD</v>
      </c>
      <c r="E609" s="169" t="str">
        <f>IF(OR(A609="",B609="",C609=""),"eine der Spalten BAB, FR, km leer?",CONCATENATE(VLOOKUP(VALUE(I609),[1]Grundlage!$A$1:$B$14,2,0),IF(LEFT(A609,1)="A",IF(VALUE(MID(A609,2,10))&lt;10,"A00"&amp;VALUE(MID(A609,2,10)),IF(VALUE(MID(A609,2,10))&lt;100,"A0"&amp;VALUE(MID(A609,2,10)),IF(VALUE(MID(A609,2,10))&lt;1000,"A"&amp;VALUE(MID(A609,2,10))))),IF(LEFT(A609,1)="B",IF(VALUE(MID(A609,2,10))&lt;10,"B00"&amp;VALUE(MID(A609,2,10)),IF(VALUE(MID(A609,2,10))&lt;100,"B0"&amp;VALUE(MID(A609,2,10)),IF(VALUE(MID(A609,2,10))&lt;1000,"B"&amp;VALUE(MID(A609,2,10))))),A609)),"_",IF(NOT(OR(C609=1000,C609&gt;1000)),MID(TEXT((C609+1000)*1000,0),2,6),"keine Meter in Spalte km!!!"),IF(VALUE(I609)=1,CONCATENATE("_",VLOOKUP(IF(V609&gt;0,V609,J609),[1]Grundlage!$A$20:$B$181,2,0)),CONCATENATE("_",B609))))</f>
        <v>UQ_A099_015850_N</v>
      </c>
      <c r="F609" s="2" t="s">
        <v>270</v>
      </c>
      <c r="G609" s="167">
        <f t="shared" si="116"/>
        <v>38738</v>
      </c>
      <c r="H609">
        <f t="shared" si="117"/>
        <v>246</v>
      </c>
      <c r="I609" s="2">
        <f t="shared" si="120"/>
        <v>3</v>
      </c>
      <c r="J609" s="2">
        <f t="shared" si="121"/>
        <v>11</v>
      </c>
      <c r="K609" s="13">
        <v>209</v>
      </c>
      <c r="L609" s="2">
        <f t="shared" si="122"/>
        <v>2</v>
      </c>
      <c r="M609" s="2">
        <f t="shared" si="123"/>
        <v>1</v>
      </c>
      <c r="N609" s="2">
        <f t="shared" si="124"/>
        <v>2</v>
      </c>
      <c r="P609" s="168">
        <f t="shared" si="125"/>
        <v>70</v>
      </c>
      <c r="AI609" s="154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48">
        <v>3</v>
      </c>
      <c r="AU609" s="155">
        <v>11</v>
      </c>
      <c r="AV609" s="155" t="s">
        <v>78</v>
      </c>
      <c r="AW609" s="152"/>
      <c r="AX609" s="152"/>
      <c r="AY609" s="148">
        <v>1</v>
      </c>
      <c r="AZ609" s="155">
        <f>AZ608+1</f>
        <v>2</v>
      </c>
      <c r="BA609" s="157" t="s">
        <v>405</v>
      </c>
      <c r="BB609" s="152" t="s">
        <v>270</v>
      </c>
      <c r="BC609" s="91" t="s">
        <v>414</v>
      </c>
      <c r="BF609" s="57" t="s">
        <v>555</v>
      </c>
    </row>
    <row r="610" spans="1:58" ht="14.25" x14ac:dyDescent="0.2">
      <c r="A610" t="str">
        <f t="shared" si="118"/>
        <v>A99</v>
      </c>
      <c r="B610" s="2" t="s">
        <v>656</v>
      </c>
      <c r="C610">
        <f t="shared" si="119"/>
        <v>15.85</v>
      </c>
      <c r="D610" t="str">
        <f t="shared" si="128"/>
        <v>UFD</v>
      </c>
      <c r="E610" s="169" t="str">
        <f>IF(OR(A610="",B610="",C610=""),"eine der Spalten BAB, FR, km leer?",CONCATENATE(VLOOKUP(VALUE(I610),[1]Grundlage!$A$1:$B$14,2,0),IF(LEFT(A610,1)="A",IF(VALUE(MID(A610,2,10))&lt;10,"A00"&amp;VALUE(MID(A610,2,10)),IF(VALUE(MID(A610,2,10))&lt;100,"A0"&amp;VALUE(MID(A610,2,10)),IF(VALUE(MID(A610,2,10))&lt;1000,"A"&amp;VALUE(MID(A610,2,10))))),IF(LEFT(A610,1)="B",IF(VALUE(MID(A610,2,10))&lt;10,"B00"&amp;VALUE(MID(A610,2,10)),IF(VALUE(MID(A610,2,10))&lt;100,"B0"&amp;VALUE(MID(A610,2,10)),IF(VALUE(MID(A610,2,10))&lt;1000,"B"&amp;VALUE(MID(A610,2,10))))),A610)),"_",IF(NOT(OR(C610=1000,C610&gt;1000)),MID(TEXT((C610+1000)*1000,0),2,6),"keine Meter in Spalte km!!!"),IF(VALUE(I610)=1,CONCATENATE("_",VLOOKUP(IF(V610&gt;0,V610,J610),[1]Grundlage!$A$20:$B$181,2,0)),CONCATENATE("_",B610))))</f>
        <v>UQ_A099_015850_N</v>
      </c>
      <c r="F610" s="2" t="s">
        <v>25</v>
      </c>
      <c r="G610" s="167">
        <f t="shared" si="116"/>
        <v>38738</v>
      </c>
      <c r="H610">
        <f t="shared" si="117"/>
        <v>246</v>
      </c>
      <c r="I610" s="2">
        <f t="shared" si="120"/>
        <v>3</v>
      </c>
      <c r="J610" s="2">
        <f t="shared" si="121"/>
        <v>12</v>
      </c>
      <c r="K610" s="13">
        <v>209</v>
      </c>
      <c r="L610" s="2">
        <f t="shared" si="122"/>
        <v>2</v>
      </c>
      <c r="M610" s="2">
        <f t="shared" si="123"/>
        <v>1</v>
      </c>
      <c r="N610" s="2">
        <f t="shared" si="124"/>
        <v>3</v>
      </c>
      <c r="P610" s="168">
        <f t="shared" si="125"/>
        <v>48</v>
      </c>
      <c r="AI610" s="154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48">
        <v>3</v>
      </c>
      <c r="AU610" s="155">
        <v>12</v>
      </c>
      <c r="AV610" s="155" t="s">
        <v>79</v>
      </c>
      <c r="AW610" s="152"/>
      <c r="AX610" s="152"/>
      <c r="AY610" s="148">
        <v>1</v>
      </c>
      <c r="AZ610" s="155">
        <f>AZ609+1</f>
        <v>3</v>
      </c>
      <c r="BA610" s="157" t="s">
        <v>278</v>
      </c>
      <c r="BB610" s="152" t="s">
        <v>25</v>
      </c>
      <c r="BC610" s="25"/>
      <c r="BF610" s="57" t="s">
        <v>441</v>
      </c>
    </row>
    <row r="611" spans="1:58" ht="14.25" x14ac:dyDescent="0.2">
      <c r="A611" t="str">
        <f t="shared" si="118"/>
        <v>A99</v>
      </c>
      <c r="B611" s="2" t="s">
        <v>656</v>
      </c>
      <c r="C611">
        <f t="shared" si="119"/>
        <v>15.85</v>
      </c>
      <c r="D611" t="str">
        <f t="shared" si="128"/>
        <v>UFD</v>
      </c>
      <c r="E611" s="169" t="str">
        <f>IF(OR(A611="",B611="",C611=""),"eine der Spalten BAB, FR, km leer?",CONCATENATE(VLOOKUP(VALUE(I611),[1]Grundlage!$A$1:$B$14,2,0),IF(LEFT(A611,1)="A",IF(VALUE(MID(A611,2,10))&lt;10,"A00"&amp;VALUE(MID(A611,2,10)),IF(VALUE(MID(A611,2,10))&lt;100,"A0"&amp;VALUE(MID(A611,2,10)),IF(VALUE(MID(A611,2,10))&lt;1000,"A"&amp;VALUE(MID(A611,2,10))))),IF(LEFT(A611,1)="B",IF(VALUE(MID(A611,2,10))&lt;10,"B00"&amp;VALUE(MID(A611,2,10)),IF(VALUE(MID(A611,2,10))&lt;100,"B0"&amp;VALUE(MID(A611,2,10)),IF(VALUE(MID(A611,2,10))&lt;1000,"B"&amp;VALUE(MID(A611,2,10))))),A611)),"_",IF(NOT(OR(C611=1000,C611&gt;1000)),MID(TEXT((C611+1000)*1000,0),2,6),"keine Meter in Spalte km!!!"),IF(VALUE(I611)=1,CONCATENATE("_",VLOOKUP(IF(V611&gt;0,V611,J611),[1]Grundlage!$A$20:$B$181,2,0)),CONCATENATE("_",B611))))</f>
        <v>UQ_A099_015850_N</v>
      </c>
      <c r="F611" s="2" t="s">
        <v>26</v>
      </c>
      <c r="G611" s="167">
        <f t="shared" si="116"/>
        <v>38738</v>
      </c>
      <c r="H611">
        <f t="shared" si="117"/>
        <v>246</v>
      </c>
      <c r="I611" s="2">
        <f t="shared" si="120"/>
        <v>3</v>
      </c>
      <c r="J611" s="2">
        <f t="shared" si="121"/>
        <v>13</v>
      </c>
      <c r="K611" s="13">
        <v>209</v>
      </c>
      <c r="L611" s="2">
        <f t="shared" si="122"/>
        <v>2</v>
      </c>
      <c r="M611" s="2">
        <f t="shared" si="123"/>
        <v>1</v>
      </c>
      <c r="N611" s="2">
        <f t="shared" si="124"/>
        <v>4</v>
      </c>
      <c r="P611" s="168">
        <f t="shared" si="125"/>
        <v>55</v>
      </c>
      <c r="AI611" s="154"/>
      <c r="AJ611" s="152"/>
      <c r="AK611" s="152"/>
      <c r="AL611" s="152"/>
      <c r="AM611" s="158"/>
      <c r="AN611" s="158"/>
      <c r="AO611" s="152"/>
      <c r="AP611" s="152"/>
      <c r="AQ611" s="152"/>
      <c r="AR611" s="152"/>
      <c r="AS611" s="152"/>
      <c r="AT611" s="148">
        <v>3</v>
      </c>
      <c r="AU611" s="155">
        <v>13</v>
      </c>
      <c r="AV611" s="155" t="s">
        <v>80</v>
      </c>
      <c r="AW611" s="152"/>
      <c r="AX611" s="152"/>
      <c r="AY611" s="148">
        <v>1</v>
      </c>
      <c r="AZ611" s="155">
        <f>AZ610+1</f>
        <v>4</v>
      </c>
      <c r="BA611" s="157" t="s">
        <v>277</v>
      </c>
      <c r="BB611" s="152" t="s">
        <v>26</v>
      </c>
      <c r="BC611" s="25"/>
      <c r="BF611" s="57" t="s">
        <v>442</v>
      </c>
    </row>
    <row r="612" spans="1:58" ht="14.25" x14ac:dyDescent="0.2">
      <c r="A612" t="str">
        <f t="shared" si="118"/>
        <v>A99</v>
      </c>
      <c r="B612" s="2" t="s">
        <v>656</v>
      </c>
      <c r="C612">
        <f t="shared" si="119"/>
        <v>15.85</v>
      </c>
      <c r="D612" t="str">
        <f t="shared" si="128"/>
        <v>UFD</v>
      </c>
      <c r="E612" s="169" t="str">
        <f>IF(OR(A612="",B612="",C612=""),"eine der Spalten BAB, FR, km leer?",CONCATENATE(VLOOKUP(VALUE(I612),[1]Grundlage!$A$1:$B$14,2,0),IF(LEFT(A612,1)="A",IF(VALUE(MID(A612,2,10))&lt;10,"A00"&amp;VALUE(MID(A612,2,10)),IF(VALUE(MID(A612,2,10))&lt;100,"A0"&amp;VALUE(MID(A612,2,10)),IF(VALUE(MID(A612,2,10))&lt;1000,"A"&amp;VALUE(MID(A612,2,10))))),IF(LEFT(A612,1)="B",IF(VALUE(MID(A612,2,10))&lt;10,"B00"&amp;VALUE(MID(A612,2,10)),IF(VALUE(MID(A612,2,10))&lt;100,"B0"&amp;VALUE(MID(A612,2,10)),IF(VALUE(MID(A612,2,10))&lt;1000,"B"&amp;VALUE(MID(A612,2,10))))),A612)),"_",IF(NOT(OR(C612=1000,C612&gt;1000)),MID(TEXT((C612+1000)*1000,0),2,6),"keine Meter in Spalte km!!!"),IF(VALUE(I612)=1,CONCATENATE("_",VLOOKUP(IF(V612&gt;0,V612,J612),[1]Grundlage!$A$20:$B$181,2,0)),CONCATENATE("_",B612))))</f>
        <v>UQ_A099_015850_N</v>
      </c>
      <c r="F612" s="2" t="s">
        <v>27</v>
      </c>
      <c r="G612" s="167">
        <f t="shared" si="116"/>
        <v>38738</v>
      </c>
      <c r="H612">
        <f t="shared" si="117"/>
        <v>246</v>
      </c>
      <c r="I612" s="2">
        <f t="shared" si="120"/>
        <v>3</v>
      </c>
      <c r="J612" s="2">
        <f t="shared" si="121"/>
        <v>14</v>
      </c>
      <c r="K612" s="13">
        <v>209</v>
      </c>
      <c r="L612" s="2">
        <f t="shared" si="122"/>
        <v>2</v>
      </c>
      <c r="M612" s="2">
        <f t="shared" si="123"/>
        <v>1</v>
      </c>
      <c r="N612" s="2">
        <f t="shared" si="124"/>
        <v>5</v>
      </c>
      <c r="P612" s="168">
        <f t="shared" si="125"/>
        <v>66</v>
      </c>
      <c r="AI612" s="154"/>
      <c r="AJ612" s="152"/>
      <c r="AK612" s="152"/>
      <c r="AL612" s="159"/>
      <c r="AM612" s="158"/>
      <c r="AN612" s="158"/>
      <c r="AO612" s="152"/>
      <c r="AP612" s="152"/>
      <c r="AQ612" s="152"/>
      <c r="AR612" s="152"/>
      <c r="AS612" s="152"/>
      <c r="AT612" s="148">
        <v>3</v>
      </c>
      <c r="AU612" s="155">
        <v>14</v>
      </c>
      <c r="AV612" s="155" t="s">
        <v>81</v>
      </c>
      <c r="AW612" s="152"/>
      <c r="AX612" s="152"/>
      <c r="AY612" s="148">
        <v>1</v>
      </c>
      <c r="AZ612" s="155">
        <f>AZ611+1</f>
        <v>5</v>
      </c>
      <c r="BA612" s="157" t="s">
        <v>279</v>
      </c>
      <c r="BB612" s="152" t="s">
        <v>27</v>
      </c>
      <c r="BC612" s="91" t="s">
        <v>414</v>
      </c>
      <c r="BF612" s="57" t="s">
        <v>443</v>
      </c>
    </row>
    <row r="613" spans="1:58" ht="14.25" x14ac:dyDescent="0.2">
      <c r="A613" t="str">
        <f t="shared" si="118"/>
        <v>A99</v>
      </c>
      <c r="B613" s="2" t="s">
        <v>656</v>
      </c>
      <c r="C613">
        <f t="shared" si="119"/>
        <v>15.85</v>
      </c>
      <c r="D613" t="str">
        <f t="shared" si="128"/>
        <v>UFD</v>
      </c>
      <c r="E613" s="169" t="str">
        <f>IF(OR(A613="",B613="",C613=""),"eine der Spalten BAB, FR, km leer?",CONCATENATE(VLOOKUP(VALUE(I613),[1]Grundlage!$A$1:$B$14,2,0),IF(LEFT(A613,1)="A",IF(VALUE(MID(A613,2,10))&lt;10,"A00"&amp;VALUE(MID(A613,2,10)),IF(VALUE(MID(A613,2,10))&lt;100,"A0"&amp;VALUE(MID(A613,2,10)),IF(VALUE(MID(A613,2,10))&lt;1000,"A"&amp;VALUE(MID(A613,2,10))))),IF(LEFT(A613,1)="B",IF(VALUE(MID(A613,2,10))&lt;10,"B00"&amp;VALUE(MID(A613,2,10)),IF(VALUE(MID(A613,2,10))&lt;100,"B0"&amp;VALUE(MID(A613,2,10)),IF(VALUE(MID(A613,2,10))&lt;1000,"B"&amp;VALUE(MID(A613,2,10))))),A613)),"_",IF(NOT(OR(C613=1000,C613&gt;1000)),MID(TEXT((C613+1000)*1000,0),2,6),"keine Meter in Spalte km!!!"),IF(VALUE(I613)=1,CONCATENATE("_",VLOOKUP(IF(V613&gt;0,V613,J613),[1]Grundlage!$A$20:$B$181,2,0)),CONCATENATE("_",B613))))</f>
        <v>UQ_A099_015850_N</v>
      </c>
      <c r="F613" s="2" t="s">
        <v>29</v>
      </c>
      <c r="G613" s="167">
        <f t="shared" si="116"/>
        <v>38738</v>
      </c>
      <c r="H613">
        <f t="shared" si="117"/>
        <v>246</v>
      </c>
      <c r="I613" s="2">
        <f t="shared" si="120"/>
        <v>3</v>
      </c>
      <c r="J613" s="2">
        <f t="shared" si="121"/>
        <v>19</v>
      </c>
      <c r="K613" s="13">
        <v>209</v>
      </c>
      <c r="L613" s="2">
        <f t="shared" si="122"/>
        <v>2</v>
      </c>
      <c r="M613" s="2">
        <f t="shared" si="123"/>
        <v>1</v>
      </c>
      <c r="N613" s="2">
        <f t="shared" si="124"/>
        <v>6</v>
      </c>
      <c r="P613" s="168">
        <f t="shared" si="125"/>
        <v>49</v>
      </c>
      <c r="AI613" s="154"/>
      <c r="AJ613" s="152"/>
      <c r="AK613" s="152"/>
      <c r="AL613" s="152"/>
      <c r="AM613" s="158"/>
      <c r="AN613" s="158"/>
      <c r="AO613" s="152"/>
      <c r="AP613" s="152"/>
      <c r="AQ613" s="152"/>
      <c r="AR613" s="152"/>
      <c r="AS613" s="152"/>
      <c r="AT613" s="148">
        <v>3</v>
      </c>
      <c r="AU613" s="155">
        <v>19</v>
      </c>
      <c r="AV613" s="155">
        <v>13</v>
      </c>
      <c r="AW613" s="152"/>
      <c r="AX613" s="152"/>
      <c r="AY613" s="148">
        <v>1</v>
      </c>
      <c r="AZ613" s="155">
        <v>6</v>
      </c>
      <c r="BA613" s="157" t="s">
        <v>281</v>
      </c>
      <c r="BB613" s="152" t="s">
        <v>29</v>
      </c>
      <c r="BC613" s="91" t="s">
        <v>413</v>
      </c>
      <c r="BF613" s="57" t="s">
        <v>557</v>
      </c>
    </row>
    <row r="614" spans="1:58" ht="14.25" x14ac:dyDescent="0.2">
      <c r="A614" t="str">
        <f t="shared" si="118"/>
        <v>A99</v>
      </c>
      <c r="B614" s="2" t="s">
        <v>656</v>
      </c>
      <c r="C614">
        <f t="shared" si="119"/>
        <v>15.85</v>
      </c>
      <c r="D614" t="str">
        <f t="shared" si="128"/>
        <v>UFD</v>
      </c>
      <c r="E614" s="169" t="str">
        <f>IF(OR(A614="",B614="",C614=""),"eine der Spalten BAB, FR, km leer?",CONCATENATE(VLOOKUP(VALUE(I614),[1]Grundlage!$A$1:$B$14,2,0),IF(LEFT(A614,1)="A",IF(VALUE(MID(A614,2,10))&lt;10,"A00"&amp;VALUE(MID(A614,2,10)),IF(VALUE(MID(A614,2,10))&lt;100,"A0"&amp;VALUE(MID(A614,2,10)),IF(VALUE(MID(A614,2,10))&lt;1000,"A"&amp;VALUE(MID(A614,2,10))))),IF(LEFT(A614,1)="B",IF(VALUE(MID(A614,2,10))&lt;10,"B00"&amp;VALUE(MID(A614,2,10)),IF(VALUE(MID(A614,2,10))&lt;100,"B0"&amp;VALUE(MID(A614,2,10)),IF(VALUE(MID(A614,2,10))&lt;1000,"B"&amp;VALUE(MID(A614,2,10))))),A614)),"_",IF(NOT(OR(C614=1000,C614&gt;1000)),MID(TEXT((C614+1000)*1000,0),2,6),"keine Meter in Spalte km!!!"),IF(VALUE(I614)=1,CONCATENATE("_",VLOOKUP(IF(V614&gt;0,V614,J614),[1]Grundlage!$A$20:$B$181,2,0)),CONCATENATE("_",B614))))</f>
        <v>UQ_A099_015850_N</v>
      </c>
      <c r="F614" s="2" t="s">
        <v>271</v>
      </c>
      <c r="G614" s="167">
        <f t="shared" si="116"/>
        <v>38738</v>
      </c>
      <c r="H614">
        <f t="shared" si="117"/>
        <v>246</v>
      </c>
      <c r="I614" s="2">
        <f t="shared" si="120"/>
        <v>3</v>
      </c>
      <c r="J614" s="2">
        <f t="shared" si="121"/>
        <v>67</v>
      </c>
      <c r="K614" s="13">
        <v>209</v>
      </c>
      <c r="L614" s="2">
        <f t="shared" si="122"/>
        <v>2</v>
      </c>
      <c r="M614" s="2">
        <f t="shared" si="123"/>
        <v>1</v>
      </c>
      <c r="N614" s="2">
        <f t="shared" si="124"/>
        <v>7</v>
      </c>
      <c r="P614" s="168">
        <f t="shared" si="125"/>
        <v>53</v>
      </c>
      <c r="AI614" s="154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48">
        <v>3</v>
      </c>
      <c r="AU614" s="155">
        <v>67</v>
      </c>
      <c r="AV614" s="155">
        <v>43</v>
      </c>
      <c r="AW614" s="152"/>
      <c r="AX614" s="152"/>
      <c r="AY614" s="148">
        <v>1</v>
      </c>
      <c r="AZ614" s="155">
        <v>7</v>
      </c>
      <c r="BA614" s="155" t="s">
        <v>78</v>
      </c>
      <c r="BB614" s="152" t="s">
        <v>271</v>
      </c>
      <c r="BC614" s="25"/>
      <c r="BF614" s="57" t="s">
        <v>444</v>
      </c>
    </row>
    <row r="615" spans="1:58" ht="14.25" x14ac:dyDescent="0.2">
      <c r="A615" t="str">
        <f t="shared" si="118"/>
        <v>A99</v>
      </c>
      <c r="B615" s="2" t="s">
        <v>656</v>
      </c>
      <c r="C615">
        <f t="shared" si="119"/>
        <v>15.85</v>
      </c>
      <c r="D615" t="str">
        <f t="shared" si="128"/>
        <v>UFD</v>
      </c>
      <c r="E615" s="169" t="str">
        <f>IF(OR(A615="",B615="",C615=""),"eine der Spalten BAB, FR, km leer?",CONCATENATE(VLOOKUP(VALUE(I615),[1]Grundlage!$A$1:$B$14,2,0),IF(LEFT(A615,1)="A",IF(VALUE(MID(A615,2,10))&lt;10,"A00"&amp;VALUE(MID(A615,2,10)),IF(VALUE(MID(A615,2,10))&lt;100,"A0"&amp;VALUE(MID(A615,2,10)),IF(VALUE(MID(A615,2,10))&lt;1000,"A"&amp;VALUE(MID(A615,2,10))))),IF(LEFT(A615,1)="B",IF(VALUE(MID(A615,2,10))&lt;10,"B00"&amp;VALUE(MID(A615,2,10)),IF(VALUE(MID(A615,2,10))&lt;100,"B0"&amp;VALUE(MID(A615,2,10)),IF(VALUE(MID(A615,2,10))&lt;1000,"B"&amp;VALUE(MID(A615,2,10))))),A615)),"_",IF(NOT(OR(C615=1000,C615&gt;1000)),MID(TEXT((C615+1000)*1000,0),2,6),"keine Meter in Spalte km!!!"),IF(VALUE(I615)=1,CONCATENATE("_",VLOOKUP(IF(V615&gt;0,V615,J615),[1]Grundlage!$A$20:$B$181,2,0)),CONCATENATE("_",B615))))</f>
        <v>UQ_A099_015850_N</v>
      </c>
      <c r="F615" s="2" t="s">
        <v>272</v>
      </c>
      <c r="G615" s="167">
        <f t="shared" ref="G615:G678" si="129">IF(ISBLANK(AP615),G614,INT(AP615/256))</f>
        <v>38738</v>
      </c>
      <c r="H615">
        <f t="shared" ref="H615:H678" si="130">IF(ISBLANK(AP615),H614,MOD(AP615,256))</f>
        <v>246</v>
      </c>
      <c r="I615" s="2">
        <f t="shared" si="120"/>
        <v>3</v>
      </c>
      <c r="J615" s="2">
        <f t="shared" si="121"/>
        <v>82</v>
      </c>
      <c r="K615" s="13">
        <v>209</v>
      </c>
      <c r="L615" s="2">
        <f t="shared" si="122"/>
        <v>2</v>
      </c>
      <c r="M615" s="2">
        <f t="shared" si="123"/>
        <v>1</v>
      </c>
      <c r="N615" s="2">
        <f t="shared" si="124"/>
        <v>8</v>
      </c>
      <c r="P615" s="168">
        <f t="shared" si="125"/>
        <v>72</v>
      </c>
      <c r="AI615" s="154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48">
        <v>3</v>
      </c>
      <c r="AU615" s="155">
        <v>82</v>
      </c>
      <c r="AV615" s="155">
        <v>52</v>
      </c>
      <c r="AW615" s="152"/>
      <c r="AX615" s="152"/>
      <c r="AY615" s="148">
        <v>1</v>
      </c>
      <c r="AZ615" s="155">
        <v>8</v>
      </c>
      <c r="BA615" s="155" t="s">
        <v>79</v>
      </c>
      <c r="BB615" s="152" t="s">
        <v>272</v>
      </c>
      <c r="BC615" s="91" t="s">
        <v>414</v>
      </c>
      <c r="BF615" s="57" t="s">
        <v>559</v>
      </c>
    </row>
    <row r="616" spans="1:58" ht="14.25" x14ac:dyDescent="0.2">
      <c r="A616" t="str">
        <f t="shared" si="118"/>
        <v>A99</v>
      </c>
      <c r="C616">
        <f t="shared" si="119"/>
        <v>15.85</v>
      </c>
      <c r="D616" t="str">
        <f t="shared" si="128"/>
        <v/>
      </c>
      <c r="E616" s="169" t="str">
        <f>IF(OR(A616="",B616="",C616=""),"",CONCATENATE(VLOOKUP(VALUE(I616),[1]Grundlage!$A$1:$B$14,2,0),IF(LEFT(A616,1)="A",IF(VALUE(MID(A616,2,10))&lt;10,"A00"&amp;VALUE(MID(A616,2,10)),IF(VALUE(MID(A616,2,10))&lt;100,"A0"&amp;VALUE(MID(A616,2,10)),IF(VALUE(MID(A616,2,10))&lt;1000,"A"&amp;VALUE(MID(A616,2,10))))),IF(LEFT(A616,1)="B",IF(VALUE(MID(A616,2,10))&lt;10,"B00"&amp;VALUE(MID(A616,2,10)),IF(VALUE(MID(A616,2,10))&lt;100,"B0"&amp;VALUE(MID(A616,2,10)),IF(VALUE(MID(A616,2,10))&lt;1000,"B"&amp;VALUE(MID(A616,2,10))))),A616)),"_",IF(NOT(OR(C616=1000,C616&gt;1000)),MID(TEXT((C616+1000)*1000,0),2,6),"keine Meter in Spalte km!!!"),IF(VALUE(I616)=1,CONCATENATE("_",VLOOKUP(IF(V616&gt;0,V616,J616),[1]Grundlage!$A$20:$B$181,2,0)),CONCATENATE("_",B616))))</f>
        <v/>
      </c>
      <c r="F616" s="2" t="s">
        <v>669</v>
      </c>
      <c r="G616" s="167">
        <f t="shared" si="129"/>
        <v>38738</v>
      </c>
      <c r="H616">
        <f t="shared" si="130"/>
        <v>246</v>
      </c>
      <c r="I616" s="2">
        <f t="shared" si="120"/>
        <v>0</v>
      </c>
      <c r="J616" s="2">
        <f t="shared" si="121"/>
        <v>0</v>
      </c>
      <c r="K616" s="13">
        <v>209</v>
      </c>
      <c r="L616" s="2">
        <f t="shared" si="122"/>
        <v>2</v>
      </c>
      <c r="M616" s="2" t="str">
        <f t="shared" si="123"/>
        <v/>
      </c>
      <c r="N616" s="2" t="str">
        <f t="shared" si="124"/>
        <v/>
      </c>
      <c r="P616" s="168" t="str">
        <f t="shared" si="125"/>
        <v/>
      </c>
      <c r="AT616" s="19"/>
      <c r="AU616" s="14"/>
      <c r="AV616" s="14"/>
      <c r="AY616" s="1"/>
      <c r="AZ616" s="14"/>
      <c r="BB616" s="13"/>
    </row>
    <row r="617" spans="1:58" ht="14.25" x14ac:dyDescent="0.2">
      <c r="A617" t="str">
        <f t="shared" si="118"/>
        <v>A92</v>
      </c>
      <c r="B617" s="2" t="s">
        <v>657</v>
      </c>
      <c r="C617">
        <f t="shared" si="119"/>
        <v>60.74</v>
      </c>
      <c r="D617" t="str">
        <f t="shared" si="128"/>
        <v>SS</v>
      </c>
      <c r="E617" s="169" t="str">
        <f>IF(OR(A617="",B617="",C617=""),"eine der Spalten BAB, FR, km leer?",CONCATENATE(VLOOKUP(VALUE(I617),[1]Grundlage!$A$1:$B$14,2,0),IF(LEFT(A617,1)="A",IF(VALUE(MID(A617,2,10))&lt;10,"A00"&amp;VALUE(MID(A617,2,10)),IF(VALUE(MID(A617,2,10))&lt;100,"A0"&amp;VALUE(MID(A617,2,10)),IF(VALUE(MID(A617,2,10))&lt;1000,"A"&amp;VALUE(MID(A617,2,10))))),IF(LEFT(A617,1)="B",IF(VALUE(MID(A617,2,10))&lt;10,"B00"&amp;VALUE(MID(A617,2,10)),IF(VALUE(MID(A617,2,10))&lt;100,"B0"&amp;VALUE(MID(A617,2,10)),IF(VALUE(MID(A617,2,10))&lt;1000,"B"&amp;VALUE(MID(A617,2,10))))),A617)),"_",IF(NOT(OR(C617=1000,C617&gt;1000)),MID(TEXT((C617+1000)*1000,0),2,6),"keine Meter in Spalte km!!!"),IF(VALUE(I617)=1,CONCATENATE("_",VLOOKUP(IF(V617&gt;0,V617,J617),[1]Grundlage!$A$20:$B$181,2,0)),CONCATENATE("_",B617))))</f>
        <v>SSt_A092_060740_W</v>
      </c>
      <c r="F617" s="2" t="s">
        <v>73</v>
      </c>
      <c r="G617" s="167">
        <f t="shared" si="129"/>
        <v>36007</v>
      </c>
      <c r="H617">
        <f t="shared" si="130"/>
        <v>17</v>
      </c>
      <c r="I617" s="2">
        <f t="shared" si="120"/>
        <v>254</v>
      </c>
      <c r="J617" s="2">
        <f t="shared" si="121"/>
        <v>0</v>
      </c>
      <c r="K617" s="13">
        <v>209</v>
      </c>
      <c r="L617" s="2">
        <f t="shared" si="122"/>
        <v>3</v>
      </c>
      <c r="M617" s="2" t="str">
        <f t="shared" si="123"/>
        <v/>
      </c>
      <c r="N617" s="2" t="str">
        <f t="shared" si="124"/>
        <v/>
      </c>
      <c r="P617" s="168" t="str">
        <f t="shared" si="125"/>
        <v/>
      </c>
      <c r="AI617" s="35">
        <v>60.74</v>
      </c>
      <c r="AJ617" s="36" t="s">
        <v>19</v>
      </c>
      <c r="AK617" s="36" t="s">
        <v>72</v>
      </c>
      <c r="AL617" s="36"/>
      <c r="AM617" s="36"/>
      <c r="AN617" s="36"/>
      <c r="AO617" s="36"/>
      <c r="AP617" s="42">
        <v>9217809</v>
      </c>
      <c r="AQ617" s="42" t="s">
        <v>230</v>
      </c>
      <c r="AR617" s="42" t="s">
        <v>31</v>
      </c>
      <c r="AS617" s="42">
        <v>11</v>
      </c>
      <c r="AT617" s="36"/>
      <c r="AU617" s="36"/>
      <c r="AV617" s="36"/>
      <c r="AW617" s="36"/>
      <c r="AX617" s="36">
        <v>3</v>
      </c>
      <c r="AY617" s="36"/>
      <c r="AZ617" s="36"/>
      <c r="BA617" s="36"/>
      <c r="BB617" s="37" t="s">
        <v>73</v>
      </c>
      <c r="BC617" s="38"/>
      <c r="BD617" s="96" t="s">
        <v>163</v>
      </c>
      <c r="BE617" s="39" t="s">
        <v>74</v>
      </c>
      <c r="BF617" s="2" t="s">
        <v>451</v>
      </c>
    </row>
    <row r="618" spans="1:58" ht="14.25" x14ac:dyDescent="0.2">
      <c r="A618" t="str">
        <f t="shared" si="118"/>
        <v>A92</v>
      </c>
      <c r="B618" s="2" t="s">
        <v>657</v>
      </c>
      <c r="C618">
        <f t="shared" si="119"/>
        <v>60.74</v>
      </c>
      <c r="D618" t="str">
        <f t="shared" si="128"/>
        <v>UFD</v>
      </c>
      <c r="E618" s="169" t="str">
        <f>IF(OR(A618="",B618="",C618=""),"eine der Spalten BAB, FR, km leer?",CONCATENATE(VLOOKUP(VALUE(I618),[1]Grundlage!$A$1:$B$14,2,0),IF(LEFT(A618,1)="A",IF(VALUE(MID(A618,2,10))&lt;10,"A00"&amp;VALUE(MID(A618,2,10)),IF(VALUE(MID(A618,2,10))&lt;100,"A0"&amp;VALUE(MID(A618,2,10)),IF(VALUE(MID(A618,2,10))&lt;1000,"A"&amp;VALUE(MID(A618,2,10))))),IF(LEFT(A618,1)="B",IF(VALUE(MID(A618,2,10))&lt;10,"B00"&amp;VALUE(MID(A618,2,10)),IF(VALUE(MID(A618,2,10))&lt;100,"B0"&amp;VALUE(MID(A618,2,10)),IF(VALUE(MID(A618,2,10))&lt;1000,"B"&amp;VALUE(MID(A618,2,10))))),A618)),"_",IF(NOT(OR(C618=1000,C618&gt;1000)),MID(TEXT((C618+1000)*1000,0),2,6),"keine Meter in Spalte km!!!"),IF(VALUE(I618)=1,CONCATENATE("_",VLOOKUP(IF(V618&gt;0,V618,J618),[1]Grundlage!$A$20:$B$181,2,0)),CONCATENATE("_",B618))))</f>
        <v>UQ_A092_060740_W</v>
      </c>
      <c r="F618" s="2" t="s">
        <v>269</v>
      </c>
      <c r="G618" s="167">
        <f t="shared" si="129"/>
        <v>36007</v>
      </c>
      <c r="H618">
        <f t="shared" si="130"/>
        <v>17</v>
      </c>
      <c r="I618" s="2">
        <f t="shared" si="120"/>
        <v>3</v>
      </c>
      <c r="J618" s="2">
        <f t="shared" si="121"/>
        <v>6</v>
      </c>
      <c r="K618" s="13">
        <v>209</v>
      </c>
      <c r="L618" s="2">
        <f t="shared" si="122"/>
        <v>3</v>
      </c>
      <c r="M618" s="2">
        <f t="shared" si="123"/>
        <v>1</v>
      </c>
      <c r="N618" s="2">
        <f t="shared" si="124"/>
        <v>1</v>
      </c>
      <c r="P618" s="168">
        <f t="shared" si="125"/>
        <v>71</v>
      </c>
      <c r="AP618" s="40"/>
      <c r="AQ618" s="40"/>
      <c r="AR618" s="40"/>
      <c r="AS618" s="77"/>
      <c r="AT618" s="19">
        <v>3</v>
      </c>
      <c r="AU618" s="14">
        <v>6</v>
      </c>
      <c r="AV618" s="27">
        <v>6</v>
      </c>
      <c r="AW618" s="19"/>
      <c r="AX618" s="19"/>
      <c r="AY618" s="19">
        <v>1</v>
      </c>
      <c r="AZ618" s="14">
        <v>1</v>
      </c>
      <c r="BA618" s="27">
        <v>1</v>
      </c>
      <c r="BB618" s="13" t="s">
        <v>269</v>
      </c>
      <c r="BF618" s="2" t="s">
        <v>440</v>
      </c>
    </row>
    <row r="619" spans="1:58" ht="14.25" x14ac:dyDescent="0.2">
      <c r="A619" t="str">
        <f t="shared" si="118"/>
        <v>A92</v>
      </c>
      <c r="B619" s="2" t="s">
        <v>657</v>
      </c>
      <c r="C619">
        <f t="shared" si="119"/>
        <v>60.74</v>
      </c>
      <c r="D619" t="str">
        <f t="shared" si="128"/>
        <v>UFD</v>
      </c>
      <c r="E619" s="169" t="str">
        <f>IF(OR(A619="",B619="",C619=""),"eine der Spalten BAB, FR, km leer?",CONCATENATE(VLOOKUP(VALUE(I619),[1]Grundlage!$A$1:$B$14,2,0),IF(LEFT(A619,1)="A",IF(VALUE(MID(A619,2,10))&lt;10,"A00"&amp;VALUE(MID(A619,2,10)),IF(VALUE(MID(A619,2,10))&lt;100,"A0"&amp;VALUE(MID(A619,2,10)),IF(VALUE(MID(A619,2,10))&lt;1000,"A"&amp;VALUE(MID(A619,2,10))))),IF(LEFT(A619,1)="B",IF(VALUE(MID(A619,2,10))&lt;10,"B00"&amp;VALUE(MID(A619,2,10)),IF(VALUE(MID(A619,2,10))&lt;100,"B0"&amp;VALUE(MID(A619,2,10)),IF(VALUE(MID(A619,2,10))&lt;1000,"B"&amp;VALUE(MID(A619,2,10))))),A619)),"_",IF(NOT(OR(C619=1000,C619&gt;1000)),MID(TEXT((C619+1000)*1000,0),2,6),"keine Meter in Spalte km!!!"),IF(VALUE(I619)=1,CONCATENATE("_",VLOOKUP(IF(V619&gt;0,V619,J619),[1]Grundlage!$A$20:$B$181,2,0)),CONCATENATE("_",B619))))</f>
        <v>UQ_A092_060740_W</v>
      </c>
      <c r="F619" s="2" t="s">
        <v>270</v>
      </c>
      <c r="G619" s="167">
        <f t="shared" si="129"/>
        <v>36007</v>
      </c>
      <c r="H619">
        <f t="shared" si="130"/>
        <v>17</v>
      </c>
      <c r="I619" s="2">
        <f t="shared" si="120"/>
        <v>3</v>
      </c>
      <c r="J619" s="2">
        <f t="shared" si="121"/>
        <v>11</v>
      </c>
      <c r="K619" s="13">
        <v>209</v>
      </c>
      <c r="L619" s="2">
        <f t="shared" si="122"/>
        <v>3</v>
      </c>
      <c r="M619" s="2">
        <f t="shared" si="123"/>
        <v>1</v>
      </c>
      <c r="N619" s="2">
        <f t="shared" si="124"/>
        <v>2</v>
      </c>
      <c r="P619" s="168">
        <f t="shared" si="125"/>
        <v>70</v>
      </c>
      <c r="AS619" s="13"/>
      <c r="AT619" s="19">
        <v>3</v>
      </c>
      <c r="AU619" s="14">
        <v>11</v>
      </c>
      <c r="AV619" s="14" t="s">
        <v>78</v>
      </c>
      <c r="AW619" s="13"/>
      <c r="AX619" s="13"/>
      <c r="AY619" s="19">
        <v>1</v>
      </c>
      <c r="AZ619" s="14">
        <v>2</v>
      </c>
      <c r="BA619" s="14">
        <v>2</v>
      </c>
      <c r="BB619" s="13" t="s">
        <v>270</v>
      </c>
      <c r="BF619" s="2" t="s">
        <v>478</v>
      </c>
    </row>
    <row r="620" spans="1:58" ht="14.25" x14ac:dyDescent="0.2">
      <c r="A620" t="str">
        <f t="shared" si="118"/>
        <v>A92</v>
      </c>
      <c r="B620" s="2" t="s">
        <v>657</v>
      </c>
      <c r="C620">
        <f t="shared" si="119"/>
        <v>60.74</v>
      </c>
      <c r="D620" t="str">
        <f t="shared" si="128"/>
        <v>UFD</v>
      </c>
      <c r="E620" s="169" t="str">
        <f>IF(OR(A620="",B620="",C620=""),"eine der Spalten BAB, FR, km leer?",CONCATENATE(VLOOKUP(VALUE(I620),[1]Grundlage!$A$1:$B$14,2,0),IF(LEFT(A620,1)="A",IF(VALUE(MID(A620,2,10))&lt;10,"A00"&amp;VALUE(MID(A620,2,10)),IF(VALUE(MID(A620,2,10))&lt;100,"A0"&amp;VALUE(MID(A620,2,10)),IF(VALUE(MID(A620,2,10))&lt;1000,"A"&amp;VALUE(MID(A620,2,10))))),IF(LEFT(A620,1)="B",IF(VALUE(MID(A620,2,10))&lt;10,"B00"&amp;VALUE(MID(A620,2,10)),IF(VALUE(MID(A620,2,10))&lt;100,"B0"&amp;VALUE(MID(A620,2,10)),IF(VALUE(MID(A620,2,10))&lt;1000,"B"&amp;VALUE(MID(A620,2,10))))),A620)),"_",IF(NOT(OR(C620=1000,C620&gt;1000)),MID(TEXT((C620+1000)*1000,0),2,6),"keine Meter in Spalte km!!!"),IF(VALUE(I620)=1,CONCATENATE("_",VLOOKUP(IF(V620&gt;0,V620,J620),[1]Grundlage!$A$20:$B$181,2,0)),CONCATENATE("_",B620))))</f>
        <v>UQ_A092_060740_W</v>
      </c>
      <c r="F620" s="2" t="s">
        <v>25</v>
      </c>
      <c r="G620" s="167">
        <f t="shared" si="129"/>
        <v>36007</v>
      </c>
      <c r="H620">
        <f t="shared" si="130"/>
        <v>17</v>
      </c>
      <c r="I620" s="2">
        <f t="shared" si="120"/>
        <v>3</v>
      </c>
      <c r="J620" s="2">
        <f t="shared" si="121"/>
        <v>12</v>
      </c>
      <c r="K620" s="13">
        <v>209</v>
      </c>
      <c r="L620" s="2">
        <f t="shared" si="122"/>
        <v>3</v>
      </c>
      <c r="M620" s="2">
        <f t="shared" si="123"/>
        <v>1</v>
      </c>
      <c r="N620" s="2">
        <f t="shared" si="124"/>
        <v>3</v>
      </c>
      <c r="P620" s="168">
        <f t="shared" si="125"/>
        <v>48</v>
      </c>
      <c r="AS620" s="13"/>
      <c r="AT620" s="19">
        <v>3</v>
      </c>
      <c r="AU620" s="14">
        <v>12</v>
      </c>
      <c r="AV620" s="14" t="s">
        <v>79</v>
      </c>
      <c r="AW620" s="13"/>
      <c r="AX620" s="13"/>
      <c r="AY620" s="19">
        <v>1</v>
      </c>
      <c r="AZ620" s="14">
        <v>3</v>
      </c>
      <c r="BA620" s="14">
        <v>3</v>
      </c>
      <c r="BB620" s="13" t="s">
        <v>25</v>
      </c>
      <c r="BF620" s="13" t="s">
        <v>441</v>
      </c>
    </row>
    <row r="621" spans="1:58" ht="14.25" x14ac:dyDescent="0.2">
      <c r="A621" t="str">
        <f t="shared" si="118"/>
        <v>A92</v>
      </c>
      <c r="B621" s="2" t="s">
        <v>657</v>
      </c>
      <c r="C621">
        <f t="shared" si="119"/>
        <v>60.74</v>
      </c>
      <c r="D621" t="str">
        <f t="shared" si="128"/>
        <v>UFD</v>
      </c>
      <c r="E621" s="169" t="str">
        <f>IF(OR(A621="",B621="",C621=""),"eine der Spalten BAB, FR, km leer?",CONCATENATE(VLOOKUP(VALUE(I621),[1]Grundlage!$A$1:$B$14,2,0),IF(LEFT(A621,1)="A",IF(VALUE(MID(A621,2,10))&lt;10,"A00"&amp;VALUE(MID(A621,2,10)),IF(VALUE(MID(A621,2,10))&lt;100,"A0"&amp;VALUE(MID(A621,2,10)),IF(VALUE(MID(A621,2,10))&lt;1000,"A"&amp;VALUE(MID(A621,2,10))))),IF(LEFT(A621,1)="B",IF(VALUE(MID(A621,2,10))&lt;10,"B00"&amp;VALUE(MID(A621,2,10)),IF(VALUE(MID(A621,2,10))&lt;100,"B0"&amp;VALUE(MID(A621,2,10)),IF(VALUE(MID(A621,2,10))&lt;1000,"B"&amp;VALUE(MID(A621,2,10))))),A621)),"_",IF(NOT(OR(C621=1000,C621&gt;1000)),MID(TEXT((C621+1000)*1000,0),2,6),"keine Meter in Spalte km!!!"),IF(VALUE(I621)=1,CONCATENATE("_",VLOOKUP(IF(V621&gt;0,V621,J621),[1]Grundlage!$A$20:$B$181,2,0)),CONCATENATE("_",B621))))</f>
        <v>UQ_A092_060740_W</v>
      </c>
      <c r="F621" s="2" t="s">
        <v>26</v>
      </c>
      <c r="G621" s="167">
        <f t="shared" si="129"/>
        <v>36007</v>
      </c>
      <c r="H621">
        <f t="shared" si="130"/>
        <v>17</v>
      </c>
      <c r="I621" s="2">
        <f t="shared" si="120"/>
        <v>3</v>
      </c>
      <c r="J621" s="2">
        <f t="shared" si="121"/>
        <v>13</v>
      </c>
      <c r="K621" s="13">
        <v>209</v>
      </c>
      <c r="L621" s="2">
        <f t="shared" si="122"/>
        <v>3</v>
      </c>
      <c r="M621" s="2">
        <f t="shared" si="123"/>
        <v>1</v>
      </c>
      <c r="N621" s="2">
        <f t="shared" si="124"/>
        <v>4</v>
      </c>
      <c r="P621" s="168">
        <f t="shared" si="125"/>
        <v>55</v>
      </c>
      <c r="AS621" s="13"/>
      <c r="AT621" s="19">
        <v>3</v>
      </c>
      <c r="AU621" s="14">
        <v>13</v>
      </c>
      <c r="AV621" s="14" t="s">
        <v>80</v>
      </c>
      <c r="AW621" s="13"/>
      <c r="AX621" s="13"/>
      <c r="AY621" s="19">
        <v>1</v>
      </c>
      <c r="AZ621" s="14">
        <v>4</v>
      </c>
      <c r="BA621" s="14">
        <v>4</v>
      </c>
      <c r="BB621" s="13" t="s">
        <v>26</v>
      </c>
      <c r="BF621" s="13" t="s">
        <v>442</v>
      </c>
    </row>
    <row r="622" spans="1:58" ht="14.25" x14ac:dyDescent="0.2">
      <c r="A622" t="str">
        <f t="shared" si="118"/>
        <v>A92</v>
      </c>
      <c r="B622" s="2" t="s">
        <v>657</v>
      </c>
      <c r="C622">
        <f t="shared" si="119"/>
        <v>60.74</v>
      </c>
      <c r="D622" t="str">
        <f t="shared" si="128"/>
        <v>UFD</v>
      </c>
      <c r="E622" s="169" t="str">
        <f>IF(OR(A622="",B622="",C622=""),"eine der Spalten BAB, FR, km leer?",CONCATENATE(VLOOKUP(VALUE(I622),[1]Grundlage!$A$1:$B$14,2,0),IF(LEFT(A622,1)="A",IF(VALUE(MID(A622,2,10))&lt;10,"A00"&amp;VALUE(MID(A622,2,10)),IF(VALUE(MID(A622,2,10))&lt;100,"A0"&amp;VALUE(MID(A622,2,10)),IF(VALUE(MID(A622,2,10))&lt;1000,"A"&amp;VALUE(MID(A622,2,10))))),IF(LEFT(A622,1)="B",IF(VALUE(MID(A622,2,10))&lt;10,"B00"&amp;VALUE(MID(A622,2,10)),IF(VALUE(MID(A622,2,10))&lt;100,"B0"&amp;VALUE(MID(A622,2,10)),IF(VALUE(MID(A622,2,10))&lt;1000,"B"&amp;VALUE(MID(A622,2,10))))),A622)),"_",IF(NOT(OR(C622=1000,C622&gt;1000)),MID(TEXT((C622+1000)*1000,0),2,6),"keine Meter in Spalte km!!!"),IF(VALUE(I622)=1,CONCATENATE("_",VLOOKUP(IF(V622&gt;0,V622,J622),[1]Grundlage!$A$20:$B$181,2,0)),CONCATENATE("_",B622))))</f>
        <v>UQ_A092_060740_W</v>
      </c>
      <c r="F622" s="2" t="s">
        <v>27</v>
      </c>
      <c r="G622" s="167">
        <f t="shared" si="129"/>
        <v>36007</v>
      </c>
      <c r="H622">
        <f t="shared" si="130"/>
        <v>17</v>
      </c>
      <c r="I622" s="2">
        <f t="shared" si="120"/>
        <v>3</v>
      </c>
      <c r="J622" s="2">
        <f t="shared" si="121"/>
        <v>14</v>
      </c>
      <c r="K622" s="13">
        <v>209</v>
      </c>
      <c r="L622" s="2">
        <f t="shared" si="122"/>
        <v>3</v>
      </c>
      <c r="M622" s="2">
        <f t="shared" si="123"/>
        <v>1</v>
      </c>
      <c r="N622" s="2">
        <f t="shared" si="124"/>
        <v>5</v>
      </c>
      <c r="P622" s="168">
        <f t="shared" si="125"/>
        <v>66</v>
      </c>
      <c r="AS622" s="13"/>
      <c r="AT622" s="19">
        <v>3</v>
      </c>
      <c r="AU622" s="14">
        <v>14</v>
      </c>
      <c r="AV622" s="14" t="s">
        <v>81</v>
      </c>
      <c r="AW622" s="13"/>
      <c r="AX622" s="13"/>
      <c r="AY622" s="19">
        <v>1</v>
      </c>
      <c r="AZ622" s="14">
        <v>5</v>
      </c>
      <c r="BA622" s="14">
        <v>5</v>
      </c>
      <c r="BB622" s="13" t="s">
        <v>27</v>
      </c>
      <c r="BF622" s="13" t="s">
        <v>443</v>
      </c>
    </row>
    <row r="623" spans="1:58" ht="14.25" x14ac:dyDescent="0.2">
      <c r="A623" t="str">
        <f t="shared" si="118"/>
        <v>A92</v>
      </c>
      <c r="B623" s="2" t="s">
        <v>657</v>
      </c>
      <c r="C623">
        <f t="shared" si="119"/>
        <v>60.74</v>
      </c>
      <c r="D623" t="str">
        <f t="shared" si="128"/>
        <v>UFD</v>
      </c>
      <c r="E623" s="169" t="str">
        <f>IF(OR(A623="",B623="",C623=""),"eine der Spalten BAB, FR, km leer?",CONCATENATE(VLOOKUP(VALUE(I623),[1]Grundlage!$A$1:$B$14,2,0),IF(LEFT(A623,1)="A",IF(VALUE(MID(A623,2,10))&lt;10,"A00"&amp;VALUE(MID(A623,2,10)),IF(VALUE(MID(A623,2,10))&lt;100,"A0"&amp;VALUE(MID(A623,2,10)),IF(VALUE(MID(A623,2,10))&lt;1000,"A"&amp;VALUE(MID(A623,2,10))))),IF(LEFT(A623,1)="B",IF(VALUE(MID(A623,2,10))&lt;10,"B00"&amp;VALUE(MID(A623,2,10)),IF(VALUE(MID(A623,2,10))&lt;100,"B0"&amp;VALUE(MID(A623,2,10)),IF(VALUE(MID(A623,2,10))&lt;1000,"B"&amp;VALUE(MID(A623,2,10))))),A623)),"_",IF(NOT(OR(C623=1000,C623&gt;1000)),MID(TEXT((C623+1000)*1000,0),2,6),"keine Meter in Spalte km!!!"),IF(VALUE(I623)=1,CONCATENATE("_",VLOOKUP(IF(V623&gt;0,V623,J623),[1]Grundlage!$A$20:$B$181,2,0)),CONCATENATE("_",B623))))</f>
        <v>UQ_A092_060740_W</v>
      </c>
      <c r="F623" s="2" t="s">
        <v>28</v>
      </c>
      <c r="G623" s="167">
        <f t="shared" si="129"/>
        <v>36007</v>
      </c>
      <c r="H623">
        <f t="shared" si="130"/>
        <v>17</v>
      </c>
      <c r="I623" s="2">
        <f t="shared" si="120"/>
        <v>3</v>
      </c>
      <c r="J623" s="2">
        <f t="shared" si="121"/>
        <v>15</v>
      </c>
      <c r="K623" s="13">
        <v>209</v>
      </c>
      <c r="L623" s="2">
        <f t="shared" si="122"/>
        <v>3</v>
      </c>
      <c r="M623" s="2">
        <f t="shared" si="123"/>
        <v>1</v>
      </c>
      <c r="N623" s="2">
        <f t="shared" si="124"/>
        <v>6</v>
      </c>
      <c r="P623" s="168">
        <f t="shared" si="125"/>
        <v>65</v>
      </c>
      <c r="AS623" s="13"/>
      <c r="AT623" s="19">
        <v>3</v>
      </c>
      <c r="AU623" s="14">
        <v>15</v>
      </c>
      <c r="AV623" s="14" t="s">
        <v>82</v>
      </c>
      <c r="AW623" s="13"/>
      <c r="AX623" s="13"/>
      <c r="AY623" s="19">
        <v>1</v>
      </c>
      <c r="AZ623" s="14">
        <v>6</v>
      </c>
      <c r="BA623" s="14">
        <v>6</v>
      </c>
      <c r="BB623" s="13" t="s">
        <v>28</v>
      </c>
      <c r="BF623" s="13" t="s">
        <v>482</v>
      </c>
    </row>
    <row r="624" spans="1:58" ht="14.25" x14ac:dyDescent="0.2">
      <c r="A624" t="str">
        <f t="shared" si="118"/>
        <v>A92</v>
      </c>
      <c r="B624" s="2" t="s">
        <v>657</v>
      </c>
      <c r="C624">
        <f t="shared" si="119"/>
        <v>60.74</v>
      </c>
      <c r="D624" t="str">
        <f t="shared" si="128"/>
        <v>UFD</v>
      </c>
      <c r="E624" s="169" t="str">
        <f>IF(OR(A624="",B624="",C624=""),"eine der Spalten BAB, FR, km leer?",CONCATENATE(VLOOKUP(VALUE(I624),[1]Grundlage!$A$1:$B$14,2,0),IF(LEFT(A624,1)="A",IF(VALUE(MID(A624,2,10))&lt;10,"A00"&amp;VALUE(MID(A624,2,10)),IF(VALUE(MID(A624,2,10))&lt;100,"A0"&amp;VALUE(MID(A624,2,10)),IF(VALUE(MID(A624,2,10))&lt;1000,"A"&amp;VALUE(MID(A624,2,10))))),IF(LEFT(A624,1)="B",IF(VALUE(MID(A624,2,10))&lt;10,"B00"&amp;VALUE(MID(A624,2,10)),IF(VALUE(MID(A624,2,10))&lt;100,"B0"&amp;VALUE(MID(A624,2,10)),IF(VALUE(MID(A624,2,10))&lt;1000,"B"&amp;VALUE(MID(A624,2,10))))),A624)),"_",IF(NOT(OR(C624=1000,C624&gt;1000)),MID(TEXT((C624+1000)*1000,0),2,6),"keine Meter in Spalte km!!!"),IF(VALUE(I624)=1,CONCATENATE("_",VLOOKUP(IF(V624&gt;0,V624,J624),[1]Grundlage!$A$20:$B$181,2,0)),CONCATENATE("_",B624))))</f>
        <v>UQ_A092_060740_W</v>
      </c>
      <c r="F624" s="2" t="s">
        <v>29</v>
      </c>
      <c r="G624" s="167">
        <f t="shared" si="129"/>
        <v>36007</v>
      </c>
      <c r="H624">
        <f t="shared" si="130"/>
        <v>17</v>
      </c>
      <c r="I624" s="2">
        <f t="shared" si="120"/>
        <v>3</v>
      </c>
      <c r="J624" s="2">
        <f t="shared" si="121"/>
        <v>19</v>
      </c>
      <c r="K624" s="13">
        <v>209</v>
      </c>
      <c r="L624" s="2">
        <f t="shared" si="122"/>
        <v>3</v>
      </c>
      <c r="M624" s="2">
        <f t="shared" si="123"/>
        <v>1</v>
      </c>
      <c r="N624" s="2">
        <f t="shared" si="124"/>
        <v>7</v>
      </c>
      <c r="P624" s="168">
        <f t="shared" si="125"/>
        <v>49</v>
      </c>
      <c r="AS624" s="13"/>
      <c r="AT624" s="19">
        <v>3</v>
      </c>
      <c r="AU624" s="14">
        <v>19</v>
      </c>
      <c r="AV624" s="14">
        <v>13</v>
      </c>
      <c r="AW624" s="13"/>
      <c r="AX624" s="13"/>
      <c r="AY624" s="19">
        <v>1</v>
      </c>
      <c r="AZ624" s="14">
        <v>7</v>
      </c>
      <c r="BA624" s="14">
        <v>7</v>
      </c>
      <c r="BB624" s="13" t="s">
        <v>29</v>
      </c>
      <c r="BF624" s="13" t="s">
        <v>479</v>
      </c>
    </row>
    <row r="625" spans="1:58" ht="14.25" x14ac:dyDescent="0.2">
      <c r="A625" t="str">
        <f t="shared" si="118"/>
        <v>A92</v>
      </c>
      <c r="B625" s="2" t="s">
        <v>657</v>
      </c>
      <c r="C625">
        <f t="shared" si="119"/>
        <v>60.74</v>
      </c>
      <c r="D625" t="str">
        <f t="shared" si="128"/>
        <v>UFD</v>
      </c>
      <c r="E625" s="169" t="str">
        <f>IF(OR(A625="",B625="",C625=""),"eine der Spalten BAB, FR, km leer?",CONCATENATE(VLOOKUP(VALUE(I625),[1]Grundlage!$A$1:$B$14,2,0),IF(LEFT(A625,1)="A",IF(VALUE(MID(A625,2,10))&lt;10,"A00"&amp;VALUE(MID(A625,2,10)),IF(VALUE(MID(A625,2,10))&lt;100,"A0"&amp;VALUE(MID(A625,2,10)),IF(VALUE(MID(A625,2,10))&lt;1000,"A"&amp;VALUE(MID(A625,2,10))))),IF(LEFT(A625,1)="B",IF(VALUE(MID(A625,2,10))&lt;10,"B00"&amp;VALUE(MID(A625,2,10)),IF(VALUE(MID(A625,2,10))&lt;100,"B0"&amp;VALUE(MID(A625,2,10)),IF(VALUE(MID(A625,2,10))&lt;1000,"B"&amp;VALUE(MID(A625,2,10))))),A625)),"_",IF(NOT(OR(C625=1000,C625&gt;1000)),MID(TEXT((C625+1000)*1000,0),2,6),"keine Meter in Spalte km!!!"),IF(VALUE(I625)=1,CONCATENATE("_",VLOOKUP(IF(V625&gt;0,V625,J625),[1]Grundlage!$A$20:$B$181,2,0)),CONCATENATE("_",B625))))</f>
        <v>UQ_A092_060740_W</v>
      </c>
      <c r="F625" s="2" t="s">
        <v>30</v>
      </c>
      <c r="G625" s="167">
        <f t="shared" si="129"/>
        <v>36007</v>
      </c>
      <c r="H625">
        <f t="shared" si="130"/>
        <v>17</v>
      </c>
      <c r="I625" s="2">
        <f t="shared" si="120"/>
        <v>3</v>
      </c>
      <c r="J625" s="2">
        <f t="shared" si="121"/>
        <v>21</v>
      </c>
      <c r="K625" s="13">
        <v>209</v>
      </c>
      <c r="L625" s="2">
        <f t="shared" si="122"/>
        <v>3</v>
      </c>
      <c r="M625" s="2">
        <f t="shared" si="123"/>
        <v>1</v>
      </c>
      <c r="N625" s="2">
        <f t="shared" si="124"/>
        <v>8</v>
      </c>
      <c r="P625" s="168">
        <f t="shared" si="125"/>
        <v>67</v>
      </c>
      <c r="AS625" s="13"/>
      <c r="AT625" s="19">
        <v>3</v>
      </c>
      <c r="AU625" s="14">
        <v>21</v>
      </c>
      <c r="AV625" s="14">
        <v>15</v>
      </c>
      <c r="AW625" s="13"/>
      <c r="AX625" s="13"/>
      <c r="AY625" s="19">
        <v>1</v>
      </c>
      <c r="AZ625" s="14">
        <v>8</v>
      </c>
      <c r="BA625" s="14">
        <v>8</v>
      </c>
      <c r="BB625" s="13" t="s">
        <v>30</v>
      </c>
      <c r="BF625" s="13" t="s">
        <v>480</v>
      </c>
    </row>
    <row r="626" spans="1:58" ht="14.25" x14ac:dyDescent="0.2">
      <c r="A626" t="str">
        <f t="shared" si="118"/>
        <v>A92</v>
      </c>
      <c r="B626" s="2" t="s">
        <v>657</v>
      </c>
      <c r="C626">
        <f t="shared" si="119"/>
        <v>60.74</v>
      </c>
      <c r="D626" t="str">
        <f t="shared" si="128"/>
        <v>UFD</v>
      </c>
      <c r="E626" s="169" t="str">
        <f>IF(OR(A626="",B626="",C626=""),"eine der Spalten BAB, FR, km leer?",CONCATENATE(VLOOKUP(VALUE(I626),[1]Grundlage!$A$1:$B$14,2,0),IF(LEFT(A626,1)="A",IF(VALUE(MID(A626,2,10))&lt;10,"A00"&amp;VALUE(MID(A626,2,10)),IF(VALUE(MID(A626,2,10))&lt;100,"A0"&amp;VALUE(MID(A626,2,10)),IF(VALUE(MID(A626,2,10))&lt;1000,"A"&amp;VALUE(MID(A626,2,10))))),IF(LEFT(A626,1)="B",IF(VALUE(MID(A626,2,10))&lt;10,"B00"&amp;VALUE(MID(A626,2,10)),IF(VALUE(MID(A626,2,10))&lt;100,"B0"&amp;VALUE(MID(A626,2,10)),IF(VALUE(MID(A626,2,10))&lt;1000,"B"&amp;VALUE(MID(A626,2,10))))),A626)),"_",IF(NOT(OR(C626=1000,C626&gt;1000)),MID(TEXT((C626+1000)*1000,0),2,6),"keine Meter in Spalte km!!!"),IF(VALUE(I626)=1,CONCATENATE("_",VLOOKUP(IF(V626&gt;0,V626,J626),[1]Grundlage!$A$20:$B$181,2,0)),CONCATENATE("_",B626))))</f>
        <v>UQ_A092_060740_W</v>
      </c>
      <c r="F626" s="2" t="s">
        <v>271</v>
      </c>
      <c r="G626" s="167">
        <f t="shared" si="129"/>
        <v>36007</v>
      </c>
      <c r="H626">
        <f t="shared" si="130"/>
        <v>17</v>
      </c>
      <c r="I626" s="2">
        <f t="shared" si="120"/>
        <v>3</v>
      </c>
      <c r="J626" s="2">
        <f t="shared" si="121"/>
        <v>67</v>
      </c>
      <c r="K626" s="13">
        <v>209</v>
      </c>
      <c r="L626" s="2">
        <f t="shared" si="122"/>
        <v>3</v>
      </c>
      <c r="M626" s="2">
        <f t="shared" si="123"/>
        <v>1</v>
      </c>
      <c r="N626" s="2">
        <f t="shared" si="124"/>
        <v>9</v>
      </c>
      <c r="P626" s="168">
        <f t="shared" si="125"/>
        <v>53</v>
      </c>
      <c r="AS626" s="13"/>
      <c r="AT626" s="19">
        <v>3</v>
      </c>
      <c r="AU626" s="14">
        <v>67</v>
      </c>
      <c r="AV626" s="14">
        <v>43</v>
      </c>
      <c r="AW626" s="13"/>
      <c r="AX626" s="13"/>
      <c r="AY626" s="19">
        <v>1</v>
      </c>
      <c r="AZ626" s="14">
        <v>9</v>
      </c>
      <c r="BA626" s="14">
        <v>9</v>
      </c>
      <c r="BB626" s="13" t="s">
        <v>271</v>
      </c>
      <c r="BF626" s="13" t="s">
        <v>444</v>
      </c>
    </row>
    <row r="627" spans="1:58" ht="14.25" x14ac:dyDescent="0.2">
      <c r="A627" t="str">
        <f t="shared" si="118"/>
        <v>A92</v>
      </c>
      <c r="B627" s="2" t="s">
        <v>657</v>
      </c>
      <c r="C627">
        <f t="shared" si="119"/>
        <v>60.74</v>
      </c>
      <c r="D627" t="str">
        <f t="shared" si="128"/>
        <v>UFD</v>
      </c>
      <c r="E627" s="169" t="str">
        <f>IF(OR(A627="",B627="",C627=""),"eine der Spalten BAB, FR, km leer?",CONCATENATE(VLOOKUP(VALUE(I627),[1]Grundlage!$A$1:$B$14,2,0),IF(LEFT(A627,1)="A",IF(VALUE(MID(A627,2,10))&lt;10,"A00"&amp;VALUE(MID(A627,2,10)),IF(VALUE(MID(A627,2,10))&lt;100,"A0"&amp;VALUE(MID(A627,2,10)),IF(VALUE(MID(A627,2,10))&lt;1000,"A"&amp;VALUE(MID(A627,2,10))))),IF(LEFT(A627,1)="B",IF(VALUE(MID(A627,2,10))&lt;10,"B00"&amp;VALUE(MID(A627,2,10)),IF(VALUE(MID(A627,2,10))&lt;100,"B0"&amp;VALUE(MID(A627,2,10)),IF(VALUE(MID(A627,2,10))&lt;1000,"B"&amp;VALUE(MID(A627,2,10))))),A627)),"_",IF(NOT(OR(C627=1000,C627&gt;1000)),MID(TEXT((C627+1000)*1000,0),2,6),"keine Meter in Spalte km!!!"),IF(VALUE(I627)=1,CONCATENATE("_",VLOOKUP(IF(V627&gt;0,V627,J627),[1]Grundlage!$A$20:$B$181,2,0)),CONCATENATE("_",B627))))</f>
        <v>UQ_A092_060740_W</v>
      </c>
      <c r="F627" s="2" t="s">
        <v>272</v>
      </c>
      <c r="G627" s="167">
        <f t="shared" si="129"/>
        <v>36007</v>
      </c>
      <c r="H627">
        <f t="shared" si="130"/>
        <v>17</v>
      </c>
      <c r="I627" s="2">
        <f t="shared" si="120"/>
        <v>3</v>
      </c>
      <c r="J627" s="2">
        <f t="shared" si="121"/>
        <v>82</v>
      </c>
      <c r="K627" s="13">
        <v>209</v>
      </c>
      <c r="L627" s="2">
        <f t="shared" si="122"/>
        <v>3</v>
      </c>
      <c r="M627" s="2">
        <f t="shared" si="123"/>
        <v>1</v>
      </c>
      <c r="N627" s="2">
        <f t="shared" si="124"/>
        <v>10</v>
      </c>
      <c r="P627" s="168">
        <f t="shared" si="125"/>
        <v>72</v>
      </c>
      <c r="AS627" s="13"/>
      <c r="AT627" s="19">
        <v>3</v>
      </c>
      <c r="AU627" s="14">
        <v>82</v>
      </c>
      <c r="AV627" s="14">
        <v>52</v>
      </c>
      <c r="AW627" s="13"/>
      <c r="AX627" s="13"/>
      <c r="AY627" s="19">
        <v>1</v>
      </c>
      <c r="AZ627" s="14">
        <v>10</v>
      </c>
      <c r="BA627" s="14" t="s">
        <v>95</v>
      </c>
      <c r="BB627" s="13" t="s">
        <v>272</v>
      </c>
      <c r="BF627" s="13" t="s">
        <v>481</v>
      </c>
    </row>
    <row r="628" spans="1:58" ht="14.25" x14ac:dyDescent="0.2">
      <c r="A628" t="str">
        <f t="shared" si="118"/>
        <v>A92</v>
      </c>
      <c r="C628">
        <f t="shared" si="119"/>
        <v>60.74</v>
      </c>
      <c r="D628" t="str">
        <f t="shared" si="128"/>
        <v/>
      </c>
      <c r="E628" s="169" t="str">
        <f>IF(OR(A628="",B628="",C628=""),"",CONCATENATE(VLOOKUP(VALUE(I628),[1]Grundlage!$A$1:$B$14,2,0),IF(LEFT(A628,1)="A",IF(VALUE(MID(A628,2,10))&lt;10,"A00"&amp;VALUE(MID(A628,2,10)),IF(VALUE(MID(A628,2,10))&lt;100,"A0"&amp;VALUE(MID(A628,2,10)),IF(VALUE(MID(A628,2,10))&lt;1000,"A"&amp;VALUE(MID(A628,2,10))))),IF(LEFT(A628,1)="B",IF(VALUE(MID(A628,2,10))&lt;10,"B00"&amp;VALUE(MID(A628,2,10)),IF(VALUE(MID(A628,2,10))&lt;100,"B0"&amp;VALUE(MID(A628,2,10)),IF(VALUE(MID(A628,2,10))&lt;1000,"B"&amp;VALUE(MID(A628,2,10))))),A628)),"_",IF(NOT(OR(C628=1000,C628&gt;1000)),MID(TEXT((C628+1000)*1000,0),2,6),"keine Meter in Spalte km!!!"),IF(VALUE(I628)=1,CONCATENATE("_",VLOOKUP(IF(V628&gt;0,V628,J628),[1]Grundlage!$A$20:$B$181,2,0)),CONCATENATE("_",B628))))</f>
        <v/>
      </c>
      <c r="F628" s="2" t="s">
        <v>669</v>
      </c>
      <c r="G628" s="167">
        <f t="shared" si="129"/>
        <v>36007</v>
      </c>
      <c r="H628">
        <f t="shared" si="130"/>
        <v>17</v>
      </c>
      <c r="I628" s="2">
        <f t="shared" si="120"/>
        <v>0</v>
      </c>
      <c r="J628" s="2">
        <f t="shared" si="121"/>
        <v>0</v>
      </c>
      <c r="K628" s="13">
        <v>209</v>
      </c>
      <c r="L628" s="2">
        <f t="shared" si="122"/>
        <v>3</v>
      </c>
      <c r="M628" s="2" t="str">
        <f t="shared" si="123"/>
        <v/>
      </c>
      <c r="N628" s="2" t="str">
        <f t="shared" si="124"/>
        <v/>
      </c>
      <c r="P628" s="168" t="str">
        <f t="shared" si="125"/>
        <v/>
      </c>
      <c r="AT628" s="1"/>
      <c r="AU628" s="11"/>
      <c r="AV628" s="11"/>
      <c r="AY628" s="1"/>
      <c r="AZ628" s="14"/>
      <c r="BA628" s="11"/>
    </row>
    <row r="629" spans="1:58" ht="14.25" x14ac:dyDescent="0.2">
      <c r="A629" t="str">
        <f t="shared" si="118"/>
        <v>A92</v>
      </c>
      <c r="B629" s="2" t="s">
        <v>657</v>
      </c>
      <c r="C629">
        <f t="shared" si="119"/>
        <v>56.6</v>
      </c>
      <c r="D629" t="str">
        <f t="shared" si="128"/>
        <v>SS</v>
      </c>
      <c r="E629" s="169" t="str">
        <f>IF(OR(A629="",B629="",C629=""),"eine der Spalten BAB, FR, km leer?",CONCATENATE(VLOOKUP(VALUE(I629),[1]Grundlage!$A$1:$B$14,2,0),IF(LEFT(A629,1)="A",IF(VALUE(MID(A629,2,10))&lt;10,"A00"&amp;VALUE(MID(A629,2,10)),IF(VALUE(MID(A629,2,10))&lt;100,"A0"&amp;VALUE(MID(A629,2,10)),IF(VALUE(MID(A629,2,10))&lt;1000,"A"&amp;VALUE(MID(A629,2,10))))),IF(LEFT(A629,1)="B",IF(VALUE(MID(A629,2,10))&lt;10,"B00"&amp;VALUE(MID(A629,2,10)),IF(VALUE(MID(A629,2,10))&lt;100,"B0"&amp;VALUE(MID(A629,2,10)),IF(VALUE(MID(A629,2,10))&lt;1000,"B"&amp;VALUE(MID(A629,2,10))))),A629)),"_",IF(NOT(OR(C629=1000,C629&gt;1000)),MID(TEXT((C629+1000)*1000,0),2,6),"keine Meter in Spalte km!!!"),IF(VALUE(I629)=1,CONCATENATE("_",VLOOKUP(IF(V629&gt;0,V629,J629),[1]Grundlage!$A$20:$B$181,2,0)),CONCATENATE("_",B629))))</f>
        <v>SSt_A092_056600_W</v>
      </c>
      <c r="F629" s="2" t="s">
        <v>147</v>
      </c>
      <c r="G629" s="167">
        <f t="shared" si="129"/>
        <v>36006</v>
      </c>
      <c r="H629">
        <f t="shared" si="130"/>
        <v>149</v>
      </c>
      <c r="I629" s="2">
        <f t="shared" si="120"/>
        <v>254</v>
      </c>
      <c r="J629" s="2">
        <f t="shared" si="121"/>
        <v>0</v>
      </c>
      <c r="K629" s="13">
        <v>209</v>
      </c>
      <c r="L629" s="2">
        <f t="shared" si="122"/>
        <v>4</v>
      </c>
      <c r="M629" s="2" t="str">
        <f t="shared" si="123"/>
        <v/>
      </c>
      <c r="N629" s="2" t="str">
        <f t="shared" si="124"/>
        <v/>
      </c>
      <c r="P629" s="168" t="str">
        <f t="shared" si="125"/>
        <v/>
      </c>
      <c r="AI629" s="35">
        <v>56.6</v>
      </c>
      <c r="AJ629" s="36" t="s">
        <v>19</v>
      </c>
      <c r="AK629" s="36" t="s">
        <v>72</v>
      </c>
      <c r="AL629" s="36"/>
      <c r="AM629" s="36"/>
      <c r="AN629" s="36"/>
      <c r="AO629" s="36"/>
      <c r="AP629" s="36">
        <v>9217685</v>
      </c>
      <c r="AQ629" s="67" t="s">
        <v>230</v>
      </c>
      <c r="AR629" s="67" t="s">
        <v>244</v>
      </c>
      <c r="AS629" s="68">
        <v>95</v>
      </c>
      <c r="AT629" s="36"/>
      <c r="AU629" s="36"/>
      <c r="AV629" s="36"/>
      <c r="AW629" s="36"/>
      <c r="AX629" s="36">
        <v>4</v>
      </c>
      <c r="AY629" s="36"/>
      <c r="AZ629" s="36"/>
      <c r="BA629" s="36"/>
      <c r="BB629" s="37" t="s">
        <v>147</v>
      </c>
      <c r="BC629" s="38"/>
      <c r="BD629" s="96" t="s">
        <v>163</v>
      </c>
      <c r="BE629" s="39" t="s">
        <v>148</v>
      </c>
      <c r="BF629" s="2" t="s">
        <v>451</v>
      </c>
    </row>
    <row r="630" spans="1:58" ht="14.25" x14ac:dyDescent="0.2">
      <c r="A630" t="str">
        <f t="shared" si="118"/>
        <v>A92</v>
      </c>
      <c r="B630" s="2" t="s">
        <v>657</v>
      </c>
      <c r="C630">
        <f t="shared" si="119"/>
        <v>56.6</v>
      </c>
      <c r="D630" t="str">
        <f t="shared" si="128"/>
        <v>UFD</v>
      </c>
      <c r="E630" s="169" t="str">
        <f>IF(OR(A630="",B630="",C630=""),"eine der Spalten BAB, FR, km leer?",CONCATENATE(VLOOKUP(VALUE(I630),[1]Grundlage!$A$1:$B$14,2,0),IF(LEFT(A630,1)="A",IF(VALUE(MID(A630,2,10))&lt;10,"A00"&amp;VALUE(MID(A630,2,10)),IF(VALUE(MID(A630,2,10))&lt;100,"A0"&amp;VALUE(MID(A630,2,10)),IF(VALUE(MID(A630,2,10))&lt;1000,"A"&amp;VALUE(MID(A630,2,10))))),IF(LEFT(A630,1)="B",IF(VALUE(MID(A630,2,10))&lt;10,"B00"&amp;VALUE(MID(A630,2,10)),IF(VALUE(MID(A630,2,10))&lt;100,"B0"&amp;VALUE(MID(A630,2,10)),IF(VALUE(MID(A630,2,10))&lt;1000,"B"&amp;VALUE(MID(A630,2,10))))),A630)),"_",IF(NOT(OR(C630=1000,C630&gt;1000)),MID(TEXT((C630+1000)*1000,0),2,6),"keine Meter in Spalte km!!!"),IF(VALUE(I630)=1,CONCATENATE("_",VLOOKUP(IF(V630&gt;0,V630,J630),[1]Grundlage!$A$20:$B$181,2,0)),CONCATENATE("_",B630))))</f>
        <v>UQ_A092_056600_W</v>
      </c>
      <c r="F630" s="2" t="s">
        <v>269</v>
      </c>
      <c r="G630" s="167">
        <f t="shared" si="129"/>
        <v>36006</v>
      </c>
      <c r="H630">
        <f t="shared" si="130"/>
        <v>149</v>
      </c>
      <c r="I630" s="2">
        <f t="shared" si="120"/>
        <v>3</v>
      </c>
      <c r="J630" s="2">
        <f t="shared" si="121"/>
        <v>6</v>
      </c>
      <c r="K630" s="13">
        <v>209</v>
      </c>
      <c r="L630" s="2">
        <f t="shared" si="122"/>
        <v>4</v>
      </c>
      <c r="M630" s="2">
        <f t="shared" si="123"/>
        <v>1</v>
      </c>
      <c r="N630" s="2">
        <f t="shared" si="124"/>
        <v>1</v>
      </c>
      <c r="P630" s="168">
        <f t="shared" si="125"/>
        <v>71</v>
      </c>
      <c r="AT630" s="19">
        <v>3</v>
      </c>
      <c r="AU630" s="14">
        <v>6</v>
      </c>
      <c r="AV630" s="27"/>
      <c r="AW630" s="19"/>
      <c r="AX630" s="19"/>
      <c r="AY630" s="19">
        <v>1</v>
      </c>
      <c r="AZ630" s="14">
        <v>1</v>
      </c>
      <c r="BA630" s="27"/>
      <c r="BB630" s="13" t="s">
        <v>269</v>
      </c>
      <c r="BF630" s="2" t="s">
        <v>440</v>
      </c>
    </row>
    <row r="631" spans="1:58" ht="14.25" x14ac:dyDescent="0.2">
      <c r="A631" t="str">
        <f t="shared" si="118"/>
        <v>A92</v>
      </c>
      <c r="B631" s="2" t="s">
        <v>657</v>
      </c>
      <c r="C631">
        <f t="shared" si="119"/>
        <v>56.6</v>
      </c>
      <c r="D631" t="str">
        <f t="shared" si="128"/>
        <v>UFD</v>
      </c>
      <c r="E631" s="169" t="str">
        <f>IF(OR(A631="",B631="",C631=""),"eine der Spalten BAB, FR, km leer?",CONCATENATE(VLOOKUP(VALUE(I631),[1]Grundlage!$A$1:$B$14,2,0),IF(LEFT(A631,1)="A",IF(VALUE(MID(A631,2,10))&lt;10,"A00"&amp;VALUE(MID(A631,2,10)),IF(VALUE(MID(A631,2,10))&lt;100,"A0"&amp;VALUE(MID(A631,2,10)),IF(VALUE(MID(A631,2,10))&lt;1000,"A"&amp;VALUE(MID(A631,2,10))))),IF(LEFT(A631,1)="B",IF(VALUE(MID(A631,2,10))&lt;10,"B00"&amp;VALUE(MID(A631,2,10)),IF(VALUE(MID(A631,2,10))&lt;100,"B0"&amp;VALUE(MID(A631,2,10)),IF(VALUE(MID(A631,2,10))&lt;1000,"B"&amp;VALUE(MID(A631,2,10))))),A631)),"_",IF(NOT(OR(C631=1000,C631&gt;1000)),MID(TEXT((C631+1000)*1000,0),2,6),"keine Meter in Spalte km!!!"),IF(VALUE(I631)=1,CONCATENATE("_",VLOOKUP(IF(V631&gt;0,V631,J631),[1]Grundlage!$A$20:$B$181,2,0)),CONCATENATE("_",B631))))</f>
        <v>UQ_A092_056600_W</v>
      </c>
      <c r="F631" s="2" t="s">
        <v>270</v>
      </c>
      <c r="G631" s="167">
        <f t="shared" si="129"/>
        <v>36006</v>
      </c>
      <c r="H631">
        <f t="shared" si="130"/>
        <v>149</v>
      </c>
      <c r="I631" s="2">
        <f t="shared" si="120"/>
        <v>3</v>
      </c>
      <c r="J631" s="2">
        <f t="shared" si="121"/>
        <v>11</v>
      </c>
      <c r="K631" s="13">
        <v>209</v>
      </c>
      <c r="L631" s="2">
        <f t="shared" si="122"/>
        <v>4</v>
      </c>
      <c r="M631" s="2">
        <f t="shared" si="123"/>
        <v>1</v>
      </c>
      <c r="N631" s="2">
        <f t="shared" si="124"/>
        <v>2</v>
      </c>
      <c r="P631" s="168">
        <f t="shared" si="125"/>
        <v>70</v>
      </c>
      <c r="AT631" s="19">
        <v>3</v>
      </c>
      <c r="AU631" s="14">
        <v>11</v>
      </c>
      <c r="AV631" s="14"/>
      <c r="AW631" s="13"/>
      <c r="AX631" s="13"/>
      <c r="AY631" s="19">
        <v>1</v>
      </c>
      <c r="AZ631" s="14">
        <v>2</v>
      </c>
      <c r="BA631" s="14"/>
      <c r="BB631" s="13" t="s">
        <v>270</v>
      </c>
      <c r="BF631" s="2" t="s">
        <v>478</v>
      </c>
    </row>
    <row r="632" spans="1:58" ht="14.25" x14ac:dyDescent="0.2">
      <c r="A632" t="str">
        <f t="shared" si="118"/>
        <v>A92</v>
      </c>
      <c r="B632" s="2" t="s">
        <v>657</v>
      </c>
      <c r="C632">
        <f t="shared" si="119"/>
        <v>56.6</v>
      </c>
      <c r="D632" t="str">
        <f t="shared" si="128"/>
        <v>UFD</v>
      </c>
      <c r="E632" s="169" t="str">
        <f>IF(OR(A632="",B632="",C632=""),"eine der Spalten BAB, FR, km leer?",CONCATENATE(VLOOKUP(VALUE(I632),[1]Grundlage!$A$1:$B$14,2,0),IF(LEFT(A632,1)="A",IF(VALUE(MID(A632,2,10))&lt;10,"A00"&amp;VALUE(MID(A632,2,10)),IF(VALUE(MID(A632,2,10))&lt;100,"A0"&amp;VALUE(MID(A632,2,10)),IF(VALUE(MID(A632,2,10))&lt;1000,"A"&amp;VALUE(MID(A632,2,10))))),IF(LEFT(A632,1)="B",IF(VALUE(MID(A632,2,10))&lt;10,"B00"&amp;VALUE(MID(A632,2,10)),IF(VALUE(MID(A632,2,10))&lt;100,"B0"&amp;VALUE(MID(A632,2,10)),IF(VALUE(MID(A632,2,10))&lt;1000,"B"&amp;VALUE(MID(A632,2,10))))),A632)),"_",IF(NOT(OR(C632=1000,C632&gt;1000)),MID(TEXT((C632+1000)*1000,0),2,6),"keine Meter in Spalte km!!!"),IF(VALUE(I632)=1,CONCATENATE("_",VLOOKUP(IF(V632&gt;0,V632,J632),[1]Grundlage!$A$20:$B$181,2,0)),CONCATENATE("_",B632))))</f>
        <v>UQ_A092_056600_W</v>
      </c>
      <c r="F632" s="2" t="s">
        <v>25</v>
      </c>
      <c r="G632" s="167">
        <f t="shared" si="129"/>
        <v>36006</v>
      </c>
      <c r="H632">
        <f t="shared" si="130"/>
        <v>149</v>
      </c>
      <c r="I632" s="2">
        <f t="shared" si="120"/>
        <v>3</v>
      </c>
      <c r="J632" s="2">
        <f t="shared" si="121"/>
        <v>12</v>
      </c>
      <c r="K632" s="13">
        <v>209</v>
      </c>
      <c r="L632" s="2">
        <f t="shared" si="122"/>
        <v>4</v>
      </c>
      <c r="M632" s="2">
        <f t="shared" si="123"/>
        <v>1</v>
      </c>
      <c r="N632" s="2">
        <f t="shared" si="124"/>
        <v>3</v>
      </c>
      <c r="P632" s="168">
        <f t="shared" si="125"/>
        <v>48</v>
      </c>
      <c r="AT632" s="19">
        <v>3</v>
      </c>
      <c r="AU632" s="14">
        <v>12</v>
      </c>
      <c r="AV632" s="14"/>
      <c r="AW632" s="13"/>
      <c r="AX632" s="13"/>
      <c r="AY632" s="19">
        <v>1</v>
      </c>
      <c r="AZ632" s="14">
        <v>3</v>
      </c>
      <c r="BA632" s="14"/>
      <c r="BB632" s="13" t="s">
        <v>25</v>
      </c>
      <c r="BF632" s="13" t="s">
        <v>441</v>
      </c>
    </row>
    <row r="633" spans="1:58" ht="14.25" x14ac:dyDescent="0.2">
      <c r="A633" t="str">
        <f t="shared" si="118"/>
        <v>A92</v>
      </c>
      <c r="B633" s="2" t="s">
        <v>657</v>
      </c>
      <c r="C633">
        <f t="shared" si="119"/>
        <v>56.6</v>
      </c>
      <c r="D633" t="str">
        <f t="shared" si="128"/>
        <v>UFD</v>
      </c>
      <c r="E633" s="169" t="str">
        <f>IF(OR(A633="",B633="",C633=""),"eine der Spalten BAB, FR, km leer?",CONCATENATE(VLOOKUP(VALUE(I633),[1]Grundlage!$A$1:$B$14,2,0),IF(LEFT(A633,1)="A",IF(VALUE(MID(A633,2,10))&lt;10,"A00"&amp;VALUE(MID(A633,2,10)),IF(VALUE(MID(A633,2,10))&lt;100,"A0"&amp;VALUE(MID(A633,2,10)),IF(VALUE(MID(A633,2,10))&lt;1000,"A"&amp;VALUE(MID(A633,2,10))))),IF(LEFT(A633,1)="B",IF(VALUE(MID(A633,2,10))&lt;10,"B00"&amp;VALUE(MID(A633,2,10)),IF(VALUE(MID(A633,2,10))&lt;100,"B0"&amp;VALUE(MID(A633,2,10)),IF(VALUE(MID(A633,2,10))&lt;1000,"B"&amp;VALUE(MID(A633,2,10))))),A633)),"_",IF(NOT(OR(C633=1000,C633&gt;1000)),MID(TEXT((C633+1000)*1000,0),2,6),"keine Meter in Spalte km!!!"),IF(VALUE(I633)=1,CONCATENATE("_",VLOOKUP(IF(V633&gt;0,V633,J633),[1]Grundlage!$A$20:$B$181,2,0)),CONCATENATE("_",B633))))</f>
        <v>UQ_A092_056600_W</v>
      </c>
      <c r="F633" s="2" t="s">
        <v>26</v>
      </c>
      <c r="G633" s="167">
        <f t="shared" si="129"/>
        <v>36006</v>
      </c>
      <c r="H633">
        <f t="shared" si="130"/>
        <v>149</v>
      </c>
      <c r="I633" s="2">
        <f t="shared" si="120"/>
        <v>3</v>
      </c>
      <c r="J633" s="2">
        <f t="shared" si="121"/>
        <v>13</v>
      </c>
      <c r="K633" s="13">
        <v>209</v>
      </c>
      <c r="L633" s="2">
        <f t="shared" si="122"/>
        <v>4</v>
      </c>
      <c r="M633" s="2">
        <f t="shared" si="123"/>
        <v>1</v>
      </c>
      <c r="N633" s="2">
        <f t="shared" si="124"/>
        <v>4</v>
      </c>
      <c r="P633" s="168">
        <f t="shared" si="125"/>
        <v>55</v>
      </c>
      <c r="AT633" s="19">
        <v>3</v>
      </c>
      <c r="AU633" s="14">
        <v>13</v>
      </c>
      <c r="AV633" s="14"/>
      <c r="AW633" s="13"/>
      <c r="AX633" s="13"/>
      <c r="AY633" s="19">
        <v>1</v>
      </c>
      <c r="AZ633" s="14">
        <v>4</v>
      </c>
      <c r="BA633" s="14"/>
      <c r="BB633" s="13" t="s">
        <v>26</v>
      </c>
      <c r="BF633" s="13" t="s">
        <v>442</v>
      </c>
    </row>
    <row r="634" spans="1:58" ht="14.25" x14ac:dyDescent="0.2">
      <c r="A634" t="str">
        <f t="shared" si="118"/>
        <v>A92</v>
      </c>
      <c r="B634" s="2" t="s">
        <v>657</v>
      </c>
      <c r="C634">
        <f t="shared" si="119"/>
        <v>56.6</v>
      </c>
      <c r="D634" t="str">
        <f t="shared" si="128"/>
        <v>UFD</v>
      </c>
      <c r="E634" s="169" t="str">
        <f>IF(OR(A634="",B634="",C634=""),"eine der Spalten BAB, FR, km leer?",CONCATENATE(VLOOKUP(VALUE(I634),[1]Grundlage!$A$1:$B$14,2,0),IF(LEFT(A634,1)="A",IF(VALUE(MID(A634,2,10))&lt;10,"A00"&amp;VALUE(MID(A634,2,10)),IF(VALUE(MID(A634,2,10))&lt;100,"A0"&amp;VALUE(MID(A634,2,10)),IF(VALUE(MID(A634,2,10))&lt;1000,"A"&amp;VALUE(MID(A634,2,10))))),IF(LEFT(A634,1)="B",IF(VALUE(MID(A634,2,10))&lt;10,"B00"&amp;VALUE(MID(A634,2,10)),IF(VALUE(MID(A634,2,10))&lt;100,"B0"&amp;VALUE(MID(A634,2,10)),IF(VALUE(MID(A634,2,10))&lt;1000,"B"&amp;VALUE(MID(A634,2,10))))),A634)),"_",IF(NOT(OR(C634=1000,C634&gt;1000)),MID(TEXT((C634+1000)*1000,0),2,6),"keine Meter in Spalte km!!!"),IF(VALUE(I634)=1,CONCATENATE("_",VLOOKUP(IF(V634&gt;0,V634,J634),[1]Grundlage!$A$20:$B$181,2,0)),CONCATENATE("_",B634))))</f>
        <v>UQ_A092_056600_W</v>
      </c>
      <c r="F634" s="2" t="s">
        <v>27</v>
      </c>
      <c r="G634" s="167">
        <f t="shared" si="129"/>
        <v>36006</v>
      </c>
      <c r="H634">
        <f t="shared" si="130"/>
        <v>149</v>
      </c>
      <c r="I634" s="2">
        <f t="shared" si="120"/>
        <v>3</v>
      </c>
      <c r="J634" s="2">
        <f t="shared" si="121"/>
        <v>14</v>
      </c>
      <c r="K634" s="13">
        <v>209</v>
      </c>
      <c r="L634" s="2">
        <f t="shared" si="122"/>
        <v>4</v>
      </c>
      <c r="M634" s="2">
        <f t="shared" si="123"/>
        <v>1</v>
      </c>
      <c r="N634" s="2">
        <f t="shared" si="124"/>
        <v>5</v>
      </c>
      <c r="P634" s="168">
        <f t="shared" si="125"/>
        <v>66</v>
      </c>
      <c r="AT634" s="19">
        <v>3</v>
      </c>
      <c r="AU634" s="14">
        <v>14</v>
      </c>
      <c r="AV634" s="14"/>
      <c r="AW634" s="13"/>
      <c r="AX634" s="13"/>
      <c r="AY634" s="19">
        <v>1</v>
      </c>
      <c r="AZ634" s="14">
        <v>5</v>
      </c>
      <c r="BA634" s="14"/>
      <c r="BB634" s="13" t="s">
        <v>27</v>
      </c>
      <c r="BF634" s="13" t="s">
        <v>443</v>
      </c>
    </row>
    <row r="635" spans="1:58" ht="14.25" x14ac:dyDescent="0.2">
      <c r="A635" t="str">
        <f t="shared" si="118"/>
        <v>A92</v>
      </c>
      <c r="B635" s="2" t="s">
        <v>657</v>
      </c>
      <c r="C635">
        <f t="shared" si="119"/>
        <v>56.6</v>
      </c>
      <c r="D635" t="str">
        <f t="shared" si="128"/>
        <v>UFD</v>
      </c>
      <c r="E635" s="169" t="str">
        <f>IF(OR(A635="",B635="",C635=""),"eine der Spalten BAB, FR, km leer?",CONCATENATE(VLOOKUP(VALUE(I635),[1]Grundlage!$A$1:$B$14,2,0),IF(LEFT(A635,1)="A",IF(VALUE(MID(A635,2,10))&lt;10,"A00"&amp;VALUE(MID(A635,2,10)),IF(VALUE(MID(A635,2,10))&lt;100,"A0"&amp;VALUE(MID(A635,2,10)),IF(VALUE(MID(A635,2,10))&lt;1000,"A"&amp;VALUE(MID(A635,2,10))))),IF(LEFT(A635,1)="B",IF(VALUE(MID(A635,2,10))&lt;10,"B00"&amp;VALUE(MID(A635,2,10)),IF(VALUE(MID(A635,2,10))&lt;100,"B0"&amp;VALUE(MID(A635,2,10)),IF(VALUE(MID(A635,2,10))&lt;1000,"B"&amp;VALUE(MID(A635,2,10))))),A635)),"_",IF(NOT(OR(C635=1000,C635&gt;1000)),MID(TEXT((C635+1000)*1000,0),2,6),"keine Meter in Spalte km!!!"),IF(VALUE(I635)=1,CONCATENATE("_",VLOOKUP(IF(V635&gt;0,V635,J635),[1]Grundlage!$A$20:$B$181,2,0)),CONCATENATE("_",B635))))</f>
        <v>UQ_A092_056600_W</v>
      </c>
      <c r="F635" s="2" t="s">
        <v>28</v>
      </c>
      <c r="G635" s="167">
        <f t="shared" si="129"/>
        <v>36006</v>
      </c>
      <c r="H635">
        <f t="shared" si="130"/>
        <v>149</v>
      </c>
      <c r="I635" s="2">
        <f t="shared" si="120"/>
        <v>3</v>
      </c>
      <c r="J635" s="2">
        <f t="shared" si="121"/>
        <v>15</v>
      </c>
      <c r="K635" s="13">
        <v>209</v>
      </c>
      <c r="L635" s="2">
        <f t="shared" si="122"/>
        <v>4</v>
      </c>
      <c r="M635" s="2">
        <f t="shared" si="123"/>
        <v>1</v>
      </c>
      <c r="N635" s="2">
        <f t="shared" si="124"/>
        <v>6</v>
      </c>
      <c r="P635" s="168">
        <f t="shared" si="125"/>
        <v>65</v>
      </c>
      <c r="AT635" s="19">
        <v>3</v>
      </c>
      <c r="AU635" s="14">
        <v>15</v>
      </c>
      <c r="AV635" s="14"/>
      <c r="AW635" s="13"/>
      <c r="AX635" s="13"/>
      <c r="AY635" s="19">
        <v>1</v>
      </c>
      <c r="AZ635" s="14">
        <v>6</v>
      </c>
      <c r="BA635" s="14"/>
      <c r="BB635" s="13" t="s">
        <v>28</v>
      </c>
      <c r="BF635" s="13" t="s">
        <v>482</v>
      </c>
    </row>
    <row r="636" spans="1:58" ht="14.25" x14ac:dyDescent="0.2">
      <c r="A636" t="str">
        <f t="shared" si="118"/>
        <v>A92</v>
      </c>
      <c r="B636" s="2" t="s">
        <v>657</v>
      </c>
      <c r="C636">
        <f t="shared" si="119"/>
        <v>56.6</v>
      </c>
      <c r="D636" t="str">
        <f t="shared" si="128"/>
        <v>UFD</v>
      </c>
      <c r="E636" s="169" t="str">
        <f>IF(OR(A636="",B636="",C636=""),"eine der Spalten BAB, FR, km leer?",CONCATENATE(VLOOKUP(VALUE(I636),[1]Grundlage!$A$1:$B$14,2,0),IF(LEFT(A636,1)="A",IF(VALUE(MID(A636,2,10))&lt;10,"A00"&amp;VALUE(MID(A636,2,10)),IF(VALUE(MID(A636,2,10))&lt;100,"A0"&amp;VALUE(MID(A636,2,10)),IF(VALUE(MID(A636,2,10))&lt;1000,"A"&amp;VALUE(MID(A636,2,10))))),IF(LEFT(A636,1)="B",IF(VALUE(MID(A636,2,10))&lt;10,"B00"&amp;VALUE(MID(A636,2,10)),IF(VALUE(MID(A636,2,10))&lt;100,"B0"&amp;VALUE(MID(A636,2,10)),IF(VALUE(MID(A636,2,10))&lt;1000,"B"&amp;VALUE(MID(A636,2,10))))),A636)),"_",IF(NOT(OR(C636=1000,C636&gt;1000)),MID(TEXT((C636+1000)*1000,0),2,6),"keine Meter in Spalte km!!!"),IF(VALUE(I636)=1,CONCATENATE("_",VLOOKUP(IF(V636&gt;0,V636,J636),[1]Grundlage!$A$20:$B$181,2,0)),CONCATENATE("_",B636))))</f>
        <v>UQ_A092_056600_W</v>
      </c>
      <c r="F636" s="2" t="s">
        <v>29</v>
      </c>
      <c r="G636" s="167">
        <f t="shared" si="129"/>
        <v>36006</v>
      </c>
      <c r="H636">
        <f t="shared" si="130"/>
        <v>149</v>
      </c>
      <c r="I636" s="2">
        <f t="shared" si="120"/>
        <v>3</v>
      </c>
      <c r="J636" s="2">
        <f t="shared" si="121"/>
        <v>19</v>
      </c>
      <c r="K636" s="13">
        <v>209</v>
      </c>
      <c r="L636" s="2">
        <f t="shared" si="122"/>
        <v>4</v>
      </c>
      <c r="M636" s="2">
        <f t="shared" si="123"/>
        <v>1</v>
      </c>
      <c r="N636" s="2">
        <f t="shared" si="124"/>
        <v>7</v>
      </c>
      <c r="P636" s="168">
        <f t="shared" si="125"/>
        <v>49</v>
      </c>
      <c r="AT636" s="19">
        <v>3</v>
      </c>
      <c r="AU636" s="14">
        <v>19</v>
      </c>
      <c r="AV636" s="14"/>
      <c r="AW636" s="13"/>
      <c r="AX636" s="13"/>
      <c r="AY636" s="19">
        <v>1</v>
      </c>
      <c r="AZ636" s="14">
        <v>7</v>
      </c>
      <c r="BA636" s="14"/>
      <c r="BB636" s="13" t="s">
        <v>29</v>
      </c>
      <c r="BF636" s="13" t="s">
        <v>479</v>
      </c>
    </row>
    <row r="637" spans="1:58" ht="14.25" x14ac:dyDescent="0.2">
      <c r="A637" t="str">
        <f t="shared" si="118"/>
        <v>A92</v>
      </c>
      <c r="B637" s="2" t="s">
        <v>657</v>
      </c>
      <c r="C637">
        <f t="shared" si="119"/>
        <v>56.6</v>
      </c>
      <c r="D637" t="str">
        <f t="shared" si="128"/>
        <v>UFD</v>
      </c>
      <c r="E637" s="169" t="str">
        <f>IF(OR(A637="",B637="",C637=""),"eine der Spalten BAB, FR, km leer?",CONCATENATE(VLOOKUP(VALUE(I637),[1]Grundlage!$A$1:$B$14,2,0),IF(LEFT(A637,1)="A",IF(VALUE(MID(A637,2,10))&lt;10,"A00"&amp;VALUE(MID(A637,2,10)),IF(VALUE(MID(A637,2,10))&lt;100,"A0"&amp;VALUE(MID(A637,2,10)),IF(VALUE(MID(A637,2,10))&lt;1000,"A"&amp;VALUE(MID(A637,2,10))))),IF(LEFT(A637,1)="B",IF(VALUE(MID(A637,2,10))&lt;10,"B00"&amp;VALUE(MID(A637,2,10)),IF(VALUE(MID(A637,2,10))&lt;100,"B0"&amp;VALUE(MID(A637,2,10)),IF(VALUE(MID(A637,2,10))&lt;1000,"B"&amp;VALUE(MID(A637,2,10))))),A637)),"_",IF(NOT(OR(C637=1000,C637&gt;1000)),MID(TEXT((C637+1000)*1000,0),2,6),"keine Meter in Spalte km!!!"),IF(VALUE(I637)=1,CONCATENATE("_",VLOOKUP(IF(V637&gt;0,V637,J637),[1]Grundlage!$A$20:$B$181,2,0)),CONCATENATE("_",B637))))</f>
        <v>UQ_A092_056600_W</v>
      </c>
      <c r="F637" s="2" t="s">
        <v>30</v>
      </c>
      <c r="G637" s="167">
        <f t="shared" si="129"/>
        <v>36006</v>
      </c>
      <c r="H637">
        <f t="shared" si="130"/>
        <v>149</v>
      </c>
      <c r="I637" s="2">
        <f t="shared" si="120"/>
        <v>3</v>
      </c>
      <c r="J637" s="2">
        <f t="shared" si="121"/>
        <v>21</v>
      </c>
      <c r="K637" s="13">
        <v>209</v>
      </c>
      <c r="L637" s="2">
        <f t="shared" si="122"/>
        <v>4</v>
      </c>
      <c r="M637" s="2">
        <f t="shared" si="123"/>
        <v>1</v>
      </c>
      <c r="N637" s="2">
        <f t="shared" si="124"/>
        <v>8</v>
      </c>
      <c r="P637" s="168">
        <f t="shared" si="125"/>
        <v>67</v>
      </c>
      <c r="AT637" s="19">
        <v>3</v>
      </c>
      <c r="AU637" s="14">
        <v>21</v>
      </c>
      <c r="AV637" s="14"/>
      <c r="AW637" s="13"/>
      <c r="AX637" s="13"/>
      <c r="AY637" s="19">
        <v>1</v>
      </c>
      <c r="AZ637" s="14">
        <v>8</v>
      </c>
      <c r="BA637" s="14"/>
      <c r="BB637" s="13" t="s">
        <v>30</v>
      </c>
      <c r="BF637" s="13" t="s">
        <v>480</v>
      </c>
    </row>
    <row r="638" spans="1:58" ht="14.25" x14ac:dyDescent="0.2">
      <c r="A638" t="str">
        <f t="shared" si="118"/>
        <v>A92</v>
      </c>
      <c r="B638" s="2" t="s">
        <v>657</v>
      </c>
      <c r="C638">
        <f t="shared" si="119"/>
        <v>56.6</v>
      </c>
      <c r="D638" t="str">
        <f t="shared" si="128"/>
        <v>UFD</v>
      </c>
      <c r="E638" s="169" t="str">
        <f>IF(OR(A638="",B638="",C638=""),"eine der Spalten BAB, FR, km leer?",CONCATENATE(VLOOKUP(VALUE(I638),[1]Grundlage!$A$1:$B$14,2,0),IF(LEFT(A638,1)="A",IF(VALUE(MID(A638,2,10))&lt;10,"A00"&amp;VALUE(MID(A638,2,10)),IF(VALUE(MID(A638,2,10))&lt;100,"A0"&amp;VALUE(MID(A638,2,10)),IF(VALUE(MID(A638,2,10))&lt;1000,"A"&amp;VALUE(MID(A638,2,10))))),IF(LEFT(A638,1)="B",IF(VALUE(MID(A638,2,10))&lt;10,"B00"&amp;VALUE(MID(A638,2,10)),IF(VALUE(MID(A638,2,10))&lt;100,"B0"&amp;VALUE(MID(A638,2,10)),IF(VALUE(MID(A638,2,10))&lt;1000,"B"&amp;VALUE(MID(A638,2,10))))),A638)),"_",IF(NOT(OR(C638=1000,C638&gt;1000)),MID(TEXT((C638+1000)*1000,0),2,6),"keine Meter in Spalte km!!!"),IF(VALUE(I638)=1,CONCATENATE("_",VLOOKUP(IF(V638&gt;0,V638,J638),[1]Grundlage!$A$20:$B$181,2,0)),CONCATENATE("_",B638))))</f>
        <v>UQ_A092_056600_W</v>
      </c>
      <c r="F638" s="2" t="s">
        <v>41</v>
      </c>
      <c r="G638" s="167">
        <f t="shared" si="129"/>
        <v>36006</v>
      </c>
      <c r="H638">
        <f t="shared" si="130"/>
        <v>149</v>
      </c>
      <c r="I638" s="2">
        <f t="shared" si="120"/>
        <v>3</v>
      </c>
      <c r="J638" s="2">
        <f t="shared" si="121"/>
        <v>24</v>
      </c>
      <c r="K638" s="13">
        <v>209</v>
      </c>
      <c r="L638" s="2">
        <f t="shared" si="122"/>
        <v>4</v>
      </c>
      <c r="M638" s="2">
        <f t="shared" si="123"/>
        <v>1</v>
      </c>
      <c r="N638" s="2">
        <f t="shared" si="124"/>
        <v>9</v>
      </c>
      <c r="P638" s="168">
        <f t="shared" si="125"/>
        <v>69</v>
      </c>
      <c r="AT638" s="19">
        <v>3</v>
      </c>
      <c r="AU638" s="14">
        <v>24</v>
      </c>
      <c r="AV638" s="14"/>
      <c r="AW638" s="13"/>
      <c r="AX638" s="13"/>
      <c r="AY638" s="19">
        <v>1</v>
      </c>
      <c r="AZ638" s="14">
        <v>9</v>
      </c>
      <c r="BA638" s="14"/>
      <c r="BB638" s="13" t="s">
        <v>41</v>
      </c>
      <c r="BF638" s="13" t="s">
        <v>465</v>
      </c>
    </row>
    <row r="639" spans="1:58" ht="14.25" x14ac:dyDescent="0.2">
      <c r="A639" t="str">
        <f t="shared" si="118"/>
        <v>A92</v>
      </c>
      <c r="B639" s="2" t="s">
        <v>657</v>
      </c>
      <c r="C639">
        <f t="shared" si="119"/>
        <v>56.6</v>
      </c>
      <c r="D639" t="str">
        <f t="shared" si="128"/>
        <v>UFD</v>
      </c>
      <c r="E639" s="169" t="str">
        <f>IF(OR(A639="",B639="",C639=""),"eine der Spalten BAB, FR, km leer?",CONCATENATE(VLOOKUP(VALUE(I639),[1]Grundlage!$A$1:$B$14,2,0),IF(LEFT(A639,1)="A",IF(VALUE(MID(A639,2,10))&lt;10,"A00"&amp;VALUE(MID(A639,2,10)),IF(VALUE(MID(A639,2,10))&lt;100,"A0"&amp;VALUE(MID(A639,2,10)),IF(VALUE(MID(A639,2,10))&lt;1000,"A"&amp;VALUE(MID(A639,2,10))))),IF(LEFT(A639,1)="B",IF(VALUE(MID(A639,2,10))&lt;10,"B00"&amp;VALUE(MID(A639,2,10)),IF(VALUE(MID(A639,2,10))&lt;100,"B0"&amp;VALUE(MID(A639,2,10)),IF(VALUE(MID(A639,2,10))&lt;1000,"B"&amp;VALUE(MID(A639,2,10))))),A639)),"_",IF(NOT(OR(C639=1000,C639&gt;1000)),MID(TEXT((C639+1000)*1000,0),2,6),"keine Meter in Spalte km!!!"),IF(VALUE(I639)=1,CONCATENATE("_",VLOOKUP(IF(V639&gt;0,V639,J639),[1]Grundlage!$A$20:$B$181,2,0)),CONCATENATE("_",B639))))</f>
        <v>UQ_A092_056600_W</v>
      </c>
      <c r="F639" s="2" t="s">
        <v>271</v>
      </c>
      <c r="G639" s="167">
        <f t="shared" si="129"/>
        <v>36006</v>
      </c>
      <c r="H639">
        <f t="shared" si="130"/>
        <v>149</v>
      </c>
      <c r="I639" s="2">
        <f t="shared" si="120"/>
        <v>3</v>
      </c>
      <c r="J639" s="2">
        <f t="shared" si="121"/>
        <v>67</v>
      </c>
      <c r="K639" s="13">
        <v>209</v>
      </c>
      <c r="L639" s="2">
        <f t="shared" si="122"/>
        <v>4</v>
      </c>
      <c r="M639" s="2">
        <f t="shared" si="123"/>
        <v>1</v>
      </c>
      <c r="N639" s="2">
        <f t="shared" si="124"/>
        <v>10</v>
      </c>
      <c r="P639" s="168">
        <f t="shared" si="125"/>
        <v>53</v>
      </c>
      <c r="AT639" s="19">
        <v>3</v>
      </c>
      <c r="AU639" s="14">
        <v>67</v>
      </c>
      <c r="AV639" s="14"/>
      <c r="AW639" s="13"/>
      <c r="AX639" s="13"/>
      <c r="AY639" s="19">
        <v>1</v>
      </c>
      <c r="AZ639" s="14">
        <v>10</v>
      </c>
      <c r="BA639" s="14"/>
      <c r="BB639" s="13" t="s">
        <v>271</v>
      </c>
      <c r="BF639" s="13" t="s">
        <v>444</v>
      </c>
    </row>
    <row r="640" spans="1:58" ht="14.25" x14ac:dyDescent="0.2">
      <c r="A640" t="str">
        <f t="shared" si="118"/>
        <v>A92</v>
      </c>
      <c r="B640" s="2" t="s">
        <v>657</v>
      </c>
      <c r="C640">
        <f t="shared" si="119"/>
        <v>56.6</v>
      </c>
      <c r="D640" t="str">
        <f t="shared" si="128"/>
        <v>UFD</v>
      </c>
      <c r="E640" s="169" t="str">
        <f>IF(OR(A640="",B640="",C640=""),"eine der Spalten BAB, FR, km leer?",CONCATENATE(VLOOKUP(VALUE(I640),[1]Grundlage!$A$1:$B$14,2,0),IF(LEFT(A640,1)="A",IF(VALUE(MID(A640,2,10))&lt;10,"A00"&amp;VALUE(MID(A640,2,10)),IF(VALUE(MID(A640,2,10))&lt;100,"A0"&amp;VALUE(MID(A640,2,10)),IF(VALUE(MID(A640,2,10))&lt;1000,"A"&amp;VALUE(MID(A640,2,10))))),IF(LEFT(A640,1)="B",IF(VALUE(MID(A640,2,10))&lt;10,"B00"&amp;VALUE(MID(A640,2,10)),IF(VALUE(MID(A640,2,10))&lt;100,"B0"&amp;VALUE(MID(A640,2,10)),IF(VALUE(MID(A640,2,10))&lt;1000,"B"&amp;VALUE(MID(A640,2,10))))),A640)),"_",IF(NOT(OR(C640=1000,C640&gt;1000)),MID(TEXT((C640+1000)*1000,0),2,6),"keine Meter in Spalte km!!!"),IF(VALUE(I640)=1,CONCATENATE("_",VLOOKUP(IF(V640&gt;0,V640,J640),[1]Grundlage!$A$20:$B$181,2,0)),CONCATENATE("_",B640))))</f>
        <v>UQ_A092_056600_W</v>
      </c>
      <c r="F640" s="2" t="s">
        <v>272</v>
      </c>
      <c r="G640" s="167">
        <f t="shared" si="129"/>
        <v>36006</v>
      </c>
      <c r="H640">
        <f t="shared" si="130"/>
        <v>149</v>
      </c>
      <c r="I640" s="2">
        <f t="shared" si="120"/>
        <v>3</v>
      </c>
      <c r="J640" s="2">
        <f t="shared" si="121"/>
        <v>82</v>
      </c>
      <c r="K640" s="13">
        <v>209</v>
      </c>
      <c r="L640" s="2">
        <f t="shared" si="122"/>
        <v>4</v>
      </c>
      <c r="M640" s="2">
        <f t="shared" si="123"/>
        <v>1</v>
      </c>
      <c r="N640" s="2">
        <f t="shared" si="124"/>
        <v>11</v>
      </c>
      <c r="P640" s="168">
        <f t="shared" si="125"/>
        <v>72</v>
      </c>
      <c r="AT640" s="19">
        <v>3</v>
      </c>
      <c r="AU640" s="14">
        <v>82</v>
      </c>
      <c r="AV640" s="14"/>
      <c r="AW640" s="13"/>
      <c r="AX640" s="13"/>
      <c r="AY640" s="19">
        <v>1</v>
      </c>
      <c r="AZ640" s="14">
        <v>11</v>
      </c>
      <c r="BA640" s="14"/>
      <c r="BB640" s="13" t="s">
        <v>272</v>
      </c>
      <c r="BF640" s="13" t="s">
        <v>481</v>
      </c>
    </row>
    <row r="641" spans="1:58" ht="14.25" x14ac:dyDescent="0.2">
      <c r="A641" t="str">
        <f t="shared" si="118"/>
        <v>A92</v>
      </c>
      <c r="C641">
        <f t="shared" si="119"/>
        <v>56.6</v>
      </c>
      <c r="D641" t="str">
        <f t="shared" si="128"/>
        <v/>
      </c>
      <c r="E641" s="169" t="str">
        <f>IF(OR(A641="",B641="",C641=""),"",CONCATENATE(VLOOKUP(VALUE(I641),[1]Grundlage!$A$1:$B$14,2,0),IF(LEFT(A641,1)="A",IF(VALUE(MID(A641,2,10))&lt;10,"A00"&amp;VALUE(MID(A641,2,10)),IF(VALUE(MID(A641,2,10))&lt;100,"A0"&amp;VALUE(MID(A641,2,10)),IF(VALUE(MID(A641,2,10))&lt;1000,"A"&amp;VALUE(MID(A641,2,10))))),IF(LEFT(A641,1)="B",IF(VALUE(MID(A641,2,10))&lt;10,"B00"&amp;VALUE(MID(A641,2,10)),IF(VALUE(MID(A641,2,10))&lt;100,"B0"&amp;VALUE(MID(A641,2,10)),IF(VALUE(MID(A641,2,10))&lt;1000,"B"&amp;VALUE(MID(A641,2,10))))),A641)),"_",IF(NOT(OR(C641=1000,C641&gt;1000)),MID(TEXT((C641+1000)*1000,0),2,6),"keine Meter in Spalte km!!!"),IF(VALUE(I641)=1,CONCATENATE("_",VLOOKUP(IF(V641&gt;0,V641,J641),[1]Grundlage!$A$20:$B$181,2,0)),CONCATENATE("_",B641))))</f>
        <v/>
      </c>
      <c r="F641" s="2" t="s">
        <v>669</v>
      </c>
      <c r="G641" s="167">
        <f t="shared" si="129"/>
        <v>36006</v>
      </c>
      <c r="H641">
        <f t="shared" si="130"/>
        <v>149</v>
      </c>
      <c r="I641" s="2">
        <f t="shared" si="120"/>
        <v>0</v>
      </c>
      <c r="J641" s="2">
        <f t="shared" si="121"/>
        <v>0</v>
      </c>
      <c r="K641" s="13">
        <v>209</v>
      </c>
      <c r="L641" s="2">
        <f t="shared" si="122"/>
        <v>4</v>
      </c>
      <c r="M641" s="2" t="str">
        <f t="shared" si="123"/>
        <v/>
      </c>
      <c r="N641" s="2" t="str">
        <f t="shared" si="124"/>
        <v/>
      </c>
      <c r="P641" s="168" t="str">
        <f t="shared" si="125"/>
        <v/>
      </c>
      <c r="AT641" s="19"/>
      <c r="AU641" s="14"/>
      <c r="AV641" s="14"/>
      <c r="AY641" s="1"/>
      <c r="AZ641" s="14"/>
      <c r="BB641" s="13"/>
    </row>
    <row r="642" spans="1:58" ht="14.25" x14ac:dyDescent="0.2">
      <c r="A642" t="str">
        <f t="shared" si="118"/>
        <v>A9</v>
      </c>
      <c r="B642" s="2" t="s">
        <v>656</v>
      </c>
      <c r="C642">
        <f t="shared" si="119"/>
        <v>450.59</v>
      </c>
      <c r="D642" t="str">
        <f t="shared" si="128"/>
        <v>SS</v>
      </c>
      <c r="E642" s="169" t="str">
        <f>IF(OR(A642="",B642="",C642=""),"eine der Spalten BAB, FR, km leer?",CONCATENATE(VLOOKUP(VALUE(I642),[1]Grundlage!$A$1:$B$14,2,0),IF(LEFT(A642,1)="A",IF(VALUE(MID(A642,2,10))&lt;10,"A00"&amp;VALUE(MID(A642,2,10)),IF(VALUE(MID(A642,2,10))&lt;100,"A0"&amp;VALUE(MID(A642,2,10)),IF(VALUE(MID(A642,2,10))&lt;1000,"A"&amp;VALUE(MID(A642,2,10))))),IF(LEFT(A642,1)="B",IF(VALUE(MID(A642,2,10))&lt;10,"B00"&amp;VALUE(MID(A642,2,10)),IF(VALUE(MID(A642,2,10))&lt;100,"B0"&amp;VALUE(MID(A642,2,10)),IF(VALUE(MID(A642,2,10))&lt;1000,"B"&amp;VALUE(MID(A642,2,10))))),A642)),"_",IF(NOT(OR(C642=1000,C642&gt;1000)),MID(TEXT((C642+1000)*1000,0),2,6),"keine Meter in Spalte km!!!"),IF(VALUE(I642)=1,CONCATENATE("_",VLOOKUP(IF(V642&gt;0,V642,J642),[1]Grundlage!$A$20:$B$181,2,0)),CONCATENATE("_",B642))))</f>
        <v>SSt_A009_450590_N</v>
      </c>
      <c r="F642" s="2" t="s">
        <v>117</v>
      </c>
      <c r="G642" s="167">
        <f t="shared" si="129"/>
        <v>3539</v>
      </c>
      <c r="H642">
        <f t="shared" si="130"/>
        <v>111</v>
      </c>
      <c r="I642" s="2">
        <f t="shared" si="120"/>
        <v>254</v>
      </c>
      <c r="J642" s="2">
        <f t="shared" si="121"/>
        <v>0</v>
      </c>
      <c r="K642" s="13">
        <v>209</v>
      </c>
      <c r="L642" s="2">
        <f t="shared" si="122"/>
        <v>15</v>
      </c>
      <c r="M642" s="2" t="str">
        <f t="shared" si="123"/>
        <v/>
      </c>
      <c r="N642" s="2" t="str">
        <f t="shared" si="124"/>
        <v/>
      </c>
      <c r="P642" s="168" t="str">
        <f t="shared" si="125"/>
        <v/>
      </c>
      <c r="AI642" s="35">
        <v>450.59</v>
      </c>
      <c r="AJ642" s="36" t="s">
        <v>19</v>
      </c>
      <c r="AK642" s="36" t="s">
        <v>116</v>
      </c>
      <c r="AL642" s="36"/>
      <c r="AM642" s="36"/>
      <c r="AN642" s="36"/>
      <c r="AO642" s="36"/>
      <c r="AP642" s="36">
        <v>906095</v>
      </c>
      <c r="AQ642" s="45" t="s">
        <v>80</v>
      </c>
      <c r="AR642" s="45" t="s">
        <v>246</v>
      </c>
      <c r="AS642" s="45" t="s">
        <v>245</v>
      </c>
      <c r="AT642" s="36"/>
      <c r="AU642" s="36"/>
      <c r="AV642" s="36"/>
      <c r="AW642" s="36"/>
      <c r="AX642" s="36">
        <v>15</v>
      </c>
      <c r="AY642" s="36"/>
      <c r="AZ642" s="36"/>
      <c r="BA642" s="36"/>
      <c r="BB642" s="37" t="s">
        <v>117</v>
      </c>
      <c r="BC642" s="38"/>
      <c r="BD642" s="96" t="s">
        <v>163</v>
      </c>
      <c r="BE642" s="39" t="s">
        <v>118</v>
      </c>
      <c r="BF642" s="2" t="s">
        <v>561</v>
      </c>
    </row>
    <row r="643" spans="1:58" ht="14.25" x14ac:dyDescent="0.2">
      <c r="A643" t="str">
        <f t="shared" si="118"/>
        <v>A9</v>
      </c>
      <c r="B643" s="2" t="s">
        <v>656</v>
      </c>
      <c r="C643">
        <f t="shared" si="119"/>
        <v>450.59</v>
      </c>
      <c r="D643" t="str">
        <f t="shared" si="128"/>
        <v>UFD</v>
      </c>
      <c r="E643" s="169" t="str">
        <f>IF(OR(A643="",B643="",C643=""),"eine der Spalten BAB, FR, km leer?",CONCATENATE(VLOOKUP(VALUE(I643),[1]Grundlage!$A$1:$B$14,2,0),IF(LEFT(A643,1)="A",IF(VALUE(MID(A643,2,10))&lt;10,"A00"&amp;VALUE(MID(A643,2,10)),IF(VALUE(MID(A643,2,10))&lt;100,"A0"&amp;VALUE(MID(A643,2,10)),IF(VALUE(MID(A643,2,10))&lt;1000,"A"&amp;VALUE(MID(A643,2,10))))),IF(LEFT(A643,1)="B",IF(VALUE(MID(A643,2,10))&lt;10,"B00"&amp;VALUE(MID(A643,2,10)),IF(VALUE(MID(A643,2,10))&lt;100,"B0"&amp;VALUE(MID(A643,2,10)),IF(VALUE(MID(A643,2,10))&lt;1000,"B"&amp;VALUE(MID(A643,2,10))))),A643)),"_",IF(NOT(OR(C643=1000,C643&gt;1000)),MID(TEXT((C643+1000)*1000,0),2,6),"keine Meter in Spalte km!!!"),IF(VALUE(I643)=1,CONCATENATE("_",VLOOKUP(IF(V643&gt;0,V643,J643),[1]Grundlage!$A$20:$B$181,2,0)),CONCATENATE("_",B643))))</f>
        <v>UQ_A009_450590_N</v>
      </c>
      <c r="F643" s="2" t="s">
        <v>269</v>
      </c>
      <c r="G643" s="167">
        <f t="shared" si="129"/>
        <v>3539</v>
      </c>
      <c r="H643">
        <f t="shared" si="130"/>
        <v>111</v>
      </c>
      <c r="I643" s="2">
        <f t="shared" si="120"/>
        <v>3</v>
      </c>
      <c r="J643" s="2">
        <f t="shared" si="121"/>
        <v>6</v>
      </c>
      <c r="K643" s="13">
        <v>209</v>
      </c>
      <c r="L643" s="2">
        <f t="shared" si="122"/>
        <v>15</v>
      </c>
      <c r="M643" s="2">
        <f t="shared" si="123"/>
        <v>1</v>
      </c>
      <c r="N643" s="2">
        <f t="shared" si="124"/>
        <v>1</v>
      </c>
      <c r="P643" s="168">
        <f t="shared" si="125"/>
        <v>71</v>
      </c>
      <c r="AT643" s="19">
        <v>3</v>
      </c>
      <c r="AU643" s="14">
        <v>6</v>
      </c>
      <c r="AV643" s="27">
        <v>6</v>
      </c>
      <c r="AW643" s="19"/>
      <c r="AX643" s="19"/>
      <c r="AY643" s="19">
        <v>1</v>
      </c>
      <c r="AZ643" s="14">
        <v>1</v>
      </c>
      <c r="BA643" s="27">
        <v>1</v>
      </c>
      <c r="BB643" s="13" t="s">
        <v>269</v>
      </c>
      <c r="BF643" s="2" t="s">
        <v>440</v>
      </c>
    </row>
    <row r="644" spans="1:58" ht="14.25" x14ac:dyDescent="0.2">
      <c r="A644" t="str">
        <f t="shared" si="118"/>
        <v>A9</v>
      </c>
      <c r="B644" s="2" t="s">
        <v>656</v>
      </c>
      <c r="C644">
        <f t="shared" si="119"/>
        <v>450.59</v>
      </c>
      <c r="D644" t="str">
        <f t="shared" si="128"/>
        <v>UFD</v>
      </c>
      <c r="E644" s="169" t="str">
        <f>IF(OR(A644="",B644="",C644=""),"eine der Spalten BAB, FR, km leer?",CONCATENATE(VLOOKUP(VALUE(I644),[1]Grundlage!$A$1:$B$14,2,0),IF(LEFT(A644,1)="A",IF(VALUE(MID(A644,2,10))&lt;10,"A00"&amp;VALUE(MID(A644,2,10)),IF(VALUE(MID(A644,2,10))&lt;100,"A0"&amp;VALUE(MID(A644,2,10)),IF(VALUE(MID(A644,2,10))&lt;1000,"A"&amp;VALUE(MID(A644,2,10))))),IF(LEFT(A644,1)="B",IF(VALUE(MID(A644,2,10))&lt;10,"B00"&amp;VALUE(MID(A644,2,10)),IF(VALUE(MID(A644,2,10))&lt;100,"B0"&amp;VALUE(MID(A644,2,10)),IF(VALUE(MID(A644,2,10))&lt;1000,"B"&amp;VALUE(MID(A644,2,10))))),A644)),"_",IF(NOT(OR(C644=1000,C644&gt;1000)),MID(TEXT((C644+1000)*1000,0),2,6),"keine Meter in Spalte km!!!"),IF(VALUE(I644)=1,CONCATENATE("_",VLOOKUP(IF(V644&gt;0,V644,J644),[1]Grundlage!$A$20:$B$181,2,0)),CONCATENATE("_",B644))))</f>
        <v>UQ_A009_450590_N</v>
      </c>
      <c r="F644" s="2" t="s">
        <v>270</v>
      </c>
      <c r="G644" s="167">
        <f t="shared" si="129"/>
        <v>3539</v>
      </c>
      <c r="H644">
        <f t="shared" si="130"/>
        <v>111</v>
      </c>
      <c r="I644" s="2">
        <f t="shared" si="120"/>
        <v>3</v>
      </c>
      <c r="J644" s="2">
        <f t="shared" si="121"/>
        <v>11</v>
      </c>
      <c r="K644" s="13">
        <v>209</v>
      </c>
      <c r="L644" s="2">
        <f t="shared" si="122"/>
        <v>15</v>
      </c>
      <c r="M644" s="2">
        <f t="shared" si="123"/>
        <v>1</v>
      </c>
      <c r="N644" s="2">
        <f t="shared" si="124"/>
        <v>2</v>
      </c>
      <c r="P644" s="168">
        <f t="shared" si="125"/>
        <v>70</v>
      </c>
      <c r="AT644" s="19">
        <v>3</v>
      </c>
      <c r="AU644" s="14">
        <v>11</v>
      </c>
      <c r="AV644" s="14" t="s">
        <v>78</v>
      </c>
      <c r="AW644" s="13"/>
      <c r="AX644" s="13"/>
      <c r="AY644" s="19">
        <f>AY643</f>
        <v>1</v>
      </c>
      <c r="AZ644" s="14">
        <v>2</v>
      </c>
      <c r="BA644" s="14">
        <v>2</v>
      </c>
      <c r="BB644" s="13" t="s">
        <v>270</v>
      </c>
      <c r="BF644" s="2" t="s">
        <v>484</v>
      </c>
    </row>
    <row r="645" spans="1:58" ht="14.25" x14ac:dyDescent="0.2">
      <c r="A645" t="str">
        <f t="shared" si="118"/>
        <v>A9</v>
      </c>
      <c r="B645" s="2" t="s">
        <v>656</v>
      </c>
      <c r="C645">
        <f t="shared" si="119"/>
        <v>450.59</v>
      </c>
      <c r="D645" t="str">
        <f t="shared" si="128"/>
        <v>UFD</v>
      </c>
      <c r="E645" s="169" t="str">
        <f>IF(OR(A645="",B645="",C645=""),"eine der Spalten BAB, FR, km leer?",CONCATENATE(VLOOKUP(VALUE(I645),[1]Grundlage!$A$1:$B$14,2,0),IF(LEFT(A645,1)="A",IF(VALUE(MID(A645,2,10))&lt;10,"A00"&amp;VALUE(MID(A645,2,10)),IF(VALUE(MID(A645,2,10))&lt;100,"A0"&amp;VALUE(MID(A645,2,10)),IF(VALUE(MID(A645,2,10))&lt;1000,"A"&amp;VALUE(MID(A645,2,10))))),IF(LEFT(A645,1)="B",IF(VALUE(MID(A645,2,10))&lt;10,"B00"&amp;VALUE(MID(A645,2,10)),IF(VALUE(MID(A645,2,10))&lt;100,"B0"&amp;VALUE(MID(A645,2,10)),IF(VALUE(MID(A645,2,10))&lt;1000,"B"&amp;VALUE(MID(A645,2,10))))),A645)),"_",IF(NOT(OR(C645=1000,C645&gt;1000)),MID(TEXT((C645+1000)*1000,0),2,6),"keine Meter in Spalte km!!!"),IF(VALUE(I645)=1,CONCATENATE("_",VLOOKUP(IF(V645&gt;0,V645,J645),[1]Grundlage!$A$20:$B$181,2,0)),CONCATENATE("_",B645))))</f>
        <v>UQ_A009_450590_N</v>
      </c>
      <c r="F645" s="2" t="s">
        <v>25</v>
      </c>
      <c r="G645" s="167">
        <f t="shared" si="129"/>
        <v>3539</v>
      </c>
      <c r="H645">
        <f t="shared" si="130"/>
        <v>111</v>
      </c>
      <c r="I645" s="2">
        <f t="shared" si="120"/>
        <v>3</v>
      </c>
      <c r="J645" s="2">
        <f t="shared" si="121"/>
        <v>12</v>
      </c>
      <c r="K645" s="13">
        <v>209</v>
      </c>
      <c r="L645" s="2">
        <f t="shared" si="122"/>
        <v>15</v>
      </c>
      <c r="M645" s="2">
        <f t="shared" si="123"/>
        <v>1</v>
      </c>
      <c r="N645" s="2">
        <f t="shared" si="124"/>
        <v>3</v>
      </c>
      <c r="P645" s="168">
        <f t="shared" si="125"/>
        <v>48</v>
      </c>
      <c r="AT645" s="19">
        <v>3</v>
      </c>
      <c r="AU645" s="14">
        <v>12</v>
      </c>
      <c r="AV645" s="14" t="s">
        <v>79</v>
      </c>
      <c r="AW645" s="13"/>
      <c r="AX645" s="13"/>
      <c r="AY645" s="19">
        <v>1</v>
      </c>
      <c r="AZ645" s="14">
        <v>3</v>
      </c>
      <c r="BA645" s="14">
        <v>3</v>
      </c>
      <c r="BB645" s="13" t="s">
        <v>25</v>
      </c>
      <c r="BF645" s="13" t="s">
        <v>441</v>
      </c>
    </row>
    <row r="646" spans="1:58" ht="14.25" x14ac:dyDescent="0.2">
      <c r="A646" t="str">
        <f t="shared" si="118"/>
        <v>A9</v>
      </c>
      <c r="B646" s="2" t="s">
        <v>656</v>
      </c>
      <c r="C646">
        <f t="shared" si="119"/>
        <v>450.59</v>
      </c>
      <c r="D646" t="str">
        <f t="shared" si="128"/>
        <v>UFD</v>
      </c>
      <c r="E646" s="169" t="str">
        <f>IF(OR(A646="",B646="",C646=""),"eine der Spalten BAB, FR, km leer?",CONCATENATE(VLOOKUP(VALUE(I646),[1]Grundlage!$A$1:$B$14,2,0),IF(LEFT(A646,1)="A",IF(VALUE(MID(A646,2,10))&lt;10,"A00"&amp;VALUE(MID(A646,2,10)),IF(VALUE(MID(A646,2,10))&lt;100,"A0"&amp;VALUE(MID(A646,2,10)),IF(VALUE(MID(A646,2,10))&lt;1000,"A"&amp;VALUE(MID(A646,2,10))))),IF(LEFT(A646,1)="B",IF(VALUE(MID(A646,2,10))&lt;10,"B00"&amp;VALUE(MID(A646,2,10)),IF(VALUE(MID(A646,2,10))&lt;100,"B0"&amp;VALUE(MID(A646,2,10)),IF(VALUE(MID(A646,2,10))&lt;1000,"B"&amp;VALUE(MID(A646,2,10))))),A646)),"_",IF(NOT(OR(C646=1000,C646&gt;1000)),MID(TEXT((C646+1000)*1000,0),2,6),"keine Meter in Spalte km!!!"),IF(VALUE(I646)=1,CONCATENATE("_",VLOOKUP(IF(V646&gt;0,V646,J646),[1]Grundlage!$A$20:$B$181,2,0)),CONCATENATE("_",B646))))</f>
        <v>UQ_A009_450590_N</v>
      </c>
      <c r="F646" s="2" t="s">
        <v>26</v>
      </c>
      <c r="G646" s="167">
        <f t="shared" si="129"/>
        <v>3539</v>
      </c>
      <c r="H646">
        <f t="shared" si="130"/>
        <v>111</v>
      </c>
      <c r="I646" s="2">
        <f t="shared" si="120"/>
        <v>3</v>
      </c>
      <c r="J646" s="2">
        <f t="shared" si="121"/>
        <v>13</v>
      </c>
      <c r="K646" s="13">
        <v>209</v>
      </c>
      <c r="L646" s="2">
        <f t="shared" si="122"/>
        <v>15</v>
      </c>
      <c r="M646" s="2">
        <f t="shared" si="123"/>
        <v>1</v>
      </c>
      <c r="N646" s="2">
        <f t="shared" si="124"/>
        <v>4</v>
      </c>
      <c r="P646" s="168">
        <f t="shared" si="125"/>
        <v>55</v>
      </c>
      <c r="AT646" s="19">
        <v>3</v>
      </c>
      <c r="AU646" s="14">
        <v>13</v>
      </c>
      <c r="AV646" s="14" t="s">
        <v>80</v>
      </c>
      <c r="AW646" s="13"/>
      <c r="AX646" s="13"/>
      <c r="AY646" s="19">
        <v>1</v>
      </c>
      <c r="AZ646" s="14">
        <v>4</v>
      </c>
      <c r="BA646" s="14">
        <v>4</v>
      </c>
      <c r="BB646" s="13" t="s">
        <v>26</v>
      </c>
      <c r="BF646" s="13" t="s">
        <v>442</v>
      </c>
    </row>
    <row r="647" spans="1:58" ht="14.25" x14ac:dyDescent="0.2">
      <c r="A647" t="str">
        <f t="shared" si="118"/>
        <v>A9</v>
      </c>
      <c r="B647" s="2" t="s">
        <v>656</v>
      </c>
      <c r="C647">
        <f t="shared" si="119"/>
        <v>450.59</v>
      </c>
      <c r="D647" t="str">
        <f t="shared" si="128"/>
        <v>UFD</v>
      </c>
      <c r="E647" s="169" t="str">
        <f>IF(OR(A647="",B647="",C647=""),"eine der Spalten BAB, FR, km leer?",CONCATENATE(VLOOKUP(VALUE(I647),[1]Grundlage!$A$1:$B$14,2,0),IF(LEFT(A647,1)="A",IF(VALUE(MID(A647,2,10))&lt;10,"A00"&amp;VALUE(MID(A647,2,10)),IF(VALUE(MID(A647,2,10))&lt;100,"A0"&amp;VALUE(MID(A647,2,10)),IF(VALUE(MID(A647,2,10))&lt;1000,"A"&amp;VALUE(MID(A647,2,10))))),IF(LEFT(A647,1)="B",IF(VALUE(MID(A647,2,10))&lt;10,"B00"&amp;VALUE(MID(A647,2,10)),IF(VALUE(MID(A647,2,10))&lt;100,"B0"&amp;VALUE(MID(A647,2,10)),IF(VALUE(MID(A647,2,10))&lt;1000,"B"&amp;VALUE(MID(A647,2,10))))),A647)),"_",IF(NOT(OR(C647=1000,C647&gt;1000)),MID(TEXT((C647+1000)*1000,0),2,6),"keine Meter in Spalte km!!!"),IF(VALUE(I647)=1,CONCATENATE("_",VLOOKUP(IF(V647&gt;0,V647,J647),[1]Grundlage!$A$20:$B$181,2,0)),CONCATENATE("_",B647))))</f>
        <v>UQ_A009_450590_N</v>
      </c>
      <c r="F647" s="2" t="s">
        <v>27</v>
      </c>
      <c r="G647" s="167">
        <f t="shared" si="129"/>
        <v>3539</v>
      </c>
      <c r="H647">
        <f t="shared" si="130"/>
        <v>111</v>
      </c>
      <c r="I647" s="2">
        <f t="shared" si="120"/>
        <v>3</v>
      </c>
      <c r="J647" s="2">
        <f t="shared" si="121"/>
        <v>14</v>
      </c>
      <c r="K647" s="13">
        <v>209</v>
      </c>
      <c r="L647" s="2">
        <f t="shared" si="122"/>
        <v>15</v>
      </c>
      <c r="M647" s="2">
        <f t="shared" si="123"/>
        <v>1</v>
      </c>
      <c r="N647" s="2">
        <f t="shared" si="124"/>
        <v>5</v>
      </c>
      <c r="P647" s="168">
        <f t="shared" si="125"/>
        <v>66</v>
      </c>
      <c r="AT647" s="19">
        <v>3</v>
      </c>
      <c r="AU647" s="14">
        <v>14</v>
      </c>
      <c r="AV647" s="14" t="s">
        <v>81</v>
      </c>
      <c r="AW647" s="13"/>
      <c r="AX647" s="13"/>
      <c r="AY647" s="19">
        <v>1</v>
      </c>
      <c r="AZ647" s="14">
        <v>5</v>
      </c>
      <c r="BA647" s="14">
        <v>5</v>
      </c>
      <c r="BB647" s="13" t="s">
        <v>27</v>
      </c>
      <c r="BF647" s="13" t="s">
        <v>443</v>
      </c>
    </row>
    <row r="648" spans="1:58" ht="14.25" x14ac:dyDescent="0.2">
      <c r="A648" t="str">
        <f t="shared" si="118"/>
        <v>A9</v>
      </c>
      <c r="B648" s="2" t="s">
        <v>656</v>
      </c>
      <c r="C648">
        <f t="shared" si="119"/>
        <v>450.59</v>
      </c>
      <c r="D648" t="str">
        <f t="shared" si="128"/>
        <v>UFD</v>
      </c>
      <c r="E648" s="169" t="str">
        <f>IF(OR(A648="",B648="",C648=""),"eine der Spalten BAB, FR, km leer?",CONCATENATE(VLOOKUP(VALUE(I648),[1]Grundlage!$A$1:$B$14,2,0),IF(LEFT(A648,1)="A",IF(VALUE(MID(A648,2,10))&lt;10,"A00"&amp;VALUE(MID(A648,2,10)),IF(VALUE(MID(A648,2,10))&lt;100,"A0"&amp;VALUE(MID(A648,2,10)),IF(VALUE(MID(A648,2,10))&lt;1000,"A"&amp;VALUE(MID(A648,2,10))))),IF(LEFT(A648,1)="B",IF(VALUE(MID(A648,2,10))&lt;10,"B00"&amp;VALUE(MID(A648,2,10)),IF(VALUE(MID(A648,2,10))&lt;100,"B0"&amp;VALUE(MID(A648,2,10)),IF(VALUE(MID(A648,2,10))&lt;1000,"B"&amp;VALUE(MID(A648,2,10))))),A648)),"_",IF(NOT(OR(C648=1000,C648&gt;1000)),MID(TEXT((C648+1000)*1000,0),2,6),"keine Meter in Spalte km!!!"),IF(VALUE(I648)=1,CONCATENATE("_",VLOOKUP(IF(V648&gt;0,V648,J648),[1]Grundlage!$A$20:$B$181,2,0)),CONCATENATE("_",B648))))</f>
        <v>UQ_A009_450590_N</v>
      </c>
      <c r="F648" s="2" t="s">
        <v>28</v>
      </c>
      <c r="G648" s="167">
        <f t="shared" si="129"/>
        <v>3539</v>
      </c>
      <c r="H648">
        <f t="shared" si="130"/>
        <v>111</v>
      </c>
      <c r="I648" s="2">
        <f t="shared" si="120"/>
        <v>3</v>
      </c>
      <c r="J648" s="2">
        <f t="shared" si="121"/>
        <v>15</v>
      </c>
      <c r="K648" s="13">
        <v>209</v>
      </c>
      <c r="L648" s="2">
        <f t="shared" si="122"/>
        <v>15</v>
      </c>
      <c r="M648" s="2">
        <f t="shared" si="123"/>
        <v>1</v>
      </c>
      <c r="N648" s="2">
        <f t="shared" si="124"/>
        <v>6</v>
      </c>
      <c r="P648" s="168">
        <f t="shared" si="125"/>
        <v>65</v>
      </c>
      <c r="AT648" s="19">
        <v>3</v>
      </c>
      <c r="AU648" s="14">
        <v>15</v>
      </c>
      <c r="AV648" s="14" t="s">
        <v>82</v>
      </c>
      <c r="AW648" s="13"/>
      <c r="AX648" s="13"/>
      <c r="AY648" s="19">
        <v>1</v>
      </c>
      <c r="AZ648" s="14">
        <v>6</v>
      </c>
      <c r="BA648" s="14">
        <v>6</v>
      </c>
      <c r="BB648" s="13" t="s">
        <v>28</v>
      </c>
      <c r="BF648" s="13" t="s">
        <v>485</v>
      </c>
    </row>
    <row r="649" spans="1:58" ht="14.25" x14ac:dyDescent="0.2">
      <c r="A649" t="str">
        <f t="shared" si="118"/>
        <v>A9</v>
      </c>
      <c r="B649" s="2" t="s">
        <v>656</v>
      </c>
      <c r="C649">
        <f t="shared" si="119"/>
        <v>450.59</v>
      </c>
      <c r="D649" t="str">
        <f t="shared" si="128"/>
        <v>UFD</v>
      </c>
      <c r="E649" s="169" t="str">
        <f>IF(OR(A649="",B649="",C649=""),"eine der Spalten BAB, FR, km leer?",CONCATENATE(VLOOKUP(VALUE(I649),[1]Grundlage!$A$1:$B$14,2,0),IF(LEFT(A649,1)="A",IF(VALUE(MID(A649,2,10))&lt;10,"A00"&amp;VALUE(MID(A649,2,10)),IF(VALUE(MID(A649,2,10))&lt;100,"A0"&amp;VALUE(MID(A649,2,10)),IF(VALUE(MID(A649,2,10))&lt;1000,"A"&amp;VALUE(MID(A649,2,10))))),IF(LEFT(A649,1)="B",IF(VALUE(MID(A649,2,10))&lt;10,"B00"&amp;VALUE(MID(A649,2,10)),IF(VALUE(MID(A649,2,10))&lt;100,"B0"&amp;VALUE(MID(A649,2,10)),IF(VALUE(MID(A649,2,10))&lt;1000,"B"&amp;VALUE(MID(A649,2,10))))),A649)),"_",IF(NOT(OR(C649=1000,C649&gt;1000)),MID(TEXT((C649+1000)*1000,0),2,6),"keine Meter in Spalte km!!!"),IF(VALUE(I649)=1,CONCATENATE("_",VLOOKUP(IF(V649&gt;0,V649,J649),[1]Grundlage!$A$20:$B$181,2,0)),CONCATENATE("_",B649))))</f>
        <v>UQ_A009_450590_N</v>
      </c>
      <c r="F649" s="2" t="s">
        <v>29</v>
      </c>
      <c r="G649" s="167">
        <f t="shared" si="129"/>
        <v>3539</v>
      </c>
      <c r="H649">
        <f t="shared" si="130"/>
        <v>111</v>
      </c>
      <c r="I649" s="2">
        <f t="shared" si="120"/>
        <v>3</v>
      </c>
      <c r="J649" s="2">
        <f t="shared" si="121"/>
        <v>19</v>
      </c>
      <c r="K649" s="13">
        <v>209</v>
      </c>
      <c r="L649" s="2">
        <f t="shared" si="122"/>
        <v>15</v>
      </c>
      <c r="M649" s="2">
        <f t="shared" si="123"/>
        <v>1</v>
      </c>
      <c r="N649" s="2">
        <f t="shared" si="124"/>
        <v>7</v>
      </c>
      <c r="P649" s="168">
        <f t="shared" si="125"/>
        <v>49</v>
      </c>
      <c r="AT649" s="19">
        <v>3</v>
      </c>
      <c r="AU649" s="14">
        <v>19</v>
      </c>
      <c r="AV649" s="14">
        <v>13</v>
      </c>
      <c r="AW649" s="13"/>
      <c r="AX649" s="13"/>
      <c r="AY649" s="19">
        <v>1</v>
      </c>
      <c r="AZ649" s="14">
        <v>7</v>
      </c>
      <c r="BA649" s="14">
        <v>7</v>
      </c>
      <c r="BB649" s="13" t="s">
        <v>29</v>
      </c>
      <c r="BF649" s="13" t="s">
        <v>486</v>
      </c>
    </row>
    <row r="650" spans="1:58" ht="14.25" x14ac:dyDescent="0.2">
      <c r="A650" t="str">
        <f t="shared" ref="A650:A713" si="131">IF(ISBLANK(AK650),A649,AK650)</f>
        <v>A9</v>
      </c>
      <c r="B650" s="2" t="s">
        <v>656</v>
      </c>
      <c r="C650">
        <f t="shared" ref="C650:C713" si="132">IF(ISBLANK(AI650),C649,AI650)</f>
        <v>450.59</v>
      </c>
      <c r="D650" t="str">
        <f t="shared" si="128"/>
        <v>UFD</v>
      </c>
      <c r="E650" s="169" t="str">
        <f>IF(OR(A650="",B650="",C650=""),"eine der Spalten BAB, FR, km leer?",CONCATENATE(VLOOKUP(VALUE(I650),[1]Grundlage!$A$1:$B$14,2,0),IF(LEFT(A650,1)="A",IF(VALUE(MID(A650,2,10))&lt;10,"A00"&amp;VALUE(MID(A650,2,10)),IF(VALUE(MID(A650,2,10))&lt;100,"A0"&amp;VALUE(MID(A650,2,10)),IF(VALUE(MID(A650,2,10))&lt;1000,"A"&amp;VALUE(MID(A650,2,10))))),IF(LEFT(A650,1)="B",IF(VALUE(MID(A650,2,10))&lt;10,"B00"&amp;VALUE(MID(A650,2,10)),IF(VALUE(MID(A650,2,10))&lt;100,"B0"&amp;VALUE(MID(A650,2,10)),IF(VALUE(MID(A650,2,10))&lt;1000,"B"&amp;VALUE(MID(A650,2,10))))),A650)),"_",IF(NOT(OR(C650=1000,C650&gt;1000)),MID(TEXT((C650+1000)*1000,0),2,6),"keine Meter in Spalte km!!!"),IF(VALUE(I650)=1,CONCATENATE("_",VLOOKUP(IF(V650&gt;0,V650,J650),[1]Grundlage!$A$20:$B$181,2,0)),CONCATENATE("_",B650))))</f>
        <v>UQ_A009_450590_N</v>
      </c>
      <c r="F650" s="2" t="s">
        <v>30</v>
      </c>
      <c r="G650" s="167">
        <f t="shared" si="129"/>
        <v>3539</v>
      </c>
      <c r="H650">
        <f t="shared" si="130"/>
        <v>111</v>
      </c>
      <c r="I650" s="2">
        <f t="shared" ref="I650:I713" si="133">IF(D650="SS",254,AT650)</f>
        <v>3</v>
      </c>
      <c r="J650" s="2">
        <f t="shared" ref="J650:J713" si="134">IF(D650="SS",0,AU650)</f>
        <v>21</v>
      </c>
      <c r="K650" s="13">
        <v>209</v>
      </c>
      <c r="L650" s="2">
        <f t="shared" ref="L650:L713" si="135">IF(ISBLANK(AX650),L649,AX650)</f>
        <v>15</v>
      </c>
      <c r="M650" s="2">
        <f t="shared" ref="M650:M713" si="136">IF(ISBLANK(AY650),"",AY650)</f>
        <v>1</v>
      </c>
      <c r="N650" s="2">
        <f t="shared" ref="N650:N713" si="137">IF(ISBLANK(AZ650),"",AZ650)</f>
        <v>8</v>
      </c>
      <c r="P650" s="168">
        <f t="shared" si="125"/>
        <v>67</v>
      </c>
      <c r="AT650" s="19">
        <v>3</v>
      </c>
      <c r="AU650" s="14">
        <v>21</v>
      </c>
      <c r="AV650" s="14">
        <v>15</v>
      </c>
      <c r="AW650" s="13"/>
      <c r="AX650" s="13"/>
      <c r="AY650" s="19">
        <v>1</v>
      </c>
      <c r="AZ650" s="14">
        <v>8</v>
      </c>
      <c r="BA650" s="14">
        <v>8</v>
      </c>
      <c r="BB650" s="13" t="s">
        <v>30</v>
      </c>
      <c r="BF650" s="13" t="s">
        <v>487</v>
      </c>
    </row>
    <row r="651" spans="1:58" ht="14.25" x14ac:dyDescent="0.2">
      <c r="A651" t="str">
        <f t="shared" si="131"/>
        <v>A9</v>
      </c>
      <c r="B651" s="2" t="s">
        <v>656</v>
      </c>
      <c r="C651">
        <f t="shared" si="132"/>
        <v>450.59</v>
      </c>
      <c r="D651" t="str">
        <f t="shared" si="128"/>
        <v>UFD</v>
      </c>
      <c r="E651" s="169" t="str">
        <f>IF(OR(A651="",B651="",C651=""),"eine der Spalten BAB, FR, km leer?",CONCATENATE(VLOOKUP(VALUE(I651),[1]Grundlage!$A$1:$B$14,2,0),IF(LEFT(A651,1)="A",IF(VALUE(MID(A651,2,10))&lt;10,"A00"&amp;VALUE(MID(A651,2,10)),IF(VALUE(MID(A651,2,10))&lt;100,"A0"&amp;VALUE(MID(A651,2,10)),IF(VALUE(MID(A651,2,10))&lt;1000,"A"&amp;VALUE(MID(A651,2,10))))),IF(LEFT(A651,1)="B",IF(VALUE(MID(A651,2,10))&lt;10,"B00"&amp;VALUE(MID(A651,2,10)),IF(VALUE(MID(A651,2,10))&lt;100,"B0"&amp;VALUE(MID(A651,2,10)),IF(VALUE(MID(A651,2,10))&lt;1000,"B"&amp;VALUE(MID(A651,2,10))))),A651)),"_",IF(NOT(OR(C651=1000,C651&gt;1000)),MID(TEXT((C651+1000)*1000,0),2,6),"keine Meter in Spalte km!!!"),IF(VALUE(I651)=1,CONCATENATE("_",VLOOKUP(IF(V651&gt;0,V651,J651),[1]Grundlage!$A$20:$B$181,2,0)),CONCATENATE("_",B651))))</f>
        <v>UQ_A009_450590_N</v>
      </c>
      <c r="F651" s="2" t="s">
        <v>41</v>
      </c>
      <c r="G651" s="167">
        <f t="shared" si="129"/>
        <v>3539</v>
      </c>
      <c r="H651">
        <f t="shared" si="130"/>
        <v>111</v>
      </c>
      <c r="I651" s="2">
        <f t="shared" si="133"/>
        <v>3</v>
      </c>
      <c r="J651" s="2">
        <f t="shared" si="134"/>
        <v>24</v>
      </c>
      <c r="K651" s="13">
        <v>209</v>
      </c>
      <c r="L651" s="2">
        <f t="shared" si="135"/>
        <v>15</v>
      </c>
      <c r="M651" s="2">
        <f t="shared" si="136"/>
        <v>1</v>
      </c>
      <c r="N651" s="2">
        <f t="shared" si="137"/>
        <v>9</v>
      </c>
      <c r="P651" s="168">
        <f t="shared" ref="P651:P713" si="138">IF(AT651&lt;&gt;3,"",IF(BB651="Helligkeitssensor",61,IF(BB651="Helligkeit",61,IF(BB652="Lichtsensor",61,IF(BB651="Lufttemperatur",48,IF(BB651="Niederschlagsart",71,IF(BB651="Niederschlagsintensität",53,IF(BB651="relative Luftfeuchte RLF",55,IF(BB651="Sichtweite",60,IF(BB651="Sichtweite 1",60,IF(BB651="Zustand der Fahrbahnoberfläche FBZ",79,IF(BB651="Wasserfilmdicke WFD",72,IF(BB651="Clusterkanal FG3","",IF(BB651="Gefriertemperatur GT",65,IF(BB651="Fahrbahnoberflächentemperatur FBT",49,VALUE(RIGHT(BB651,2)))))))))))))))))</f>
        <v>69</v>
      </c>
      <c r="AT651" s="19">
        <v>3</v>
      </c>
      <c r="AU651" s="14">
        <v>24</v>
      </c>
      <c r="AV651" s="14">
        <v>18</v>
      </c>
      <c r="AW651" s="13"/>
      <c r="AX651" s="13"/>
      <c r="AY651" s="19">
        <v>1</v>
      </c>
      <c r="AZ651" s="14">
        <v>9</v>
      </c>
      <c r="BA651" s="14">
        <v>9</v>
      </c>
      <c r="BB651" s="13" t="s">
        <v>41</v>
      </c>
      <c r="BF651" s="13" t="s">
        <v>562</v>
      </c>
    </row>
    <row r="652" spans="1:58" ht="14.25" x14ac:dyDescent="0.2">
      <c r="A652" t="str">
        <f t="shared" si="131"/>
        <v>A9</v>
      </c>
      <c r="B652" s="2" t="s">
        <v>656</v>
      </c>
      <c r="C652">
        <f t="shared" si="132"/>
        <v>450.59</v>
      </c>
      <c r="D652" t="str">
        <f t="shared" si="128"/>
        <v>UFD</v>
      </c>
      <c r="E652" s="169" t="str">
        <f>IF(OR(A652="",B652="",C652=""),"eine der Spalten BAB, FR, km leer?",CONCATENATE(VLOOKUP(VALUE(I652),[1]Grundlage!$A$1:$B$14,2,0),IF(LEFT(A652,1)="A",IF(VALUE(MID(A652,2,10))&lt;10,"A00"&amp;VALUE(MID(A652,2,10)),IF(VALUE(MID(A652,2,10))&lt;100,"A0"&amp;VALUE(MID(A652,2,10)),IF(VALUE(MID(A652,2,10))&lt;1000,"A"&amp;VALUE(MID(A652,2,10))))),IF(LEFT(A652,1)="B",IF(VALUE(MID(A652,2,10))&lt;10,"B00"&amp;VALUE(MID(A652,2,10)),IF(VALUE(MID(A652,2,10))&lt;100,"B0"&amp;VALUE(MID(A652,2,10)),IF(VALUE(MID(A652,2,10))&lt;1000,"B"&amp;VALUE(MID(A652,2,10))))),A652)),"_",IF(NOT(OR(C652=1000,C652&gt;1000)),MID(TEXT((C652+1000)*1000,0),2,6),"keine Meter in Spalte km!!!"),IF(VALUE(I652)=1,CONCATENATE("_",VLOOKUP(IF(V652&gt;0,V652,J652),[1]Grundlage!$A$20:$B$181,2,0)),CONCATENATE("_",B652))))</f>
        <v>UQ_A009_450590_N</v>
      </c>
      <c r="F652" s="2" t="s">
        <v>42</v>
      </c>
      <c r="G652" s="167">
        <f t="shared" si="129"/>
        <v>3539</v>
      </c>
      <c r="H652">
        <f t="shared" si="130"/>
        <v>111</v>
      </c>
      <c r="I652" s="2">
        <f t="shared" si="133"/>
        <v>3</v>
      </c>
      <c r="J652" s="2">
        <f t="shared" si="134"/>
        <v>25</v>
      </c>
      <c r="K652" s="13">
        <v>209</v>
      </c>
      <c r="L652" s="2">
        <f t="shared" si="135"/>
        <v>15</v>
      </c>
      <c r="M652" s="2">
        <f t="shared" si="136"/>
        <v>1</v>
      </c>
      <c r="N652" s="2">
        <f t="shared" si="137"/>
        <v>10</v>
      </c>
      <c r="P652" s="168">
        <f>IF(AT652&lt;&gt;3,"",IF(BB652="Helligkeitssensor",61,IF(BB652="Helligkeit",61,IF(BB653="Lichtsensor",61,IF(BB652="Lufttemperatur",48,IF(BB652="Niederschlagsart",71,IF(BB652="Niederschlagsintensität",53,IF(BB652="relative Luftfeuchte RLF",55,IF(BB652="Sichtweite",60,IF(BB652="Sichtweite 1",60,IF(BB652="Zustand der Fahrbahnoberfläche FBZ",79,IF(BB652="Wasserfilmdicke WFD",72,IF(BB652="Clusterkanal FG3","",IF(BB652="Gefriertemperatur GT",65,IF(BB652="Fahrbahnoberflächentemperatur FBT",49,IF(BB652="Windrichtung  Typ 56 ",56,VALUE(RIGHT(BB652,2))))))))))))))))))</f>
        <v>56</v>
      </c>
      <c r="AT652" s="19">
        <v>3</v>
      </c>
      <c r="AU652" s="14">
        <v>25</v>
      </c>
      <c r="AV652" s="14">
        <v>19</v>
      </c>
      <c r="AW652" s="13"/>
      <c r="AX652" s="13"/>
      <c r="AY652" s="19">
        <v>1</v>
      </c>
      <c r="AZ652" s="14">
        <v>10</v>
      </c>
      <c r="BA652" s="14" t="s">
        <v>95</v>
      </c>
      <c r="BB652" s="13" t="s">
        <v>42</v>
      </c>
      <c r="BF652" s="13" t="s">
        <v>515</v>
      </c>
    </row>
    <row r="653" spans="1:58" ht="14.25" x14ac:dyDescent="0.2">
      <c r="A653" t="str">
        <f t="shared" si="131"/>
        <v>A9</v>
      </c>
      <c r="B653" s="2" t="s">
        <v>656</v>
      </c>
      <c r="C653">
        <f t="shared" si="132"/>
        <v>450.59</v>
      </c>
      <c r="D653" t="str">
        <f t="shared" si="128"/>
        <v>UFD</v>
      </c>
      <c r="E653" s="169" t="str">
        <f>IF(OR(A653="",B653="",C653=""),"eine der Spalten BAB, FR, km leer?",CONCATENATE(VLOOKUP(VALUE(I653),[1]Grundlage!$A$1:$B$14,2,0),IF(LEFT(A653,1)="A",IF(VALUE(MID(A653,2,10))&lt;10,"A00"&amp;VALUE(MID(A653,2,10)),IF(VALUE(MID(A653,2,10))&lt;100,"A0"&amp;VALUE(MID(A653,2,10)),IF(VALUE(MID(A653,2,10))&lt;1000,"A"&amp;VALUE(MID(A653,2,10))))),IF(LEFT(A653,1)="B",IF(VALUE(MID(A653,2,10))&lt;10,"B00"&amp;VALUE(MID(A653,2,10)),IF(VALUE(MID(A653,2,10))&lt;100,"B0"&amp;VALUE(MID(A653,2,10)),IF(VALUE(MID(A653,2,10))&lt;1000,"B"&amp;VALUE(MID(A653,2,10))))),A653)),"_",IF(NOT(OR(C653=1000,C653&gt;1000)),MID(TEXT((C653+1000)*1000,0),2,6),"keine Meter in Spalte km!!!"),IF(VALUE(I653)=1,CONCATENATE("_",VLOOKUP(IF(V653&gt;0,V653,J653),[1]Grundlage!$A$20:$B$181,2,0)),CONCATENATE("_",B653))))</f>
        <v>UQ_A009_450590_N</v>
      </c>
      <c r="F653" s="2" t="s">
        <v>43</v>
      </c>
      <c r="G653" s="167">
        <f t="shared" si="129"/>
        <v>3539</v>
      </c>
      <c r="H653">
        <f t="shared" si="130"/>
        <v>111</v>
      </c>
      <c r="I653" s="2">
        <f t="shared" si="133"/>
        <v>3</v>
      </c>
      <c r="J653" s="2">
        <f t="shared" si="134"/>
        <v>26</v>
      </c>
      <c r="K653" s="13">
        <v>209</v>
      </c>
      <c r="L653" s="2">
        <f t="shared" si="135"/>
        <v>15</v>
      </c>
      <c r="M653" s="2">
        <f t="shared" si="136"/>
        <v>1</v>
      </c>
      <c r="N653" s="2">
        <f t="shared" si="137"/>
        <v>11</v>
      </c>
      <c r="P653" s="168">
        <f t="shared" si="138"/>
        <v>57</v>
      </c>
      <c r="AT653" s="19">
        <v>3</v>
      </c>
      <c r="AU653" s="14">
        <v>26</v>
      </c>
      <c r="AV653" s="14" t="s">
        <v>86</v>
      </c>
      <c r="AW653" s="13"/>
      <c r="AX653" s="13"/>
      <c r="AY653" s="19">
        <v>1</v>
      </c>
      <c r="AZ653" s="14">
        <v>11</v>
      </c>
      <c r="BA653" s="14" t="s">
        <v>78</v>
      </c>
      <c r="BB653" s="13" t="s">
        <v>43</v>
      </c>
      <c r="BF653" s="13" t="s">
        <v>446</v>
      </c>
    </row>
    <row r="654" spans="1:58" ht="14.25" x14ac:dyDescent="0.2">
      <c r="A654" t="str">
        <f t="shared" si="131"/>
        <v>A9</v>
      </c>
      <c r="B654" s="2" t="s">
        <v>656</v>
      </c>
      <c r="C654">
        <f t="shared" si="132"/>
        <v>450.59</v>
      </c>
      <c r="D654" t="str">
        <f t="shared" si="128"/>
        <v>UFD</v>
      </c>
      <c r="E654" s="169" t="str">
        <f>IF(OR(A654="",B654="",C654=""),"eine der Spalten BAB, FR, km leer?",CONCATENATE(VLOOKUP(VALUE(I654),[1]Grundlage!$A$1:$B$14,2,0),IF(LEFT(A654,1)="A",IF(VALUE(MID(A654,2,10))&lt;10,"A00"&amp;VALUE(MID(A654,2,10)),IF(VALUE(MID(A654,2,10))&lt;100,"A0"&amp;VALUE(MID(A654,2,10)),IF(VALUE(MID(A654,2,10))&lt;1000,"A"&amp;VALUE(MID(A654,2,10))))),IF(LEFT(A654,1)="B",IF(VALUE(MID(A654,2,10))&lt;10,"B00"&amp;VALUE(MID(A654,2,10)),IF(VALUE(MID(A654,2,10))&lt;100,"B0"&amp;VALUE(MID(A654,2,10)),IF(VALUE(MID(A654,2,10))&lt;1000,"B"&amp;VALUE(MID(A654,2,10))))),A654)),"_",IF(NOT(OR(C654=1000,C654&gt;1000)),MID(TEXT((C654+1000)*1000,0),2,6),"keine Meter in Spalte km!!!"),IF(VALUE(I654)=1,CONCATENATE("_",VLOOKUP(IF(V654&gt;0,V654,J654),[1]Grundlage!$A$20:$B$181,2,0)),CONCATENATE("_",B654))))</f>
        <v>UQ_A009_450590_N</v>
      </c>
      <c r="F654" s="2" t="s">
        <v>271</v>
      </c>
      <c r="G654" s="167">
        <f t="shared" si="129"/>
        <v>3539</v>
      </c>
      <c r="H654">
        <f t="shared" si="130"/>
        <v>111</v>
      </c>
      <c r="I654" s="2">
        <f t="shared" si="133"/>
        <v>3</v>
      </c>
      <c r="J654" s="2">
        <f t="shared" si="134"/>
        <v>67</v>
      </c>
      <c r="K654" s="13">
        <v>209</v>
      </c>
      <c r="L654" s="2">
        <f t="shared" si="135"/>
        <v>15</v>
      </c>
      <c r="M654" s="2">
        <f t="shared" si="136"/>
        <v>1</v>
      </c>
      <c r="N654" s="2">
        <f t="shared" si="137"/>
        <v>12</v>
      </c>
      <c r="P654" s="168">
        <f t="shared" si="138"/>
        <v>53</v>
      </c>
      <c r="AT654" s="19">
        <v>3</v>
      </c>
      <c r="AU654" s="14">
        <v>67</v>
      </c>
      <c r="AV654" s="14">
        <v>43</v>
      </c>
      <c r="AW654" s="13"/>
      <c r="AX654" s="13"/>
      <c r="AY654" s="19">
        <v>1</v>
      </c>
      <c r="AZ654" s="14">
        <v>12</v>
      </c>
      <c r="BA654" s="34" t="s">
        <v>79</v>
      </c>
      <c r="BB654" s="13" t="s">
        <v>271</v>
      </c>
      <c r="BF654" s="13" t="s">
        <v>444</v>
      </c>
    </row>
    <row r="655" spans="1:58" ht="14.25" x14ac:dyDescent="0.2">
      <c r="A655" t="str">
        <f t="shared" si="131"/>
        <v>A9</v>
      </c>
      <c r="B655" s="2" t="s">
        <v>656</v>
      </c>
      <c r="C655">
        <f t="shared" si="132"/>
        <v>450.59</v>
      </c>
      <c r="D655" t="str">
        <f t="shared" si="128"/>
        <v>UFD</v>
      </c>
      <c r="E655" s="169" t="str">
        <f>IF(OR(A655="",B655="",C655=""),"eine der Spalten BAB, FR, km leer?",CONCATENATE(VLOOKUP(VALUE(I655),[1]Grundlage!$A$1:$B$14,2,0),IF(LEFT(A655,1)="A",IF(VALUE(MID(A655,2,10))&lt;10,"A00"&amp;VALUE(MID(A655,2,10)),IF(VALUE(MID(A655,2,10))&lt;100,"A0"&amp;VALUE(MID(A655,2,10)),IF(VALUE(MID(A655,2,10))&lt;1000,"A"&amp;VALUE(MID(A655,2,10))))),IF(LEFT(A655,1)="B",IF(VALUE(MID(A655,2,10))&lt;10,"B00"&amp;VALUE(MID(A655,2,10)),IF(VALUE(MID(A655,2,10))&lt;100,"B0"&amp;VALUE(MID(A655,2,10)),IF(VALUE(MID(A655,2,10))&lt;1000,"B"&amp;VALUE(MID(A655,2,10))))),A655)),"_",IF(NOT(OR(C655=1000,C655&gt;1000)),MID(TEXT((C655+1000)*1000,0),2,6),"keine Meter in Spalte km!!!"),IF(VALUE(I655)=1,CONCATENATE("_",VLOOKUP(IF(V655&gt;0,V655,J655),[1]Grundlage!$A$20:$B$181,2,0)),CONCATENATE("_",B655))))</f>
        <v>UQ_A009_450590_N</v>
      </c>
      <c r="F655" s="2" t="s">
        <v>272</v>
      </c>
      <c r="G655" s="167">
        <f t="shared" si="129"/>
        <v>3539</v>
      </c>
      <c r="H655">
        <f t="shared" si="130"/>
        <v>111</v>
      </c>
      <c r="I655" s="2">
        <f t="shared" si="133"/>
        <v>3</v>
      </c>
      <c r="J655" s="2">
        <f t="shared" si="134"/>
        <v>82</v>
      </c>
      <c r="K655" s="13">
        <v>209</v>
      </c>
      <c r="L655" s="2">
        <f t="shared" si="135"/>
        <v>15</v>
      </c>
      <c r="M655" s="2">
        <f t="shared" si="136"/>
        <v>1</v>
      </c>
      <c r="N655" s="2">
        <f t="shared" si="137"/>
        <v>13</v>
      </c>
      <c r="P655" s="168">
        <f t="shared" si="138"/>
        <v>72</v>
      </c>
      <c r="AT655" s="19">
        <v>3</v>
      </c>
      <c r="AU655" s="14">
        <v>82</v>
      </c>
      <c r="AV655" s="14">
        <v>52</v>
      </c>
      <c r="AW655" s="13"/>
      <c r="AX655" s="13"/>
      <c r="AY655" s="19">
        <v>1</v>
      </c>
      <c r="AZ655" s="14">
        <v>13</v>
      </c>
      <c r="BA655" s="34" t="s">
        <v>80</v>
      </c>
      <c r="BB655" s="13" t="s">
        <v>272</v>
      </c>
      <c r="BF655" s="13" t="s">
        <v>488</v>
      </c>
    </row>
    <row r="656" spans="1:58" ht="14.25" x14ac:dyDescent="0.2">
      <c r="A656" t="str">
        <f t="shared" si="131"/>
        <v>A9</v>
      </c>
      <c r="C656">
        <f t="shared" si="132"/>
        <v>450.59</v>
      </c>
      <c r="D656" t="str">
        <f t="shared" si="128"/>
        <v/>
      </c>
      <c r="E656" s="169" t="str">
        <f>IF(OR(A656="",B656="",C656=""),"",CONCATENATE(VLOOKUP(VALUE(I656),[1]Grundlage!$A$1:$B$14,2,0),IF(LEFT(A656,1)="A",IF(VALUE(MID(A656,2,10))&lt;10,"A00"&amp;VALUE(MID(A656,2,10)),IF(VALUE(MID(A656,2,10))&lt;100,"A0"&amp;VALUE(MID(A656,2,10)),IF(VALUE(MID(A656,2,10))&lt;1000,"A"&amp;VALUE(MID(A656,2,10))))),IF(LEFT(A656,1)="B",IF(VALUE(MID(A656,2,10))&lt;10,"B00"&amp;VALUE(MID(A656,2,10)),IF(VALUE(MID(A656,2,10))&lt;100,"B0"&amp;VALUE(MID(A656,2,10)),IF(VALUE(MID(A656,2,10))&lt;1000,"B"&amp;VALUE(MID(A656,2,10))))),A656)),"_",IF(NOT(OR(C656=1000,C656&gt;1000)),MID(TEXT((C656+1000)*1000,0),2,6),"keine Meter in Spalte km!!!"),IF(VALUE(I656)=1,CONCATENATE("_",VLOOKUP(IF(V656&gt;0,V656,J656),[1]Grundlage!$A$20:$B$181,2,0)),CONCATENATE("_",B656))))</f>
        <v/>
      </c>
      <c r="F656" s="2" t="s">
        <v>669</v>
      </c>
      <c r="G656" s="167">
        <f t="shared" si="129"/>
        <v>3539</v>
      </c>
      <c r="H656">
        <f t="shared" si="130"/>
        <v>111</v>
      </c>
      <c r="I656" s="2">
        <f t="shared" si="133"/>
        <v>0</v>
      </c>
      <c r="J656" s="2">
        <f t="shared" si="134"/>
        <v>0</v>
      </c>
      <c r="K656" s="13">
        <v>209</v>
      </c>
      <c r="L656" s="2">
        <f t="shared" si="135"/>
        <v>15</v>
      </c>
      <c r="M656" s="2" t="str">
        <f t="shared" si="136"/>
        <v/>
      </c>
      <c r="N656" s="2" t="str">
        <f t="shared" si="137"/>
        <v/>
      </c>
      <c r="P656" s="168" t="str">
        <f t="shared" si="138"/>
        <v/>
      </c>
      <c r="AT656" s="19"/>
      <c r="AU656" s="14"/>
      <c r="AV656" s="14"/>
      <c r="AY656" s="1"/>
      <c r="AZ656" s="14"/>
      <c r="BB656" s="13"/>
    </row>
    <row r="657" spans="1:58" ht="14.25" x14ac:dyDescent="0.2">
      <c r="A657" t="str">
        <f t="shared" si="131"/>
        <v>A9</v>
      </c>
      <c r="B657" s="2" t="s">
        <v>655</v>
      </c>
      <c r="C657">
        <f t="shared" si="132"/>
        <v>462.99</v>
      </c>
      <c r="D657" t="str">
        <f t="shared" si="128"/>
        <v>SS</v>
      </c>
      <c r="E657" s="169" t="str">
        <f>IF(OR(A657="",B657="",C657=""),"eine der Spalten BAB, FR, km leer?",CONCATENATE(VLOOKUP(VALUE(I657),[1]Grundlage!$A$1:$B$14,2,0),IF(LEFT(A657,1)="A",IF(VALUE(MID(A657,2,10))&lt;10,"A00"&amp;VALUE(MID(A657,2,10)),IF(VALUE(MID(A657,2,10))&lt;100,"A0"&amp;VALUE(MID(A657,2,10)),IF(VALUE(MID(A657,2,10))&lt;1000,"A"&amp;VALUE(MID(A657,2,10))))),IF(LEFT(A657,1)="B",IF(VALUE(MID(A657,2,10))&lt;10,"B00"&amp;VALUE(MID(A657,2,10)),IF(VALUE(MID(A657,2,10))&lt;100,"B0"&amp;VALUE(MID(A657,2,10)),IF(VALUE(MID(A657,2,10))&lt;1000,"B"&amp;VALUE(MID(A657,2,10))))),A657)),"_",IF(NOT(OR(C657=1000,C657&gt;1000)),MID(TEXT((C657+1000)*1000,0),2,6),"keine Meter in Spalte km!!!"),IF(VALUE(I657)=1,CONCATENATE("_",VLOOKUP(IF(V657&gt;0,V657,J657),[1]Grundlage!$A$20:$B$181,2,0)),CONCATENATE("_",B657))))</f>
        <v>SSt_A009_462990_S</v>
      </c>
      <c r="F657" s="2" t="s">
        <v>119</v>
      </c>
      <c r="G657" s="167">
        <f t="shared" si="129"/>
        <v>3579</v>
      </c>
      <c r="H657">
        <f t="shared" si="130"/>
        <v>161</v>
      </c>
      <c r="I657" s="2">
        <f t="shared" si="133"/>
        <v>254</v>
      </c>
      <c r="J657" s="2">
        <f t="shared" si="134"/>
        <v>0</v>
      </c>
      <c r="K657" s="13">
        <v>209</v>
      </c>
      <c r="L657" s="2">
        <f t="shared" si="135"/>
        <v>16</v>
      </c>
      <c r="M657" s="2" t="str">
        <f t="shared" si="136"/>
        <v/>
      </c>
      <c r="N657" s="2" t="str">
        <f t="shared" si="137"/>
        <v/>
      </c>
      <c r="P657" s="168" t="str">
        <f t="shared" si="138"/>
        <v/>
      </c>
      <c r="AI657" s="35">
        <v>462.99</v>
      </c>
      <c r="AJ657" s="36" t="s">
        <v>19</v>
      </c>
      <c r="AK657" s="36" t="s">
        <v>116</v>
      </c>
      <c r="AL657" s="36"/>
      <c r="AM657" s="36"/>
      <c r="AN657" s="36"/>
      <c r="AO657" s="36"/>
      <c r="AP657" s="36">
        <v>916385</v>
      </c>
      <c r="AQ657" s="45" t="s">
        <v>80</v>
      </c>
      <c r="AR657" s="45" t="s">
        <v>247</v>
      </c>
      <c r="AS657" s="45" t="s">
        <v>204</v>
      </c>
      <c r="AT657" s="36"/>
      <c r="AU657" s="36"/>
      <c r="AV657" s="36"/>
      <c r="AW657" s="36"/>
      <c r="AX657" s="36">
        <v>16</v>
      </c>
      <c r="AY657" s="36"/>
      <c r="AZ657" s="36"/>
      <c r="BA657" s="36"/>
      <c r="BB657" s="37" t="s">
        <v>119</v>
      </c>
      <c r="BC657" s="38"/>
      <c r="BD657" s="96" t="s">
        <v>163</v>
      </c>
      <c r="BE657" s="39" t="s">
        <v>118</v>
      </c>
      <c r="BF657" s="2" t="s">
        <v>451</v>
      </c>
    </row>
    <row r="658" spans="1:58" ht="14.25" x14ac:dyDescent="0.2">
      <c r="A658" t="str">
        <f t="shared" si="131"/>
        <v>A9</v>
      </c>
      <c r="B658" s="2" t="s">
        <v>655</v>
      </c>
      <c r="C658">
        <f t="shared" si="132"/>
        <v>462.99</v>
      </c>
      <c r="D658" t="str">
        <f t="shared" si="128"/>
        <v>UFD</v>
      </c>
      <c r="E658" s="169" t="str">
        <f>IF(OR(A658="",B658="",C658=""),"eine der Spalten BAB, FR, km leer?",CONCATENATE(VLOOKUP(VALUE(I658),[1]Grundlage!$A$1:$B$14,2,0),IF(LEFT(A658,1)="A",IF(VALUE(MID(A658,2,10))&lt;10,"A00"&amp;VALUE(MID(A658,2,10)),IF(VALUE(MID(A658,2,10))&lt;100,"A0"&amp;VALUE(MID(A658,2,10)),IF(VALUE(MID(A658,2,10))&lt;1000,"A"&amp;VALUE(MID(A658,2,10))))),IF(LEFT(A658,1)="B",IF(VALUE(MID(A658,2,10))&lt;10,"B00"&amp;VALUE(MID(A658,2,10)),IF(VALUE(MID(A658,2,10))&lt;100,"B0"&amp;VALUE(MID(A658,2,10)),IF(VALUE(MID(A658,2,10))&lt;1000,"B"&amp;VALUE(MID(A658,2,10))))),A658)),"_",IF(NOT(OR(C658=1000,C658&gt;1000)),MID(TEXT((C658+1000)*1000,0),2,6),"keine Meter in Spalte km!!!"),IF(VALUE(I658)=1,CONCATENATE("_",VLOOKUP(IF(V658&gt;0,V658,J658),[1]Grundlage!$A$20:$B$181,2,0)),CONCATENATE("_",B658))))</f>
        <v>UQ_A009_462990_S</v>
      </c>
      <c r="F658" s="2" t="s">
        <v>269</v>
      </c>
      <c r="G658" s="167">
        <f t="shared" si="129"/>
        <v>3579</v>
      </c>
      <c r="H658">
        <f t="shared" si="130"/>
        <v>161</v>
      </c>
      <c r="I658" s="2">
        <f t="shared" si="133"/>
        <v>3</v>
      </c>
      <c r="J658" s="2">
        <f t="shared" si="134"/>
        <v>6</v>
      </c>
      <c r="K658" s="13">
        <v>209</v>
      </c>
      <c r="L658" s="2">
        <f t="shared" si="135"/>
        <v>16</v>
      </c>
      <c r="M658" s="2">
        <f t="shared" si="136"/>
        <v>1</v>
      </c>
      <c r="N658" s="2">
        <f t="shared" si="137"/>
        <v>1</v>
      </c>
      <c r="P658" s="168">
        <f t="shared" si="138"/>
        <v>71</v>
      </c>
      <c r="AT658" s="19">
        <v>3</v>
      </c>
      <c r="AU658" s="14">
        <v>6</v>
      </c>
      <c r="AV658" s="27">
        <v>6</v>
      </c>
      <c r="AW658" s="19"/>
      <c r="AX658" s="19"/>
      <c r="AY658" s="19">
        <v>1</v>
      </c>
      <c r="AZ658" s="14">
        <v>1</v>
      </c>
      <c r="BA658" s="27"/>
      <c r="BB658" s="13" t="s">
        <v>269</v>
      </c>
      <c r="BF658" s="2" t="s">
        <v>440</v>
      </c>
    </row>
    <row r="659" spans="1:58" ht="14.25" x14ac:dyDescent="0.2">
      <c r="A659" t="str">
        <f t="shared" si="131"/>
        <v>A9</v>
      </c>
      <c r="B659" s="2" t="s">
        <v>655</v>
      </c>
      <c r="C659">
        <f t="shared" si="132"/>
        <v>462.99</v>
      </c>
      <c r="D659" t="str">
        <f t="shared" si="128"/>
        <v>UFD</v>
      </c>
      <c r="E659" s="169" t="str">
        <f>IF(OR(A659="",B659="",C659=""),"eine der Spalten BAB, FR, km leer?",CONCATENATE(VLOOKUP(VALUE(I659),[1]Grundlage!$A$1:$B$14,2,0),IF(LEFT(A659,1)="A",IF(VALUE(MID(A659,2,10))&lt;10,"A00"&amp;VALUE(MID(A659,2,10)),IF(VALUE(MID(A659,2,10))&lt;100,"A0"&amp;VALUE(MID(A659,2,10)),IF(VALUE(MID(A659,2,10))&lt;1000,"A"&amp;VALUE(MID(A659,2,10))))),IF(LEFT(A659,1)="B",IF(VALUE(MID(A659,2,10))&lt;10,"B00"&amp;VALUE(MID(A659,2,10)),IF(VALUE(MID(A659,2,10))&lt;100,"B0"&amp;VALUE(MID(A659,2,10)),IF(VALUE(MID(A659,2,10))&lt;1000,"B"&amp;VALUE(MID(A659,2,10))))),A659)),"_",IF(NOT(OR(C659=1000,C659&gt;1000)),MID(TEXT((C659+1000)*1000,0),2,6),"keine Meter in Spalte km!!!"),IF(VALUE(I659)=1,CONCATENATE("_",VLOOKUP(IF(V659&gt;0,V659,J659),[1]Grundlage!$A$20:$B$181,2,0)),CONCATENATE("_",B659))))</f>
        <v>UQ_A009_462990_S</v>
      </c>
      <c r="F659" s="2" t="s">
        <v>270</v>
      </c>
      <c r="G659" s="167">
        <f t="shared" si="129"/>
        <v>3579</v>
      </c>
      <c r="H659">
        <f t="shared" si="130"/>
        <v>161</v>
      </c>
      <c r="I659" s="2">
        <f t="shared" si="133"/>
        <v>3</v>
      </c>
      <c r="J659" s="2">
        <f t="shared" si="134"/>
        <v>11</v>
      </c>
      <c r="K659" s="13">
        <v>209</v>
      </c>
      <c r="L659" s="2">
        <f t="shared" si="135"/>
        <v>16</v>
      </c>
      <c r="M659" s="2">
        <f t="shared" si="136"/>
        <v>1</v>
      </c>
      <c r="N659" s="2">
        <f t="shared" si="137"/>
        <v>2</v>
      </c>
      <c r="P659" s="168">
        <f t="shared" si="138"/>
        <v>70</v>
      </c>
      <c r="AT659" s="19">
        <v>3</v>
      </c>
      <c r="AU659" s="14">
        <v>11</v>
      </c>
      <c r="AV659" s="14" t="s">
        <v>78</v>
      </c>
      <c r="AW659" s="13"/>
      <c r="AX659" s="13"/>
      <c r="AY659" s="19">
        <f>AY658</f>
        <v>1</v>
      </c>
      <c r="AZ659" s="14">
        <v>2</v>
      </c>
      <c r="BA659" s="14"/>
      <c r="BB659" s="13" t="s">
        <v>270</v>
      </c>
      <c r="BF659" s="2" t="s">
        <v>478</v>
      </c>
    </row>
    <row r="660" spans="1:58" ht="14.25" x14ac:dyDescent="0.2">
      <c r="A660" t="str">
        <f t="shared" si="131"/>
        <v>A9</v>
      </c>
      <c r="B660" s="2" t="s">
        <v>655</v>
      </c>
      <c r="C660">
        <f t="shared" si="132"/>
        <v>462.99</v>
      </c>
      <c r="D660" t="str">
        <f t="shared" si="128"/>
        <v>UFD</v>
      </c>
      <c r="E660" s="169" t="str">
        <f>IF(OR(A660="",B660="",C660=""),"eine der Spalten BAB, FR, km leer?",CONCATENATE(VLOOKUP(VALUE(I660),[1]Grundlage!$A$1:$B$14,2,0),IF(LEFT(A660,1)="A",IF(VALUE(MID(A660,2,10))&lt;10,"A00"&amp;VALUE(MID(A660,2,10)),IF(VALUE(MID(A660,2,10))&lt;100,"A0"&amp;VALUE(MID(A660,2,10)),IF(VALUE(MID(A660,2,10))&lt;1000,"A"&amp;VALUE(MID(A660,2,10))))),IF(LEFT(A660,1)="B",IF(VALUE(MID(A660,2,10))&lt;10,"B00"&amp;VALUE(MID(A660,2,10)),IF(VALUE(MID(A660,2,10))&lt;100,"B0"&amp;VALUE(MID(A660,2,10)),IF(VALUE(MID(A660,2,10))&lt;1000,"B"&amp;VALUE(MID(A660,2,10))))),A660)),"_",IF(NOT(OR(C660=1000,C660&gt;1000)),MID(TEXT((C660+1000)*1000,0),2,6),"keine Meter in Spalte km!!!"),IF(VALUE(I660)=1,CONCATENATE("_",VLOOKUP(IF(V660&gt;0,V660,J660),[1]Grundlage!$A$20:$B$181,2,0)),CONCATENATE("_",B660))))</f>
        <v>UQ_A009_462990_S</v>
      </c>
      <c r="F660" s="2" t="s">
        <v>25</v>
      </c>
      <c r="G660" s="167">
        <f t="shared" si="129"/>
        <v>3579</v>
      </c>
      <c r="H660">
        <f t="shared" si="130"/>
        <v>161</v>
      </c>
      <c r="I660" s="2">
        <f t="shared" si="133"/>
        <v>3</v>
      </c>
      <c r="J660" s="2">
        <f t="shared" si="134"/>
        <v>12</v>
      </c>
      <c r="K660" s="13">
        <v>209</v>
      </c>
      <c r="L660" s="2">
        <f t="shared" si="135"/>
        <v>16</v>
      </c>
      <c r="M660" s="2">
        <f t="shared" si="136"/>
        <v>1</v>
      </c>
      <c r="N660" s="2">
        <f t="shared" si="137"/>
        <v>3</v>
      </c>
      <c r="P660" s="168">
        <f t="shared" si="138"/>
        <v>48</v>
      </c>
      <c r="AT660" s="19">
        <v>3</v>
      </c>
      <c r="AU660" s="14">
        <v>12</v>
      </c>
      <c r="AV660" s="14" t="s">
        <v>79</v>
      </c>
      <c r="AW660" s="13"/>
      <c r="AX660" s="13"/>
      <c r="AY660" s="19">
        <v>1</v>
      </c>
      <c r="AZ660" s="14">
        <v>3</v>
      </c>
      <c r="BA660" s="14">
        <v>10</v>
      </c>
      <c r="BB660" s="13" t="s">
        <v>25</v>
      </c>
      <c r="BF660" s="13" t="s">
        <v>441</v>
      </c>
    </row>
    <row r="661" spans="1:58" ht="14.25" x14ac:dyDescent="0.2">
      <c r="A661" t="str">
        <f t="shared" si="131"/>
        <v>A9</v>
      </c>
      <c r="B661" s="2" t="s">
        <v>655</v>
      </c>
      <c r="C661">
        <f t="shared" si="132"/>
        <v>462.99</v>
      </c>
      <c r="D661" t="str">
        <f t="shared" si="128"/>
        <v>UFD</v>
      </c>
      <c r="E661" s="169" t="str">
        <f>IF(OR(A661="",B661="",C661=""),"eine der Spalten BAB, FR, km leer?",CONCATENATE(VLOOKUP(VALUE(I661),[1]Grundlage!$A$1:$B$14,2,0),IF(LEFT(A661,1)="A",IF(VALUE(MID(A661,2,10))&lt;10,"A00"&amp;VALUE(MID(A661,2,10)),IF(VALUE(MID(A661,2,10))&lt;100,"A0"&amp;VALUE(MID(A661,2,10)),IF(VALUE(MID(A661,2,10))&lt;1000,"A"&amp;VALUE(MID(A661,2,10))))),IF(LEFT(A661,1)="B",IF(VALUE(MID(A661,2,10))&lt;10,"B00"&amp;VALUE(MID(A661,2,10)),IF(VALUE(MID(A661,2,10))&lt;100,"B0"&amp;VALUE(MID(A661,2,10)),IF(VALUE(MID(A661,2,10))&lt;1000,"B"&amp;VALUE(MID(A661,2,10))))),A661)),"_",IF(NOT(OR(C661=1000,C661&gt;1000)),MID(TEXT((C661+1000)*1000,0),2,6),"keine Meter in Spalte km!!!"),IF(VALUE(I661)=1,CONCATENATE("_",VLOOKUP(IF(V661&gt;0,V661,J661),[1]Grundlage!$A$20:$B$181,2,0)),CONCATENATE("_",B661))))</f>
        <v>UQ_A009_462990_S</v>
      </c>
      <c r="F661" s="2" t="s">
        <v>26</v>
      </c>
      <c r="G661" s="167">
        <f t="shared" si="129"/>
        <v>3579</v>
      </c>
      <c r="H661">
        <f t="shared" si="130"/>
        <v>161</v>
      </c>
      <c r="I661" s="2">
        <f t="shared" si="133"/>
        <v>3</v>
      </c>
      <c r="J661" s="2">
        <f t="shared" si="134"/>
        <v>13</v>
      </c>
      <c r="K661" s="13">
        <v>209</v>
      </c>
      <c r="L661" s="2">
        <f t="shared" si="135"/>
        <v>16</v>
      </c>
      <c r="M661" s="2">
        <f t="shared" si="136"/>
        <v>1</v>
      </c>
      <c r="N661" s="2">
        <f t="shared" si="137"/>
        <v>4</v>
      </c>
      <c r="P661" s="168">
        <f t="shared" si="138"/>
        <v>55</v>
      </c>
      <c r="AT661" s="19">
        <v>3</v>
      </c>
      <c r="AU661" s="14">
        <v>13</v>
      </c>
      <c r="AV661" s="14" t="s">
        <v>80</v>
      </c>
      <c r="AW661" s="13"/>
      <c r="AX661" s="13"/>
      <c r="AY661" s="19">
        <v>1</v>
      </c>
      <c r="AZ661" s="14">
        <v>4</v>
      </c>
      <c r="BA661" s="14">
        <v>11</v>
      </c>
      <c r="BB661" s="13" t="s">
        <v>26</v>
      </c>
      <c r="BF661" s="13" t="s">
        <v>442</v>
      </c>
    </row>
    <row r="662" spans="1:58" ht="14.25" x14ac:dyDescent="0.2">
      <c r="A662" t="str">
        <f t="shared" si="131"/>
        <v>A9</v>
      </c>
      <c r="B662" s="2" t="s">
        <v>655</v>
      </c>
      <c r="C662">
        <f t="shared" si="132"/>
        <v>462.99</v>
      </c>
      <c r="D662" t="str">
        <f t="shared" si="128"/>
        <v>UFD</v>
      </c>
      <c r="E662" s="169" t="str">
        <f>IF(OR(A662="",B662="",C662=""),"eine der Spalten BAB, FR, km leer?",CONCATENATE(VLOOKUP(VALUE(I662),[1]Grundlage!$A$1:$B$14,2,0),IF(LEFT(A662,1)="A",IF(VALUE(MID(A662,2,10))&lt;10,"A00"&amp;VALUE(MID(A662,2,10)),IF(VALUE(MID(A662,2,10))&lt;100,"A0"&amp;VALUE(MID(A662,2,10)),IF(VALUE(MID(A662,2,10))&lt;1000,"A"&amp;VALUE(MID(A662,2,10))))),IF(LEFT(A662,1)="B",IF(VALUE(MID(A662,2,10))&lt;10,"B00"&amp;VALUE(MID(A662,2,10)),IF(VALUE(MID(A662,2,10))&lt;100,"B0"&amp;VALUE(MID(A662,2,10)),IF(VALUE(MID(A662,2,10))&lt;1000,"B"&amp;VALUE(MID(A662,2,10))))),A662)),"_",IF(NOT(OR(C662=1000,C662&gt;1000)),MID(TEXT((C662+1000)*1000,0),2,6),"keine Meter in Spalte km!!!"),IF(VALUE(I662)=1,CONCATENATE("_",VLOOKUP(IF(V662&gt;0,V662,J662),[1]Grundlage!$A$20:$B$181,2,0)),CONCATENATE("_",B662))))</f>
        <v>UQ_A009_462990_S</v>
      </c>
      <c r="F662" s="2" t="s">
        <v>27</v>
      </c>
      <c r="G662" s="167">
        <f t="shared" si="129"/>
        <v>3579</v>
      </c>
      <c r="H662">
        <f t="shared" si="130"/>
        <v>161</v>
      </c>
      <c r="I662" s="2">
        <f t="shared" si="133"/>
        <v>3</v>
      </c>
      <c r="J662" s="2">
        <f t="shared" si="134"/>
        <v>14</v>
      </c>
      <c r="K662" s="13">
        <v>209</v>
      </c>
      <c r="L662" s="2">
        <f t="shared" si="135"/>
        <v>16</v>
      </c>
      <c r="M662" s="2">
        <f t="shared" si="136"/>
        <v>1</v>
      </c>
      <c r="N662" s="2">
        <f t="shared" si="137"/>
        <v>5</v>
      </c>
      <c r="P662" s="168">
        <f t="shared" si="138"/>
        <v>66</v>
      </c>
      <c r="AT662" s="19">
        <v>3</v>
      </c>
      <c r="AU662" s="14">
        <v>14</v>
      </c>
      <c r="AV662" s="14" t="s">
        <v>81</v>
      </c>
      <c r="AW662" s="13"/>
      <c r="AX662" s="13"/>
      <c r="AY662" s="19">
        <v>1</v>
      </c>
      <c r="AZ662" s="14">
        <v>5</v>
      </c>
      <c r="BA662" s="14">
        <v>12</v>
      </c>
      <c r="BB662" s="13" t="s">
        <v>27</v>
      </c>
      <c r="BF662" s="13" t="s">
        <v>443</v>
      </c>
    </row>
    <row r="663" spans="1:58" ht="14.25" x14ac:dyDescent="0.2">
      <c r="A663" t="str">
        <f t="shared" si="131"/>
        <v>A9</v>
      </c>
      <c r="B663" s="2" t="s">
        <v>655</v>
      </c>
      <c r="C663">
        <f t="shared" si="132"/>
        <v>462.99</v>
      </c>
      <c r="D663" t="str">
        <f t="shared" si="128"/>
        <v>UFD</v>
      </c>
      <c r="E663" s="169" t="str">
        <f>IF(OR(A663="",B663="",C663=""),"eine der Spalten BAB, FR, km leer?",CONCATENATE(VLOOKUP(VALUE(I663),[1]Grundlage!$A$1:$B$14,2,0),IF(LEFT(A663,1)="A",IF(VALUE(MID(A663,2,10))&lt;10,"A00"&amp;VALUE(MID(A663,2,10)),IF(VALUE(MID(A663,2,10))&lt;100,"A0"&amp;VALUE(MID(A663,2,10)),IF(VALUE(MID(A663,2,10))&lt;1000,"A"&amp;VALUE(MID(A663,2,10))))),IF(LEFT(A663,1)="B",IF(VALUE(MID(A663,2,10))&lt;10,"B00"&amp;VALUE(MID(A663,2,10)),IF(VALUE(MID(A663,2,10))&lt;100,"B0"&amp;VALUE(MID(A663,2,10)),IF(VALUE(MID(A663,2,10))&lt;1000,"B"&amp;VALUE(MID(A663,2,10))))),A663)),"_",IF(NOT(OR(C663=1000,C663&gt;1000)),MID(TEXT((C663+1000)*1000,0),2,6),"keine Meter in Spalte km!!!"),IF(VALUE(I663)=1,CONCATENATE("_",VLOOKUP(IF(V663&gt;0,V663,J663),[1]Grundlage!$A$20:$B$181,2,0)),CONCATENATE("_",B663))))</f>
        <v>UQ_A009_462990_S</v>
      </c>
      <c r="F663" s="2" t="s">
        <v>28</v>
      </c>
      <c r="G663" s="167">
        <f t="shared" si="129"/>
        <v>3579</v>
      </c>
      <c r="H663">
        <f t="shared" si="130"/>
        <v>161</v>
      </c>
      <c r="I663" s="2">
        <f t="shared" si="133"/>
        <v>3</v>
      </c>
      <c r="J663" s="2">
        <f t="shared" si="134"/>
        <v>15</v>
      </c>
      <c r="K663" s="13">
        <v>209</v>
      </c>
      <c r="L663" s="2">
        <f t="shared" si="135"/>
        <v>16</v>
      </c>
      <c r="M663" s="2">
        <f t="shared" si="136"/>
        <v>1</v>
      </c>
      <c r="N663" s="2">
        <f t="shared" si="137"/>
        <v>6</v>
      </c>
      <c r="P663" s="168">
        <f t="shared" si="138"/>
        <v>65</v>
      </c>
      <c r="AT663" s="19">
        <v>3</v>
      </c>
      <c r="AU663" s="14">
        <v>15</v>
      </c>
      <c r="AV663" s="14" t="s">
        <v>82</v>
      </c>
      <c r="AW663" s="13"/>
      <c r="AX663" s="13"/>
      <c r="AY663" s="19">
        <v>1</v>
      </c>
      <c r="AZ663" s="14">
        <v>6</v>
      </c>
      <c r="BA663" s="14">
        <v>13</v>
      </c>
      <c r="BB663" s="13" t="s">
        <v>28</v>
      </c>
      <c r="BF663" s="13" t="s">
        <v>482</v>
      </c>
    </row>
    <row r="664" spans="1:58" ht="14.25" x14ac:dyDescent="0.2">
      <c r="A664" t="str">
        <f t="shared" si="131"/>
        <v>A9</v>
      </c>
      <c r="B664" s="2" t="s">
        <v>655</v>
      </c>
      <c r="C664">
        <f t="shared" si="132"/>
        <v>462.99</v>
      </c>
      <c r="D664" t="str">
        <f t="shared" si="128"/>
        <v>UFD</v>
      </c>
      <c r="E664" s="169" t="str">
        <f>IF(OR(A664="",B664="",C664=""),"eine der Spalten BAB, FR, km leer?",CONCATENATE(VLOOKUP(VALUE(I664),[1]Grundlage!$A$1:$B$14,2,0),IF(LEFT(A664,1)="A",IF(VALUE(MID(A664,2,10))&lt;10,"A00"&amp;VALUE(MID(A664,2,10)),IF(VALUE(MID(A664,2,10))&lt;100,"A0"&amp;VALUE(MID(A664,2,10)),IF(VALUE(MID(A664,2,10))&lt;1000,"A"&amp;VALUE(MID(A664,2,10))))),IF(LEFT(A664,1)="B",IF(VALUE(MID(A664,2,10))&lt;10,"B00"&amp;VALUE(MID(A664,2,10)),IF(VALUE(MID(A664,2,10))&lt;100,"B0"&amp;VALUE(MID(A664,2,10)),IF(VALUE(MID(A664,2,10))&lt;1000,"B"&amp;VALUE(MID(A664,2,10))))),A664)),"_",IF(NOT(OR(C664=1000,C664&gt;1000)),MID(TEXT((C664+1000)*1000,0),2,6),"keine Meter in Spalte km!!!"),IF(VALUE(I664)=1,CONCATENATE("_",VLOOKUP(IF(V664&gt;0,V664,J664),[1]Grundlage!$A$20:$B$181,2,0)),CONCATENATE("_",B664))))</f>
        <v>UQ_A009_462990_S</v>
      </c>
      <c r="F664" s="2" t="s">
        <v>29</v>
      </c>
      <c r="G664" s="167">
        <f t="shared" si="129"/>
        <v>3579</v>
      </c>
      <c r="H664">
        <f t="shared" si="130"/>
        <v>161</v>
      </c>
      <c r="I664" s="2">
        <f t="shared" si="133"/>
        <v>3</v>
      </c>
      <c r="J664" s="2">
        <f t="shared" si="134"/>
        <v>19</v>
      </c>
      <c r="K664" s="13">
        <v>209</v>
      </c>
      <c r="L664" s="2">
        <f t="shared" si="135"/>
        <v>16</v>
      </c>
      <c r="M664" s="2">
        <f t="shared" si="136"/>
        <v>1</v>
      </c>
      <c r="N664" s="2">
        <f t="shared" si="137"/>
        <v>7</v>
      </c>
      <c r="P664" s="168">
        <f t="shared" si="138"/>
        <v>49</v>
      </c>
      <c r="AT664" s="19">
        <v>3</v>
      </c>
      <c r="AU664" s="14">
        <v>19</v>
      </c>
      <c r="AV664" s="14">
        <v>13</v>
      </c>
      <c r="AW664" s="13"/>
      <c r="AX664" s="13"/>
      <c r="AY664" s="19">
        <v>1</v>
      </c>
      <c r="AZ664" s="14">
        <v>7</v>
      </c>
      <c r="BA664" s="14">
        <v>17</v>
      </c>
      <c r="BB664" s="13" t="s">
        <v>29</v>
      </c>
      <c r="BF664" s="13" t="s">
        <v>479</v>
      </c>
    </row>
    <row r="665" spans="1:58" ht="14.25" x14ac:dyDescent="0.2">
      <c r="A665" t="str">
        <f t="shared" si="131"/>
        <v>A9</v>
      </c>
      <c r="B665" s="2" t="s">
        <v>655</v>
      </c>
      <c r="C665">
        <f t="shared" si="132"/>
        <v>462.99</v>
      </c>
      <c r="D665" t="str">
        <f t="shared" si="128"/>
        <v>UFD</v>
      </c>
      <c r="E665" s="169" t="str">
        <f>IF(OR(A665="",B665="",C665=""),"eine der Spalten BAB, FR, km leer?",CONCATENATE(VLOOKUP(VALUE(I665),[1]Grundlage!$A$1:$B$14,2,0),IF(LEFT(A665,1)="A",IF(VALUE(MID(A665,2,10))&lt;10,"A00"&amp;VALUE(MID(A665,2,10)),IF(VALUE(MID(A665,2,10))&lt;100,"A0"&amp;VALUE(MID(A665,2,10)),IF(VALUE(MID(A665,2,10))&lt;1000,"A"&amp;VALUE(MID(A665,2,10))))),IF(LEFT(A665,1)="B",IF(VALUE(MID(A665,2,10))&lt;10,"B00"&amp;VALUE(MID(A665,2,10)),IF(VALUE(MID(A665,2,10))&lt;100,"B0"&amp;VALUE(MID(A665,2,10)),IF(VALUE(MID(A665,2,10))&lt;1000,"B"&amp;VALUE(MID(A665,2,10))))),A665)),"_",IF(NOT(OR(C665=1000,C665&gt;1000)),MID(TEXT((C665+1000)*1000,0),2,6),"keine Meter in Spalte km!!!"),IF(VALUE(I665)=1,CONCATENATE("_",VLOOKUP(IF(V665&gt;0,V665,J665),[1]Grundlage!$A$20:$B$181,2,0)),CONCATENATE("_",B665))))</f>
        <v>UQ_A009_462990_S</v>
      </c>
      <c r="F665" s="2" t="s">
        <v>30</v>
      </c>
      <c r="G665" s="167">
        <f t="shared" si="129"/>
        <v>3579</v>
      </c>
      <c r="H665">
        <f t="shared" si="130"/>
        <v>161</v>
      </c>
      <c r="I665" s="2">
        <f t="shared" si="133"/>
        <v>3</v>
      </c>
      <c r="J665" s="2">
        <f t="shared" si="134"/>
        <v>21</v>
      </c>
      <c r="K665" s="13">
        <v>209</v>
      </c>
      <c r="L665" s="2">
        <f t="shared" si="135"/>
        <v>16</v>
      </c>
      <c r="M665" s="2">
        <f t="shared" si="136"/>
        <v>1</v>
      </c>
      <c r="N665" s="2">
        <f t="shared" si="137"/>
        <v>8</v>
      </c>
      <c r="P665" s="168">
        <f t="shared" si="138"/>
        <v>67</v>
      </c>
      <c r="AT665" s="19">
        <v>3</v>
      </c>
      <c r="AU665" s="14">
        <v>21</v>
      </c>
      <c r="AV665" s="14">
        <v>15</v>
      </c>
      <c r="AW665" s="13"/>
      <c r="AX665" s="13"/>
      <c r="AY665" s="19">
        <v>1</v>
      </c>
      <c r="AZ665" s="14">
        <v>8</v>
      </c>
      <c r="BA665" s="14">
        <v>19</v>
      </c>
      <c r="BB665" s="13" t="s">
        <v>30</v>
      </c>
      <c r="BF665" s="13" t="s">
        <v>480</v>
      </c>
    </row>
    <row r="666" spans="1:58" ht="14.25" x14ac:dyDescent="0.2">
      <c r="A666" t="str">
        <f t="shared" si="131"/>
        <v>A9</v>
      </c>
      <c r="B666" s="2" t="s">
        <v>655</v>
      </c>
      <c r="C666">
        <f t="shared" si="132"/>
        <v>462.99</v>
      </c>
      <c r="D666" t="str">
        <f t="shared" si="128"/>
        <v>UFD</v>
      </c>
      <c r="E666" s="169" t="str">
        <f>IF(OR(A666="",B666="",C666=""),"eine der Spalten BAB, FR, km leer?",CONCATENATE(VLOOKUP(VALUE(I666),[1]Grundlage!$A$1:$B$14,2,0),IF(LEFT(A666,1)="A",IF(VALUE(MID(A666,2,10))&lt;10,"A00"&amp;VALUE(MID(A666,2,10)),IF(VALUE(MID(A666,2,10))&lt;100,"A0"&amp;VALUE(MID(A666,2,10)),IF(VALUE(MID(A666,2,10))&lt;1000,"A"&amp;VALUE(MID(A666,2,10))))),IF(LEFT(A666,1)="B",IF(VALUE(MID(A666,2,10))&lt;10,"B00"&amp;VALUE(MID(A666,2,10)),IF(VALUE(MID(A666,2,10))&lt;100,"B0"&amp;VALUE(MID(A666,2,10)),IF(VALUE(MID(A666,2,10))&lt;1000,"B"&amp;VALUE(MID(A666,2,10))))),A666)),"_",IF(NOT(OR(C666=1000,C666&gt;1000)),MID(TEXT((C666+1000)*1000,0),2,6),"keine Meter in Spalte km!!!"),IF(VALUE(I666)=1,CONCATENATE("_",VLOOKUP(IF(V666&gt;0,V666,J666),[1]Grundlage!$A$20:$B$181,2,0)),CONCATENATE("_",B666))))</f>
        <v>UQ_A009_462990_S</v>
      </c>
      <c r="F666" s="2" t="s">
        <v>271</v>
      </c>
      <c r="G666" s="167">
        <f t="shared" si="129"/>
        <v>3579</v>
      </c>
      <c r="H666">
        <f t="shared" si="130"/>
        <v>161</v>
      </c>
      <c r="I666" s="2">
        <f t="shared" si="133"/>
        <v>3</v>
      </c>
      <c r="J666" s="2">
        <f t="shared" si="134"/>
        <v>67</v>
      </c>
      <c r="K666" s="13">
        <v>209</v>
      </c>
      <c r="L666" s="2">
        <f t="shared" si="135"/>
        <v>16</v>
      </c>
      <c r="M666" s="2">
        <f t="shared" si="136"/>
        <v>1</v>
      </c>
      <c r="N666" s="2">
        <f t="shared" si="137"/>
        <v>9</v>
      </c>
      <c r="P666" s="168">
        <f t="shared" si="138"/>
        <v>53</v>
      </c>
      <c r="AT666" s="19">
        <v>3</v>
      </c>
      <c r="AU666" s="14">
        <v>67</v>
      </c>
      <c r="AV666" s="14">
        <v>43</v>
      </c>
      <c r="AW666" s="13"/>
      <c r="AX666" s="13"/>
      <c r="AY666" s="19">
        <v>1</v>
      </c>
      <c r="AZ666" s="14">
        <v>9</v>
      </c>
      <c r="BA666" s="34"/>
      <c r="BB666" s="13" t="s">
        <v>271</v>
      </c>
      <c r="BF666" s="13" t="s">
        <v>444</v>
      </c>
    </row>
    <row r="667" spans="1:58" ht="14.25" x14ac:dyDescent="0.2">
      <c r="A667" t="str">
        <f t="shared" si="131"/>
        <v>A9</v>
      </c>
      <c r="B667" s="2" t="s">
        <v>655</v>
      </c>
      <c r="C667">
        <f t="shared" si="132"/>
        <v>462.99</v>
      </c>
      <c r="D667" t="str">
        <f t="shared" si="128"/>
        <v>UFD</v>
      </c>
      <c r="E667" s="169" t="str">
        <f>IF(OR(A667="",B667="",C667=""),"eine der Spalten BAB, FR, km leer?",CONCATENATE(VLOOKUP(VALUE(I667),[1]Grundlage!$A$1:$B$14,2,0),IF(LEFT(A667,1)="A",IF(VALUE(MID(A667,2,10))&lt;10,"A00"&amp;VALUE(MID(A667,2,10)),IF(VALUE(MID(A667,2,10))&lt;100,"A0"&amp;VALUE(MID(A667,2,10)),IF(VALUE(MID(A667,2,10))&lt;1000,"A"&amp;VALUE(MID(A667,2,10))))),IF(LEFT(A667,1)="B",IF(VALUE(MID(A667,2,10))&lt;10,"B00"&amp;VALUE(MID(A667,2,10)),IF(VALUE(MID(A667,2,10))&lt;100,"B0"&amp;VALUE(MID(A667,2,10)),IF(VALUE(MID(A667,2,10))&lt;1000,"B"&amp;VALUE(MID(A667,2,10))))),A667)),"_",IF(NOT(OR(C667=1000,C667&gt;1000)),MID(TEXT((C667+1000)*1000,0),2,6),"keine Meter in Spalte km!!!"),IF(VALUE(I667)=1,CONCATENATE("_",VLOOKUP(IF(V667&gt;0,V667,J667),[1]Grundlage!$A$20:$B$181,2,0)),CONCATENATE("_",B667))))</f>
        <v>UQ_A009_462990_S</v>
      </c>
      <c r="F667" s="2" t="s">
        <v>272</v>
      </c>
      <c r="G667" s="167">
        <f t="shared" si="129"/>
        <v>3579</v>
      </c>
      <c r="H667">
        <f t="shared" si="130"/>
        <v>161</v>
      </c>
      <c r="I667" s="2">
        <f t="shared" si="133"/>
        <v>3</v>
      </c>
      <c r="J667" s="2">
        <f t="shared" si="134"/>
        <v>82</v>
      </c>
      <c r="K667" s="13">
        <v>209</v>
      </c>
      <c r="L667" s="2">
        <f t="shared" si="135"/>
        <v>16</v>
      </c>
      <c r="M667" s="2">
        <f t="shared" si="136"/>
        <v>1</v>
      </c>
      <c r="N667" s="2">
        <f t="shared" si="137"/>
        <v>10</v>
      </c>
      <c r="P667" s="168">
        <f t="shared" si="138"/>
        <v>72</v>
      </c>
      <c r="AT667" s="19">
        <v>3</v>
      </c>
      <c r="AU667" s="14">
        <v>82</v>
      </c>
      <c r="AV667" s="14">
        <v>52</v>
      </c>
      <c r="AW667" s="13"/>
      <c r="AX667" s="13"/>
      <c r="AY667" s="19">
        <v>1</v>
      </c>
      <c r="AZ667" s="14">
        <v>10</v>
      </c>
      <c r="BA667" s="34"/>
      <c r="BB667" s="13" t="s">
        <v>272</v>
      </c>
      <c r="BF667" s="13" t="s">
        <v>481</v>
      </c>
    </row>
    <row r="668" spans="1:58" ht="14.25" x14ac:dyDescent="0.2">
      <c r="A668" t="str">
        <f t="shared" si="131"/>
        <v>A9</v>
      </c>
      <c r="C668">
        <f t="shared" si="132"/>
        <v>462.99</v>
      </c>
      <c r="D668" t="str">
        <f t="shared" ref="D668:D731" si="139">IF(AJ668="SST","SS",IF(AND(AJ668="",ISTEXT(BF668)),"UFD",""))</f>
        <v/>
      </c>
      <c r="E668" s="169" t="str">
        <f>IF(OR(A668="",B668="",C668=""),"",CONCATENATE(VLOOKUP(VALUE(I668),[1]Grundlage!$A$1:$B$14,2,0),IF(LEFT(A668,1)="A",IF(VALUE(MID(A668,2,10))&lt;10,"A00"&amp;VALUE(MID(A668,2,10)),IF(VALUE(MID(A668,2,10))&lt;100,"A0"&amp;VALUE(MID(A668,2,10)),IF(VALUE(MID(A668,2,10))&lt;1000,"A"&amp;VALUE(MID(A668,2,10))))),IF(LEFT(A668,1)="B",IF(VALUE(MID(A668,2,10))&lt;10,"B00"&amp;VALUE(MID(A668,2,10)),IF(VALUE(MID(A668,2,10))&lt;100,"B0"&amp;VALUE(MID(A668,2,10)),IF(VALUE(MID(A668,2,10))&lt;1000,"B"&amp;VALUE(MID(A668,2,10))))),A668)),"_",IF(NOT(OR(C668=1000,C668&gt;1000)),MID(TEXT((C668+1000)*1000,0),2,6),"keine Meter in Spalte km!!!"),IF(VALUE(I668)=1,CONCATENATE("_",VLOOKUP(IF(V668&gt;0,V668,J668),[1]Grundlage!$A$20:$B$181,2,0)),CONCATENATE("_",B668))))</f>
        <v/>
      </c>
      <c r="F668" s="2" t="s">
        <v>669</v>
      </c>
      <c r="G668" s="167" t="e">
        <f>IF(ISBLANK(#REF!),G667,INT(#REF!/256))</f>
        <v>#REF!</v>
      </c>
      <c r="H668" t="e">
        <f>IF(ISBLANK(#REF!),H667,MOD(#REF!,256))</f>
        <v>#REF!</v>
      </c>
      <c r="I668" s="2">
        <f t="shared" si="133"/>
        <v>0</v>
      </c>
      <c r="J668" s="2">
        <f t="shared" si="134"/>
        <v>0</v>
      </c>
      <c r="K668" s="13">
        <v>209</v>
      </c>
      <c r="L668" s="2">
        <f t="shared" si="135"/>
        <v>16</v>
      </c>
      <c r="M668" s="2" t="str">
        <f t="shared" si="136"/>
        <v/>
      </c>
      <c r="N668" s="2" t="str">
        <f t="shared" si="137"/>
        <v/>
      </c>
      <c r="P668" s="168" t="str">
        <f t="shared" si="138"/>
        <v/>
      </c>
      <c r="AO668" s="2" t="s">
        <v>433</v>
      </c>
      <c r="AP668" s="36">
        <v>9206556</v>
      </c>
      <c r="AQ668" s="2" t="s">
        <v>230</v>
      </c>
      <c r="AR668" s="2" t="s">
        <v>227</v>
      </c>
      <c r="AS668" s="13" t="s">
        <v>87</v>
      </c>
      <c r="AT668" s="19"/>
      <c r="AU668" s="14"/>
      <c r="AV668" s="14"/>
      <c r="AY668" s="1"/>
      <c r="AZ668" s="14"/>
      <c r="BB668" s="13"/>
    </row>
    <row r="669" spans="1:58" ht="14.25" x14ac:dyDescent="0.2">
      <c r="A669" t="str">
        <f t="shared" si="131"/>
        <v>A92</v>
      </c>
      <c r="B669" s="2" t="s">
        <v>657</v>
      </c>
      <c r="C669">
        <f t="shared" si="132"/>
        <v>50.05</v>
      </c>
      <c r="D669" t="str">
        <f t="shared" si="139"/>
        <v>SS</v>
      </c>
      <c r="E669" s="169" t="str">
        <f>IF(OR(A669="",B669="",C669=""),"eine der Spalten BAB, FR, km leer?",CONCATENATE(VLOOKUP(VALUE(I669),[1]Grundlage!$A$1:$B$14,2,0),IF(LEFT(A669,1)="A",IF(VALUE(MID(A669,2,10))&lt;10,"A00"&amp;VALUE(MID(A669,2,10)),IF(VALUE(MID(A669,2,10))&lt;100,"A0"&amp;VALUE(MID(A669,2,10)),IF(VALUE(MID(A669,2,10))&lt;1000,"A"&amp;VALUE(MID(A669,2,10))))),IF(LEFT(A669,1)="B",IF(VALUE(MID(A669,2,10))&lt;10,"B00"&amp;VALUE(MID(A669,2,10)),IF(VALUE(MID(A669,2,10))&lt;100,"B0"&amp;VALUE(MID(A669,2,10)),IF(VALUE(MID(A669,2,10))&lt;1000,"B"&amp;VALUE(MID(A669,2,10))))),A669)),"_",IF(NOT(OR(C669=1000,C669&gt;1000)),MID(TEXT((C669+1000)*1000,0),2,6),"keine Meter in Spalte km!!!"),IF(VALUE(I669)=1,CONCATENATE("_",VLOOKUP(IF(V669&gt;0,V669,J669),[1]Grundlage!$A$20:$B$181,2,0)),CONCATENATE("_",B669))))</f>
        <v>SSt_A092_050050_W</v>
      </c>
      <c r="F669" s="2" t="s">
        <v>120</v>
      </c>
      <c r="G669" s="167">
        <f t="shared" si="129"/>
        <v>36005</v>
      </c>
      <c r="H669">
        <f t="shared" si="130"/>
        <v>211</v>
      </c>
      <c r="I669" s="2">
        <f t="shared" si="133"/>
        <v>254</v>
      </c>
      <c r="J669" s="2">
        <f t="shared" si="134"/>
        <v>0</v>
      </c>
      <c r="K669" s="13">
        <v>209</v>
      </c>
      <c r="L669" s="2">
        <f t="shared" si="135"/>
        <v>17</v>
      </c>
      <c r="M669" s="2" t="str">
        <f t="shared" si="136"/>
        <v/>
      </c>
      <c r="N669" s="2" t="str">
        <f t="shared" si="137"/>
        <v/>
      </c>
      <c r="P669" s="168" t="str">
        <f t="shared" si="138"/>
        <v/>
      </c>
      <c r="AI669" s="35">
        <v>50.05</v>
      </c>
      <c r="AJ669" s="36" t="s">
        <v>19</v>
      </c>
      <c r="AK669" s="36" t="s">
        <v>72</v>
      </c>
      <c r="AL669" s="36"/>
      <c r="AM669" s="36"/>
      <c r="AN669" s="36"/>
      <c r="AO669" s="36"/>
      <c r="AP669" s="36">
        <v>9217491</v>
      </c>
      <c r="AQ669" s="45" t="s">
        <v>230</v>
      </c>
      <c r="AR669" s="45" t="s">
        <v>214</v>
      </c>
      <c r="AS669" s="45" t="s">
        <v>246</v>
      </c>
      <c r="AT669" s="36"/>
      <c r="AU669" s="36"/>
      <c r="AV669" s="36"/>
      <c r="AW669" s="36"/>
      <c r="AX669" s="36">
        <v>17</v>
      </c>
      <c r="AY669" s="36"/>
      <c r="AZ669" s="36"/>
      <c r="BA669" s="36"/>
      <c r="BB669" s="37" t="s">
        <v>120</v>
      </c>
      <c r="BC669" s="38"/>
      <c r="BD669" s="96" t="s">
        <v>163</v>
      </c>
      <c r="BE669" s="39" t="s">
        <v>121</v>
      </c>
      <c r="BF669" s="2" t="s">
        <v>451</v>
      </c>
    </row>
    <row r="670" spans="1:58" ht="14.25" x14ac:dyDescent="0.2">
      <c r="A670" t="str">
        <f t="shared" si="131"/>
        <v>A92</v>
      </c>
      <c r="B670" s="2" t="s">
        <v>657</v>
      </c>
      <c r="C670">
        <f t="shared" si="132"/>
        <v>50.05</v>
      </c>
      <c r="D670" t="str">
        <f t="shared" si="139"/>
        <v>UFD</v>
      </c>
      <c r="E670" s="169" t="str">
        <f>IF(OR(A670="",B670="",C670=""),"eine der Spalten BAB, FR, km leer?",CONCATENATE(VLOOKUP(VALUE(I670),[1]Grundlage!$A$1:$B$14,2,0),IF(LEFT(A670,1)="A",IF(VALUE(MID(A670,2,10))&lt;10,"A00"&amp;VALUE(MID(A670,2,10)),IF(VALUE(MID(A670,2,10))&lt;100,"A0"&amp;VALUE(MID(A670,2,10)),IF(VALUE(MID(A670,2,10))&lt;1000,"A"&amp;VALUE(MID(A670,2,10))))),IF(LEFT(A670,1)="B",IF(VALUE(MID(A670,2,10))&lt;10,"B00"&amp;VALUE(MID(A670,2,10)),IF(VALUE(MID(A670,2,10))&lt;100,"B0"&amp;VALUE(MID(A670,2,10)),IF(VALUE(MID(A670,2,10))&lt;1000,"B"&amp;VALUE(MID(A670,2,10))))),A670)),"_",IF(NOT(OR(C670=1000,C670&gt;1000)),MID(TEXT((C670+1000)*1000,0),2,6),"keine Meter in Spalte km!!!"),IF(VALUE(I670)=1,CONCATENATE("_",VLOOKUP(IF(V670&gt;0,V670,J670),[1]Grundlage!$A$20:$B$181,2,0)),CONCATENATE("_",B670))))</f>
        <v>UQ_A092_050050_W</v>
      </c>
      <c r="F670" s="2" t="s">
        <v>269</v>
      </c>
      <c r="G670" s="167">
        <f>IF(ISBLANK(AP670),G669,INT(AP670/256))</f>
        <v>36005</v>
      </c>
      <c r="H670">
        <f>IF(ISBLANK(AP669),H669,MOD(AP669,256))</f>
        <v>211</v>
      </c>
      <c r="I670" s="2">
        <f t="shared" si="133"/>
        <v>3</v>
      </c>
      <c r="J670" s="2">
        <f t="shared" si="134"/>
        <v>6</v>
      </c>
      <c r="K670" s="13">
        <v>209</v>
      </c>
      <c r="L670" s="2">
        <f t="shared" si="135"/>
        <v>17</v>
      </c>
      <c r="M670" s="2">
        <f t="shared" si="136"/>
        <v>1</v>
      </c>
      <c r="N670" s="2">
        <f t="shared" si="137"/>
        <v>1</v>
      </c>
      <c r="P670" s="168">
        <f t="shared" si="138"/>
        <v>71</v>
      </c>
      <c r="AT670" s="19">
        <v>3</v>
      </c>
      <c r="AU670" s="14">
        <v>6</v>
      </c>
      <c r="AV670" s="27">
        <v>6</v>
      </c>
      <c r="AW670" s="19"/>
      <c r="AX670" s="19"/>
      <c r="AY670" s="19">
        <v>1</v>
      </c>
      <c r="AZ670" s="14">
        <v>1</v>
      </c>
      <c r="BA670" s="27">
        <v>1</v>
      </c>
      <c r="BB670" s="13" t="s">
        <v>269</v>
      </c>
      <c r="BF670" s="2" t="s">
        <v>440</v>
      </c>
    </row>
    <row r="671" spans="1:58" ht="14.25" x14ac:dyDescent="0.2">
      <c r="A671" t="str">
        <f t="shared" si="131"/>
        <v>A92</v>
      </c>
      <c r="B671" s="2" t="s">
        <v>657</v>
      </c>
      <c r="C671">
        <f t="shared" si="132"/>
        <v>50.05</v>
      </c>
      <c r="D671" t="str">
        <f t="shared" si="139"/>
        <v>UFD</v>
      </c>
      <c r="E671" s="169" t="str">
        <f>IF(OR(A671="",B671="",C671=""),"eine der Spalten BAB, FR, km leer?",CONCATENATE(VLOOKUP(VALUE(I671),[1]Grundlage!$A$1:$B$14,2,0),IF(LEFT(A671,1)="A",IF(VALUE(MID(A671,2,10))&lt;10,"A00"&amp;VALUE(MID(A671,2,10)),IF(VALUE(MID(A671,2,10))&lt;100,"A0"&amp;VALUE(MID(A671,2,10)),IF(VALUE(MID(A671,2,10))&lt;1000,"A"&amp;VALUE(MID(A671,2,10))))),IF(LEFT(A671,1)="B",IF(VALUE(MID(A671,2,10))&lt;10,"B00"&amp;VALUE(MID(A671,2,10)),IF(VALUE(MID(A671,2,10))&lt;100,"B0"&amp;VALUE(MID(A671,2,10)),IF(VALUE(MID(A671,2,10))&lt;1000,"B"&amp;VALUE(MID(A671,2,10))))),A671)),"_",IF(NOT(OR(C671=1000,C671&gt;1000)),MID(TEXT((C671+1000)*1000,0),2,6),"keine Meter in Spalte km!!!"),IF(VALUE(I671)=1,CONCATENATE("_",VLOOKUP(IF(V671&gt;0,V671,J671),[1]Grundlage!$A$20:$B$181,2,0)),CONCATENATE("_",B671))))</f>
        <v>UQ_A092_050050_W</v>
      </c>
      <c r="F671" s="2" t="s">
        <v>270</v>
      </c>
      <c r="G671" s="167">
        <f t="shared" si="129"/>
        <v>36005</v>
      </c>
      <c r="H671">
        <f t="shared" si="130"/>
        <v>211</v>
      </c>
      <c r="I671" s="2">
        <f t="shared" si="133"/>
        <v>3</v>
      </c>
      <c r="J671" s="2">
        <f t="shared" si="134"/>
        <v>11</v>
      </c>
      <c r="K671" s="13">
        <v>209</v>
      </c>
      <c r="L671" s="2">
        <f t="shared" si="135"/>
        <v>17</v>
      </c>
      <c r="M671" s="2">
        <f t="shared" si="136"/>
        <v>1</v>
      </c>
      <c r="N671" s="2">
        <f t="shared" si="137"/>
        <v>2</v>
      </c>
      <c r="P671" s="168">
        <f t="shared" si="138"/>
        <v>70</v>
      </c>
      <c r="AT671" s="19">
        <v>3</v>
      </c>
      <c r="AU671" s="14">
        <v>11</v>
      </c>
      <c r="AV671" s="14" t="s">
        <v>78</v>
      </c>
      <c r="AW671" s="13"/>
      <c r="AX671" s="13"/>
      <c r="AY671" s="19">
        <f>AY670</f>
        <v>1</v>
      </c>
      <c r="AZ671" s="14">
        <f>AZ670+1</f>
        <v>2</v>
      </c>
      <c r="BA671" s="14">
        <v>2</v>
      </c>
      <c r="BB671" s="13" t="s">
        <v>270</v>
      </c>
      <c r="BF671" s="2" t="s">
        <v>478</v>
      </c>
    </row>
    <row r="672" spans="1:58" ht="14.25" x14ac:dyDescent="0.2">
      <c r="A672" t="str">
        <f t="shared" si="131"/>
        <v>A92</v>
      </c>
      <c r="B672" s="2" t="s">
        <v>657</v>
      </c>
      <c r="C672">
        <f t="shared" si="132"/>
        <v>50.05</v>
      </c>
      <c r="D672" t="str">
        <f t="shared" si="139"/>
        <v>UFD</v>
      </c>
      <c r="E672" s="169" t="str">
        <f>IF(OR(A672="",B672="",C672=""),"eine der Spalten BAB, FR, km leer?",CONCATENATE(VLOOKUP(VALUE(I672),[1]Grundlage!$A$1:$B$14,2,0),IF(LEFT(A672,1)="A",IF(VALUE(MID(A672,2,10))&lt;10,"A00"&amp;VALUE(MID(A672,2,10)),IF(VALUE(MID(A672,2,10))&lt;100,"A0"&amp;VALUE(MID(A672,2,10)),IF(VALUE(MID(A672,2,10))&lt;1000,"A"&amp;VALUE(MID(A672,2,10))))),IF(LEFT(A672,1)="B",IF(VALUE(MID(A672,2,10))&lt;10,"B00"&amp;VALUE(MID(A672,2,10)),IF(VALUE(MID(A672,2,10))&lt;100,"B0"&amp;VALUE(MID(A672,2,10)),IF(VALUE(MID(A672,2,10))&lt;1000,"B"&amp;VALUE(MID(A672,2,10))))),A672)),"_",IF(NOT(OR(C672=1000,C672&gt;1000)),MID(TEXT((C672+1000)*1000,0),2,6),"keine Meter in Spalte km!!!"),IF(VALUE(I672)=1,CONCATENATE("_",VLOOKUP(IF(V672&gt;0,V672,J672),[1]Grundlage!$A$20:$B$181,2,0)),CONCATENATE("_",B672))))</f>
        <v>UQ_A092_050050_W</v>
      </c>
      <c r="F672" s="2" t="s">
        <v>25</v>
      </c>
      <c r="G672" s="167">
        <f t="shared" si="129"/>
        <v>36005</v>
      </c>
      <c r="H672">
        <f t="shared" si="130"/>
        <v>211</v>
      </c>
      <c r="I672" s="2">
        <f t="shared" si="133"/>
        <v>3</v>
      </c>
      <c r="J672" s="2">
        <f t="shared" si="134"/>
        <v>12</v>
      </c>
      <c r="K672" s="13">
        <v>209</v>
      </c>
      <c r="L672" s="2">
        <f t="shared" si="135"/>
        <v>17</v>
      </c>
      <c r="M672" s="2">
        <f t="shared" si="136"/>
        <v>1</v>
      </c>
      <c r="N672" s="2">
        <f t="shared" si="137"/>
        <v>3</v>
      </c>
      <c r="P672" s="168">
        <f t="shared" si="138"/>
        <v>48</v>
      </c>
      <c r="AT672" s="19">
        <v>3</v>
      </c>
      <c r="AU672" s="14">
        <v>12</v>
      </c>
      <c r="AV672" s="14" t="s">
        <v>79</v>
      </c>
      <c r="AW672" s="13"/>
      <c r="AX672" s="13"/>
      <c r="AY672" s="19">
        <v>1</v>
      </c>
      <c r="AZ672" s="14">
        <f t="shared" ref="AZ672:AZ679" si="140">AZ671+1</f>
        <v>3</v>
      </c>
      <c r="BA672" s="14">
        <v>3</v>
      </c>
      <c r="BB672" s="13" t="s">
        <v>25</v>
      </c>
      <c r="BF672" s="13" t="s">
        <v>441</v>
      </c>
    </row>
    <row r="673" spans="1:58" ht="14.25" x14ac:dyDescent="0.2">
      <c r="A673" t="str">
        <f t="shared" si="131"/>
        <v>A92</v>
      </c>
      <c r="B673" s="2" t="s">
        <v>657</v>
      </c>
      <c r="C673">
        <f t="shared" si="132"/>
        <v>50.05</v>
      </c>
      <c r="D673" t="str">
        <f t="shared" si="139"/>
        <v>UFD</v>
      </c>
      <c r="E673" s="169" t="str">
        <f>IF(OR(A673="",B673="",C673=""),"eine der Spalten BAB, FR, km leer?",CONCATENATE(VLOOKUP(VALUE(I673),[1]Grundlage!$A$1:$B$14,2,0),IF(LEFT(A673,1)="A",IF(VALUE(MID(A673,2,10))&lt;10,"A00"&amp;VALUE(MID(A673,2,10)),IF(VALUE(MID(A673,2,10))&lt;100,"A0"&amp;VALUE(MID(A673,2,10)),IF(VALUE(MID(A673,2,10))&lt;1000,"A"&amp;VALUE(MID(A673,2,10))))),IF(LEFT(A673,1)="B",IF(VALUE(MID(A673,2,10))&lt;10,"B00"&amp;VALUE(MID(A673,2,10)),IF(VALUE(MID(A673,2,10))&lt;100,"B0"&amp;VALUE(MID(A673,2,10)),IF(VALUE(MID(A673,2,10))&lt;1000,"B"&amp;VALUE(MID(A673,2,10))))),A673)),"_",IF(NOT(OR(C673=1000,C673&gt;1000)),MID(TEXT((C673+1000)*1000,0),2,6),"keine Meter in Spalte km!!!"),IF(VALUE(I673)=1,CONCATENATE("_",VLOOKUP(IF(V673&gt;0,V673,J673),[1]Grundlage!$A$20:$B$181,2,0)),CONCATENATE("_",B673))))</f>
        <v>UQ_A092_050050_W</v>
      </c>
      <c r="F673" s="2" t="s">
        <v>26</v>
      </c>
      <c r="G673" s="167">
        <f t="shared" si="129"/>
        <v>36005</v>
      </c>
      <c r="H673">
        <f t="shared" si="130"/>
        <v>211</v>
      </c>
      <c r="I673" s="2">
        <f t="shared" si="133"/>
        <v>3</v>
      </c>
      <c r="J673" s="2">
        <f t="shared" si="134"/>
        <v>13</v>
      </c>
      <c r="K673" s="13">
        <v>209</v>
      </c>
      <c r="L673" s="2">
        <f t="shared" si="135"/>
        <v>17</v>
      </c>
      <c r="M673" s="2">
        <f t="shared" si="136"/>
        <v>1</v>
      </c>
      <c r="N673" s="2">
        <f t="shared" si="137"/>
        <v>4</v>
      </c>
      <c r="P673" s="168">
        <f t="shared" si="138"/>
        <v>55</v>
      </c>
      <c r="AT673" s="19">
        <v>3</v>
      </c>
      <c r="AU673" s="14">
        <v>13</v>
      </c>
      <c r="AV673" s="14" t="s">
        <v>80</v>
      </c>
      <c r="AW673" s="13"/>
      <c r="AX673" s="13"/>
      <c r="AY673" s="19">
        <v>1</v>
      </c>
      <c r="AZ673" s="14">
        <f t="shared" si="140"/>
        <v>4</v>
      </c>
      <c r="BA673" s="14">
        <v>4</v>
      </c>
      <c r="BB673" s="13" t="s">
        <v>26</v>
      </c>
      <c r="BF673" s="13" t="s">
        <v>442</v>
      </c>
    </row>
    <row r="674" spans="1:58" ht="14.25" x14ac:dyDescent="0.2">
      <c r="A674" t="str">
        <f t="shared" si="131"/>
        <v>A92</v>
      </c>
      <c r="B674" s="2" t="s">
        <v>657</v>
      </c>
      <c r="C674">
        <f t="shared" si="132"/>
        <v>50.05</v>
      </c>
      <c r="D674" t="str">
        <f t="shared" si="139"/>
        <v>UFD</v>
      </c>
      <c r="E674" s="169" t="str">
        <f>IF(OR(A674="",B674="",C674=""),"eine der Spalten BAB, FR, km leer?",CONCATENATE(VLOOKUP(VALUE(I674),[1]Grundlage!$A$1:$B$14,2,0),IF(LEFT(A674,1)="A",IF(VALUE(MID(A674,2,10))&lt;10,"A00"&amp;VALUE(MID(A674,2,10)),IF(VALUE(MID(A674,2,10))&lt;100,"A0"&amp;VALUE(MID(A674,2,10)),IF(VALUE(MID(A674,2,10))&lt;1000,"A"&amp;VALUE(MID(A674,2,10))))),IF(LEFT(A674,1)="B",IF(VALUE(MID(A674,2,10))&lt;10,"B00"&amp;VALUE(MID(A674,2,10)),IF(VALUE(MID(A674,2,10))&lt;100,"B0"&amp;VALUE(MID(A674,2,10)),IF(VALUE(MID(A674,2,10))&lt;1000,"B"&amp;VALUE(MID(A674,2,10))))),A674)),"_",IF(NOT(OR(C674=1000,C674&gt;1000)),MID(TEXT((C674+1000)*1000,0),2,6),"keine Meter in Spalte km!!!"),IF(VALUE(I674)=1,CONCATENATE("_",VLOOKUP(IF(V674&gt;0,V674,J674),[1]Grundlage!$A$20:$B$181,2,0)),CONCATENATE("_",B674))))</f>
        <v>UQ_A092_050050_W</v>
      </c>
      <c r="F674" s="2" t="s">
        <v>27</v>
      </c>
      <c r="G674" s="167">
        <f t="shared" si="129"/>
        <v>36005</v>
      </c>
      <c r="H674">
        <f t="shared" si="130"/>
        <v>211</v>
      </c>
      <c r="I674" s="2">
        <f t="shared" si="133"/>
        <v>3</v>
      </c>
      <c r="J674" s="2">
        <f t="shared" si="134"/>
        <v>14</v>
      </c>
      <c r="K674" s="13">
        <v>209</v>
      </c>
      <c r="L674" s="2">
        <f t="shared" si="135"/>
        <v>17</v>
      </c>
      <c r="M674" s="2">
        <f t="shared" si="136"/>
        <v>1</v>
      </c>
      <c r="N674" s="2">
        <f t="shared" si="137"/>
        <v>5</v>
      </c>
      <c r="P674" s="168">
        <f t="shared" si="138"/>
        <v>66</v>
      </c>
      <c r="AT674" s="19">
        <v>3</v>
      </c>
      <c r="AU674" s="14">
        <v>14</v>
      </c>
      <c r="AV674" s="14" t="s">
        <v>81</v>
      </c>
      <c r="AW674" s="13"/>
      <c r="AX674" s="13"/>
      <c r="AY674" s="19">
        <v>1</v>
      </c>
      <c r="AZ674" s="14">
        <f t="shared" si="140"/>
        <v>5</v>
      </c>
      <c r="BA674" s="14">
        <v>5</v>
      </c>
      <c r="BB674" s="13" t="s">
        <v>27</v>
      </c>
      <c r="BF674" s="13" t="s">
        <v>443</v>
      </c>
    </row>
    <row r="675" spans="1:58" ht="14.25" x14ac:dyDescent="0.2">
      <c r="A675" t="str">
        <f t="shared" si="131"/>
        <v>A92</v>
      </c>
      <c r="B675" s="2" t="s">
        <v>657</v>
      </c>
      <c r="C675">
        <f t="shared" si="132"/>
        <v>50.05</v>
      </c>
      <c r="D675" t="str">
        <f t="shared" si="139"/>
        <v>UFD</v>
      </c>
      <c r="E675" s="169" t="str">
        <f>IF(OR(A675="",B675="",C675=""),"eine der Spalten BAB, FR, km leer?",CONCATENATE(VLOOKUP(VALUE(I675),[1]Grundlage!$A$1:$B$14,2,0),IF(LEFT(A675,1)="A",IF(VALUE(MID(A675,2,10))&lt;10,"A00"&amp;VALUE(MID(A675,2,10)),IF(VALUE(MID(A675,2,10))&lt;100,"A0"&amp;VALUE(MID(A675,2,10)),IF(VALUE(MID(A675,2,10))&lt;1000,"A"&amp;VALUE(MID(A675,2,10))))),IF(LEFT(A675,1)="B",IF(VALUE(MID(A675,2,10))&lt;10,"B00"&amp;VALUE(MID(A675,2,10)),IF(VALUE(MID(A675,2,10))&lt;100,"B0"&amp;VALUE(MID(A675,2,10)),IF(VALUE(MID(A675,2,10))&lt;1000,"B"&amp;VALUE(MID(A675,2,10))))),A675)),"_",IF(NOT(OR(C675=1000,C675&gt;1000)),MID(TEXT((C675+1000)*1000,0),2,6),"keine Meter in Spalte km!!!"),IF(VALUE(I675)=1,CONCATENATE("_",VLOOKUP(IF(V675&gt;0,V675,J675),[1]Grundlage!$A$20:$B$181,2,0)),CONCATENATE("_",B675))))</f>
        <v>UQ_A092_050050_W</v>
      </c>
      <c r="F675" s="2" t="s">
        <v>28</v>
      </c>
      <c r="G675" s="167">
        <f t="shared" si="129"/>
        <v>36005</v>
      </c>
      <c r="H675">
        <f t="shared" si="130"/>
        <v>211</v>
      </c>
      <c r="I675" s="2">
        <f t="shared" si="133"/>
        <v>3</v>
      </c>
      <c r="J675" s="2">
        <f t="shared" si="134"/>
        <v>15</v>
      </c>
      <c r="K675" s="13">
        <v>209</v>
      </c>
      <c r="L675" s="2">
        <f t="shared" si="135"/>
        <v>17</v>
      </c>
      <c r="M675" s="2">
        <f t="shared" si="136"/>
        <v>1</v>
      </c>
      <c r="N675" s="2">
        <f t="shared" si="137"/>
        <v>6</v>
      </c>
      <c r="P675" s="168">
        <f t="shared" si="138"/>
        <v>65</v>
      </c>
      <c r="AT675" s="19">
        <v>3</v>
      </c>
      <c r="AU675" s="14">
        <v>15</v>
      </c>
      <c r="AV675" s="14" t="s">
        <v>82</v>
      </c>
      <c r="AW675" s="13"/>
      <c r="AX675" s="13"/>
      <c r="AY675" s="19">
        <v>1</v>
      </c>
      <c r="AZ675" s="14">
        <f t="shared" si="140"/>
        <v>6</v>
      </c>
      <c r="BA675" s="14">
        <v>6</v>
      </c>
      <c r="BB675" s="13" t="s">
        <v>28</v>
      </c>
      <c r="BF675" s="13" t="s">
        <v>482</v>
      </c>
    </row>
    <row r="676" spans="1:58" ht="14.25" x14ac:dyDescent="0.2">
      <c r="A676" t="str">
        <f t="shared" si="131"/>
        <v>A92</v>
      </c>
      <c r="B676" s="2" t="s">
        <v>657</v>
      </c>
      <c r="C676">
        <f t="shared" si="132"/>
        <v>50.05</v>
      </c>
      <c r="D676" t="str">
        <f t="shared" si="139"/>
        <v>UFD</v>
      </c>
      <c r="E676" s="169" t="str">
        <f>IF(OR(A676="",B676="",C676=""),"eine der Spalten BAB, FR, km leer?",CONCATENATE(VLOOKUP(VALUE(I676),[1]Grundlage!$A$1:$B$14,2,0),IF(LEFT(A676,1)="A",IF(VALUE(MID(A676,2,10))&lt;10,"A00"&amp;VALUE(MID(A676,2,10)),IF(VALUE(MID(A676,2,10))&lt;100,"A0"&amp;VALUE(MID(A676,2,10)),IF(VALUE(MID(A676,2,10))&lt;1000,"A"&amp;VALUE(MID(A676,2,10))))),IF(LEFT(A676,1)="B",IF(VALUE(MID(A676,2,10))&lt;10,"B00"&amp;VALUE(MID(A676,2,10)),IF(VALUE(MID(A676,2,10))&lt;100,"B0"&amp;VALUE(MID(A676,2,10)),IF(VALUE(MID(A676,2,10))&lt;1000,"B"&amp;VALUE(MID(A676,2,10))))),A676)),"_",IF(NOT(OR(C676=1000,C676&gt;1000)),MID(TEXT((C676+1000)*1000,0),2,6),"keine Meter in Spalte km!!!"),IF(VALUE(I676)=1,CONCATENATE("_",VLOOKUP(IF(V676&gt;0,V676,J676),[1]Grundlage!$A$20:$B$181,2,0)),CONCATENATE("_",B676))))</f>
        <v>UQ_A092_050050_W</v>
      </c>
      <c r="F676" s="2" t="s">
        <v>29</v>
      </c>
      <c r="G676" s="167">
        <f t="shared" si="129"/>
        <v>36005</v>
      </c>
      <c r="H676">
        <f t="shared" si="130"/>
        <v>211</v>
      </c>
      <c r="I676" s="2">
        <f t="shared" si="133"/>
        <v>3</v>
      </c>
      <c r="J676" s="2">
        <f t="shared" si="134"/>
        <v>19</v>
      </c>
      <c r="K676" s="13">
        <v>209</v>
      </c>
      <c r="L676" s="2">
        <f t="shared" si="135"/>
        <v>17</v>
      </c>
      <c r="M676" s="2">
        <f t="shared" si="136"/>
        <v>1</v>
      </c>
      <c r="N676" s="2">
        <f t="shared" si="137"/>
        <v>7</v>
      </c>
      <c r="P676" s="168">
        <f t="shared" si="138"/>
        <v>49</v>
      </c>
      <c r="AT676" s="19">
        <v>3</v>
      </c>
      <c r="AU676" s="14">
        <v>19</v>
      </c>
      <c r="AV676" s="14">
        <v>13</v>
      </c>
      <c r="AW676" s="13"/>
      <c r="AX676" s="13"/>
      <c r="AY676" s="19">
        <v>1</v>
      </c>
      <c r="AZ676" s="14">
        <f t="shared" si="140"/>
        <v>7</v>
      </c>
      <c r="BA676" s="14">
        <v>7</v>
      </c>
      <c r="BB676" s="13" t="s">
        <v>29</v>
      </c>
      <c r="BF676" s="13" t="s">
        <v>479</v>
      </c>
    </row>
    <row r="677" spans="1:58" ht="14.25" x14ac:dyDescent="0.2">
      <c r="A677" t="str">
        <f t="shared" si="131"/>
        <v>A92</v>
      </c>
      <c r="B677" s="2" t="s">
        <v>657</v>
      </c>
      <c r="C677">
        <f t="shared" si="132"/>
        <v>50.05</v>
      </c>
      <c r="D677" t="str">
        <f t="shared" si="139"/>
        <v>UFD</v>
      </c>
      <c r="E677" s="169" t="str">
        <f>IF(OR(A677="",B677="",C677=""),"eine der Spalten BAB, FR, km leer?",CONCATENATE(VLOOKUP(VALUE(I677),[1]Grundlage!$A$1:$B$14,2,0),IF(LEFT(A677,1)="A",IF(VALUE(MID(A677,2,10))&lt;10,"A00"&amp;VALUE(MID(A677,2,10)),IF(VALUE(MID(A677,2,10))&lt;100,"A0"&amp;VALUE(MID(A677,2,10)),IF(VALUE(MID(A677,2,10))&lt;1000,"A"&amp;VALUE(MID(A677,2,10))))),IF(LEFT(A677,1)="B",IF(VALUE(MID(A677,2,10))&lt;10,"B00"&amp;VALUE(MID(A677,2,10)),IF(VALUE(MID(A677,2,10))&lt;100,"B0"&amp;VALUE(MID(A677,2,10)),IF(VALUE(MID(A677,2,10))&lt;1000,"B"&amp;VALUE(MID(A677,2,10))))),A677)),"_",IF(NOT(OR(C677=1000,C677&gt;1000)),MID(TEXT((C677+1000)*1000,0),2,6),"keine Meter in Spalte km!!!"),IF(VALUE(I677)=1,CONCATENATE("_",VLOOKUP(IF(V677&gt;0,V677,J677),[1]Grundlage!$A$20:$B$181,2,0)),CONCATENATE("_",B677))))</f>
        <v>UQ_A092_050050_W</v>
      </c>
      <c r="F677" s="2" t="s">
        <v>30</v>
      </c>
      <c r="G677" s="167">
        <f t="shared" si="129"/>
        <v>36005</v>
      </c>
      <c r="H677">
        <f t="shared" si="130"/>
        <v>211</v>
      </c>
      <c r="I677" s="2">
        <f t="shared" si="133"/>
        <v>3</v>
      </c>
      <c r="J677" s="2">
        <f t="shared" si="134"/>
        <v>21</v>
      </c>
      <c r="K677" s="13">
        <v>209</v>
      </c>
      <c r="L677" s="2">
        <f t="shared" si="135"/>
        <v>17</v>
      </c>
      <c r="M677" s="2">
        <f t="shared" si="136"/>
        <v>1</v>
      </c>
      <c r="N677" s="2">
        <f t="shared" si="137"/>
        <v>8</v>
      </c>
      <c r="P677" s="168">
        <f t="shared" si="138"/>
        <v>67</v>
      </c>
      <c r="AT677" s="19">
        <v>3</v>
      </c>
      <c r="AU677" s="14">
        <v>21</v>
      </c>
      <c r="AV677" s="14">
        <v>15</v>
      </c>
      <c r="AW677" s="13"/>
      <c r="AX677" s="13"/>
      <c r="AY677" s="19">
        <v>1</v>
      </c>
      <c r="AZ677" s="14">
        <f t="shared" si="140"/>
        <v>8</v>
      </c>
      <c r="BA677" s="14">
        <v>8</v>
      </c>
      <c r="BB677" s="13" t="s">
        <v>30</v>
      </c>
      <c r="BF677" s="13" t="s">
        <v>480</v>
      </c>
    </row>
    <row r="678" spans="1:58" ht="14.25" x14ac:dyDescent="0.2">
      <c r="A678" t="str">
        <f t="shared" si="131"/>
        <v>A92</v>
      </c>
      <c r="B678" s="2" t="s">
        <v>657</v>
      </c>
      <c r="C678">
        <f t="shared" si="132"/>
        <v>50.05</v>
      </c>
      <c r="D678" t="str">
        <f t="shared" si="139"/>
        <v>UFD</v>
      </c>
      <c r="E678" s="169" t="str">
        <f>IF(OR(A678="",B678="",C678=""),"eine der Spalten BAB, FR, km leer?",CONCATENATE(VLOOKUP(VALUE(I678),[1]Grundlage!$A$1:$B$14,2,0),IF(LEFT(A678,1)="A",IF(VALUE(MID(A678,2,10))&lt;10,"A00"&amp;VALUE(MID(A678,2,10)),IF(VALUE(MID(A678,2,10))&lt;100,"A0"&amp;VALUE(MID(A678,2,10)),IF(VALUE(MID(A678,2,10))&lt;1000,"A"&amp;VALUE(MID(A678,2,10))))),IF(LEFT(A678,1)="B",IF(VALUE(MID(A678,2,10))&lt;10,"B00"&amp;VALUE(MID(A678,2,10)),IF(VALUE(MID(A678,2,10))&lt;100,"B0"&amp;VALUE(MID(A678,2,10)),IF(VALUE(MID(A678,2,10))&lt;1000,"B"&amp;VALUE(MID(A678,2,10))))),A678)),"_",IF(NOT(OR(C678=1000,C678&gt;1000)),MID(TEXT((C678+1000)*1000,0),2,6),"keine Meter in Spalte km!!!"),IF(VALUE(I678)=1,CONCATENATE("_",VLOOKUP(IF(V678&gt;0,V678,J678),[1]Grundlage!$A$20:$B$181,2,0)),CONCATENATE("_",B678))))</f>
        <v>UQ_A092_050050_W</v>
      </c>
      <c r="F678" s="2" t="s">
        <v>271</v>
      </c>
      <c r="G678" s="167">
        <f t="shared" si="129"/>
        <v>36005</v>
      </c>
      <c r="H678">
        <f t="shared" si="130"/>
        <v>211</v>
      </c>
      <c r="I678" s="2">
        <f t="shared" si="133"/>
        <v>3</v>
      </c>
      <c r="J678" s="2">
        <f t="shared" si="134"/>
        <v>67</v>
      </c>
      <c r="K678" s="13">
        <v>209</v>
      </c>
      <c r="L678" s="2">
        <f t="shared" si="135"/>
        <v>17</v>
      </c>
      <c r="M678" s="2">
        <f t="shared" si="136"/>
        <v>1</v>
      </c>
      <c r="N678" s="2">
        <f t="shared" si="137"/>
        <v>9</v>
      </c>
      <c r="P678" s="168">
        <f t="shared" si="138"/>
        <v>53</v>
      </c>
      <c r="AT678" s="19">
        <v>3</v>
      </c>
      <c r="AU678" s="14">
        <v>67</v>
      </c>
      <c r="AV678" s="14">
        <v>43</v>
      </c>
      <c r="AW678" s="13"/>
      <c r="AX678" s="13"/>
      <c r="AY678" s="19">
        <v>1</v>
      </c>
      <c r="AZ678" s="14">
        <f t="shared" si="140"/>
        <v>9</v>
      </c>
      <c r="BA678" s="34">
        <v>9</v>
      </c>
      <c r="BB678" s="13" t="s">
        <v>271</v>
      </c>
      <c r="BF678" s="13" t="s">
        <v>444</v>
      </c>
    </row>
    <row r="679" spans="1:58" ht="14.25" x14ac:dyDescent="0.2">
      <c r="A679" t="str">
        <f t="shared" si="131"/>
        <v>A92</v>
      </c>
      <c r="B679" s="2" t="s">
        <v>657</v>
      </c>
      <c r="C679">
        <f t="shared" si="132"/>
        <v>50.05</v>
      </c>
      <c r="D679" t="str">
        <f t="shared" si="139"/>
        <v>UFD</v>
      </c>
      <c r="E679" s="169" t="str">
        <f>IF(OR(A679="",B679="",C679=""),"eine der Spalten BAB, FR, km leer?",CONCATENATE(VLOOKUP(VALUE(I679),[1]Grundlage!$A$1:$B$14,2,0),IF(LEFT(A679,1)="A",IF(VALUE(MID(A679,2,10))&lt;10,"A00"&amp;VALUE(MID(A679,2,10)),IF(VALUE(MID(A679,2,10))&lt;100,"A0"&amp;VALUE(MID(A679,2,10)),IF(VALUE(MID(A679,2,10))&lt;1000,"A"&amp;VALUE(MID(A679,2,10))))),IF(LEFT(A679,1)="B",IF(VALUE(MID(A679,2,10))&lt;10,"B00"&amp;VALUE(MID(A679,2,10)),IF(VALUE(MID(A679,2,10))&lt;100,"B0"&amp;VALUE(MID(A679,2,10)),IF(VALUE(MID(A679,2,10))&lt;1000,"B"&amp;VALUE(MID(A679,2,10))))),A679)),"_",IF(NOT(OR(C679=1000,C679&gt;1000)),MID(TEXT((C679+1000)*1000,0),2,6),"keine Meter in Spalte km!!!"),IF(VALUE(I679)=1,CONCATENATE("_",VLOOKUP(IF(V679&gt;0,V679,J679),[1]Grundlage!$A$20:$B$181,2,0)),CONCATENATE("_",B679))))</f>
        <v>UQ_A092_050050_W</v>
      </c>
      <c r="F679" s="2" t="s">
        <v>272</v>
      </c>
      <c r="G679" s="167">
        <f t="shared" ref="G679:G742" si="141">IF(ISBLANK(AP679),G678,INT(AP679/256))</f>
        <v>36005</v>
      </c>
      <c r="H679">
        <f t="shared" ref="H679:H742" si="142">IF(ISBLANK(AP679),H678,MOD(AP679,256))</f>
        <v>211</v>
      </c>
      <c r="I679" s="2">
        <f t="shared" si="133"/>
        <v>3</v>
      </c>
      <c r="J679" s="2">
        <f t="shared" si="134"/>
        <v>82</v>
      </c>
      <c r="K679" s="13">
        <v>209</v>
      </c>
      <c r="L679" s="2">
        <f t="shared" si="135"/>
        <v>17</v>
      </c>
      <c r="M679" s="2">
        <f t="shared" si="136"/>
        <v>1</v>
      </c>
      <c r="N679" s="2">
        <f t="shared" si="137"/>
        <v>10</v>
      </c>
      <c r="P679" s="168">
        <f t="shared" si="138"/>
        <v>72</v>
      </c>
      <c r="AT679" s="19">
        <v>3</v>
      </c>
      <c r="AU679" s="14">
        <v>82</v>
      </c>
      <c r="AV679" s="14">
        <v>52</v>
      </c>
      <c r="AW679" s="13"/>
      <c r="AX679" s="13"/>
      <c r="AY679" s="19">
        <v>1</v>
      </c>
      <c r="AZ679" s="14">
        <f t="shared" si="140"/>
        <v>10</v>
      </c>
      <c r="BA679" s="34" t="s">
        <v>95</v>
      </c>
      <c r="BB679" s="13" t="s">
        <v>272</v>
      </c>
      <c r="BF679" s="13" t="s">
        <v>481</v>
      </c>
    </row>
    <row r="680" spans="1:58" ht="14.25" x14ac:dyDescent="0.2">
      <c r="A680" t="str">
        <f t="shared" si="131"/>
        <v>A92</v>
      </c>
      <c r="C680">
        <f t="shared" si="132"/>
        <v>50.05</v>
      </c>
      <c r="D680" t="str">
        <f t="shared" si="139"/>
        <v/>
      </c>
      <c r="E680" s="169" t="str">
        <f>IF(OR(A680="",B680="",C680=""),"",CONCATENATE(VLOOKUP(VALUE(I680),[1]Grundlage!$A$1:$B$14,2,0),IF(LEFT(A680,1)="A",IF(VALUE(MID(A680,2,10))&lt;10,"A00"&amp;VALUE(MID(A680,2,10)),IF(VALUE(MID(A680,2,10))&lt;100,"A0"&amp;VALUE(MID(A680,2,10)),IF(VALUE(MID(A680,2,10))&lt;1000,"A"&amp;VALUE(MID(A680,2,10))))),IF(LEFT(A680,1)="B",IF(VALUE(MID(A680,2,10))&lt;10,"B00"&amp;VALUE(MID(A680,2,10)),IF(VALUE(MID(A680,2,10))&lt;100,"B0"&amp;VALUE(MID(A680,2,10)),IF(VALUE(MID(A680,2,10))&lt;1000,"B"&amp;VALUE(MID(A680,2,10))))),A680)),"_",IF(NOT(OR(C680=1000,C680&gt;1000)),MID(TEXT((C680+1000)*1000,0),2,6),"keine Meter in Spalte km!!!"),IF(VALUE(I680)=1,CONCATENATE("_",VLOOKUP(IF(V680&gt;0,V680,J680),[1]Grundlage!$A$20:$B$181,2,0)),CONCATENATE("_",B680))))</f>
        <v/>
      </c>
      <c r="F680" s="2" t="s">
        <v>669</v>
      </c>
      <c r="G680" s="167">
        <f t="shared" si="141"/>
        <v>36005</v>
      </c>
      <c r="H680">
        <f t="shared" si="142"/>
        <v>211</v>
      </c>
      <c r="I680" s="2">
        <f t="shared" si="133"/>
        <v>0</v>
      </c>
      <c r="J680" s="2">
        <f t="shared" si="134"/>
        <v>0</v>
      </c>
      <c r="K680" s="13">
        <v>209</v>
      </c>
      <c r="L680" s="2">
        <f t="shared" si="135"/>
        <v>17</v>
      </c>
      <c r="M680" s="2" t="str">
        <f t="shared" si="136"/>
        <v/>
      </c>
      <c r="N680" s="2" t="str">
        <f t="shared" si="137"/>
        <v/>
      </c>
      <c r="P680" s="168" t="str">
        <f t="shared" si="138"/>
        <v/>
      </c>
      <c r="AT680" s="19"/>
      <c r="AU680" s="14"/>
      <c r="AV680" s="14"/>
      <c r="AW680" s="13"/>
      <c r="AX680" s="13"/>
      <c r="AY680" s="19"/>
      <c r="AZ680" s="14"/>
      <c r="BA680" s="13"/>
      <c r="BB680" s="13"/>
    </row>
    <row r="681" spans="1:58" ht="14.25" x14ac:dyDescent="0.2">
      <c r="A681" t="str">
        <f t="shared" si="131"/>
        <v>A92</v>
      </c>
      <c r="C681">
        <f t="shared" si="132"/>
        <v>50.05</v>
      </c>
      <c r="D681" t="str">
        <f t="shared" si="139"/>
        <v/>
      </c>
      <c r="E681" s="169" t="str">
        <f>IF(OR(A681="",B681="",C681=""),"",CONCATENATE(VLOOKUP(VALUE(I681),[1]Grundlage!$A$1:$B$14,2,0),IF(LEFT(A681,1)="A",IF(VALUE(MID(A681,2,10))&lt;10,"A00"&amp;VALUE(MID(A681,2,10)),IF(VALUE(MID(A681,2,10))&lt;100,"A0"&amp;VALUE(MID(A681,2,10)),IF(VALUE(MID(A681,2,10))&lt;1000,"A"&amp;VALUE(MID(A681,2,10))))),IF(LEFT(A681,1)="B",IF(VALUE(MID(A681,2,10))&lt;10,"B00"&amp;VALUE(MID(A681,2,10)),IF(VALUE(MID(A681,2,10))&lt;100,"B0"&amp;VALUE(MID(A681,2,10)),IF(VALUE(MID(A681,2,10))&lt;1000,"B"&amp;VALUE(MID(A681,2,10))))),A681)),"_",IF(NOT(OR(C681=1000,C681&gt;1000)),MID(TEXT((C681+1000)*1000,0),2,6),"keine Meter in Spalte km!!!"),IF(VALUE(I681)=1,CONCATENATE("_",VLOOKUP(IF(V681&gt;0,V681,J681),[1]Grundlage!$A$20:$B$181,2,0)),CONCATENATE("_",B681))))</f>
        <v/>
      </c>
      <c r="F681" s="2" t="s">
        <v>669</v>
      </c>
      <c r="G681" s="167">
        <f t="shared" si="141"/>
        <v>36005</v>
      </c>
      <c r="H681">
        <f t="shared" si="142"/>
        <v>211</v>
      </c>
      <c r="I681" s="2">
        <f t="shared" si="133"/>
        <v>0</v>
      </c>
      <c r="J681" s="2">
        <f t="shared" si="134"/>
        <v>0</v>
      </c>
      <c r="K681" s="13">
        <v>209</v>
      </c>
      <c r="L681" s="2">
        <f t="shared" si="135"/>
        <v>17</v>
      </c>
      <c r="M681" s="2" t="str">
        <f t="shared" si="136"/>
        <v/>
      </c>
      <c r="N681" s="2" t="str">
        <f t="shared" si="137"/>
        <v/>
      </c>
      <c r="P681" s="168" t="str">
        <f t="shared" si="138"/>
        <v/>
      </c>
      <c r="AT681" s="19"/>
      <c r="AU681" s="14"/>
      <c r="AV681" s="14"/>
      <c r="AY681" s="1"/>
      <c r="AZ681" s="14"/>
      <c r="BB681" s="13"/>
    </row>
    <row r="682" spans="1:58" ht="14.25" x14ac:dyDescent="0.2">
      <c r="A682" t="s">
        <v>58</v>
      </c>
      <c r="B682" s="2" t="s">
        <v>656</v>
      </c>
      <c r="C682">
        <f t="shared" si="132"/>
        <v>258.81</v>
      </c>
      <c r="D682" t="str">
        <f t="shared" si="139"/>
        <v>SS</v>
      </c>
      <c r="E682" s="169" t="str">
        <f>IF(OR(A682="",B682="",C682=""),"eine der Spalten BAB, FR, km leer?",CONCATENATE(VLOOKUP(VALUE(I682),[1]Grundlage!$A$1:$B$14,2,0),IF(LEFT(A682,1)="A",IF(VALUE(MID(A682,2,10))&lt;10,"A00"&amp;VALUE(MID(A682,2,10)),IF(VALUE(MID(A682,2,10))&lt;100,"A0"&amp;VALUE(MID(A682,2,10)),IF(VALUE(MID(A682,2,10))&lt;1000,"A"&amp;VALUE(MID(A682,2,10))))),IF(LEFT(A682,1)="B",IF(VALUE(MID(A682,2,10))&lt;10,"B00"&amp;VALUE(MID(A682,2,10)),IF(VALUE(MID(A682,2,10))&lt;100,"B0"&amp;VALUE(MID(A682,2,10)),IF(VALUE(MID(A682,2,10))&lt;1000,"B"&amp;VALUE(MID(A682,2,10))))),A682)),"_",IF(NOT(OR(C682=1000,C682&gt;1000)),MID(TEXT((C682+1000)*1000,0),2,6),"keine Meter in Spalte km!!!"),IF(VALUE(I682)=1,CONCATENATE("_",VLOOKUP(IF(V682&gt;0,V682,J682),[1]Grundlage!$A$20:$B$181,2,0)),CONCATENATE("_",B682))))</f>
        <v>SSt_A093_258810_N</v>
      </c>
      <c r="F682" s="2" t="s">
        <v>123</v>
      </c>
      <c r="G682" s="167">
        <f t="shared" si="141"/>
        <v>36356</v>
      </c>
      <c r="H682">
        <f t="shared" si="142"/>
        <v>239</v>
      </c>
      <c r="I682" s="2">
        <f t="shared" si="133"/>
        <v>254</v>
      </c>
      <c r="J682" s="2">
        <f t="shared" si="134"/>
        <v>0</v>
      </c>
      <c r="K682" s="13">
        <v>209</v>
      </c>
      <c r="L682" s="2">
        <f t="shared" si="135"/>
        <v>18</v>
      </c>
      <c r="M682" s="2" t="str">
        <f t="shared" si="136"/>
        <v/>
      </c>
      <c r="N682" s="2" t="str">
        <f t="shared" si="137"/>
        <v/>
      </c>
      <c r="P682" s="168" t="str">
        <f t="shared" si="138"/>
        <v/>
      </c>
      <c r="AI682" s="35">
        <v>258.81</v>
      </c>
      <c r="AJ682" s="36" t="s">
        <v>19</v>
      </c>
      <c r="AK682" s="36" t="s">
        <v>122</v>
      </c>
      <c r="AL682" s="36"/>
      <c r="AM682" s="36"/>
      <c r="AN682" s="36"/>
      <c r="AO682" s="36"/>
      <c r="AP682" s="42">
        <v>9307375</v>
      </c>
      <c r="AQ682" s="42" t="s">
        <v>239</v>
      </c>
      <c r="AR682" s="66" t="s">
        <v>234</v>
      </c>
      <c r="AS682" s="42" t="s">
        <v>248</v>
      </c>
      <c r="AT682" s="36"/>
      <c r="AU682" s="36"/>
      <c r="AV682" s="36"/>
      <c r="AW682" s="36"/>
      <c r="AX682" s="36">
        <v>18</v>
      </c>
      <c r="AY682" s="36"/>
      <c r="AZ682" s="36"/>
      <c r="BA682" s="36"/>
      <c r="BB682" s="37" t="s">
        <v>123</v>
      </c>
      <c r="BC682" s="38"/>
      <c r="BD682" s="96" t="s">
        <v>163</v>
      </c>
      <c r="BE682" s="39" t="s">
        <v>118</v>
      </c>
      <c r="BF682" s="2" t="s">
        <v>564</v>
      </c>
    </row>
    <row r="683" spans="1:58" ht="14.25" x14ac:dyDescent="0.2">
      <c r="A683" t="str">
        <f t="shared" si="131"/>
        <v>A93</v>
      </c>
      <c r="B683" s="2" t="s">
        <v>656</v>
      </c>
      <c r="C683">
        <f t="shared" si="132"/>
        <v>258.81</v>
      </c>
      <c r="D683" t="str">
        <f t="shared" si="139"/>
        <v>UFD</v>
      </c>
      <c r="E683" s="169" t="str">
        <f>IF(OR(A683="",B683="",C683=""),"eine der Spalten BAB, FR, km leer?",CONCATENATE(VLOOKUP(VALUE(I683),[1]Grundlage!$A$1:$B$14,2,0),IF(LEFT(A683,1)="A",IF(VALUE(MID(A683,2,10))&lt;10,"A00"&amp;VALUE(MID(A683,2,10)),IF(VALUE(MID(A683,2,10))&lt;100,"A0"&amp;VALUE(MID(A683,2,10)),IF(VALUE(MID(A683,2,10))&lt;1000,"A"&amp;VALUE(MID(A683,2,10))))),IF(LEFT(A683,1)="B",IF(VALUE(MID(A683,2,10))&lt;10,"B00"&amp;VALUE(MID(A683,2,10)),IF(VALUE(MID(A683,2,10))&lt;100,"B0"&amp;VALUE(MID(A683,2,10)),IF(VALUE(MID(A683,2,10))&lt;1000,"B"&amp;VALUE(MID(A683,2,10))))),A683)),"_",IF(NOT(OR(C683=1000,C683&gt;1000)),MID(TEXT((C683+1000)*1000,0),2,6),"keine Meter in Spalte km!!!"),IF(VALUE(I683)=1,CONCATENATE("_",VLOOKUP(IF(V683&gt;0,V683,J683),[1]Grundlage!$A$20:$B$181,2,0)),CONCATENATE("_",B683))))</f>
        <v>UQ_A093_258810_N</v>
      </c>
      <c r="F683" s="2" t="s">
        <v>269</v>
      </c>
      <c r="G683" s="167">
        <f t="shared" si="141"/>
        <v>36356</v>
      </c>
      <c r="H683">
        <f t="shared" si="142"/>
        <v>239</v>
      </c>
      <c r="I683" s="2">
        <f t="shared" si="133"/>
        <v>3</v>
      </c>
      <c r="J683" s="2">
        <f t="shared" si="134"/>
        <v>6</v>
      </c>
      <c r="K683" s="13">
        <v>209</v>
      </c>
      <c r="L683" s="2">
        <f t="shared" si="135"/>
        <v>18</v>
      </c>
      <c r="M683" s="2">
        <f t="shared" si="136"/>
        <v>1</v>
      </c>
      <c r="N683" s="2">
        <f t="shared" si="137"/>
        <v>1</v>
      </c>
      <c r="P683" s="168">
        <f t="shared" si="138"/>
        <v>71</v>
      </c>
      <c r="AP683" s="40"/>
      <c r="AQ683" s="40"/>
      <c r="AR683" s="40"/>
      <c r="AS683" s="40"/>
      <c r="AT683" s="19">
        <v>3</v>
      </c>
      <c r="AU683" s="14">
        <v>6</v>
      </c>
      <c r="AV683" s="27">
        <v>6</v>
      </c>
      <c r="AW683" s="19"/>
      <c r="AX683" s="19"/>
      <c r="AY683" s="19">
        <v>1</v>
      </c>
      <c r="AZ683" s="14">
        <v>1</v>
      </c>
      <c r="BA683" s="27">
        <v>1</v>
      </c>
      <c r="BB683" s="13" t="s">
        <v>269</v>
      </c>
      <c r="BF683" s="2" t="s">
        <v>440</v>
      </c>
    </row>
    <row r="684" spans="1:58" ht="14.25" x14ac:dyDescent="0.2">
      <c r="A684" t="str">
        <f t="shared" si="131"/>
        <v>A93</v>
      </c>
      <c r="B684" s="2" t="s">
        <v>656</v>
      </c>
      <c r="C684">
        <f t="shared" si="132"/>
        <v>258.81</v>
      </c>
      <c r="D684" t="str">
        <f t="shared" si="139"/>
        <v>UFD</v>
      </c>
      <c r="E684" s="169" t="str">
        <f>IF(OR(A684="",B684="",C684=""),"eine der Spalten BAB, FR, km leer?",CONCATENATE(VLOOKUP(VALUE(I684),[1]Grundlage!$A$1:$B$14,2,0),IF(LEFT(A684,1)="A",IF(VALUE(MID(A684,2,10))&lt;10,"A00"&amp;VALUE(MID(A684,2,10)),IF(VALUE(MID(A684,2,10))&lt;100,"A0"&amp;VALUE(MID(A684,2,10)),IF(VALUE(MID(A684,2,10))&lt;1000,"A"&amp;VALUE(MID(A684,2,10))))),IF(LEFT(A684,1)="B",IF(VALUE(MID(A684,2,10))&lt;10,"B00"&amp;VALUE(MID(A684,2,10)),IF(VALUE(MID(A684,2,10))&lt;100,"B0"&amp;VALUE(MID(A684,2,10)),IF(VALUE(MID(A684,2,10))&lt;1000,"B"&amp;VALUE(MID(A684,2,10))))),A684)),"_",IF(NOT(OR(C684=1000,C684&gt;1000)),MID(TEXT((C684+1000)*1000,0),2,6),"keine Meter in Spalte km!!!"),IF(VALUE(I684)=1,CONCATENATE("_",VLOOKUP(IF(V684&gt;0,V684,J684),[1]Grundlage!$A$20:$B$181,2,0)),CONCATENATE("_",B684))))</f>
        <v>UQ_A093_258810_N</v>
      </c>
      <c r="F684" s="2" t="s">
        <v>270</v>
      </c>
      <c r="G684" s="167">
        <f t="shared" si="141"/>
        <v>36356</v>
      </c>
      <c r="H684">
        <f t="shared" si="142"/>
        <v>239</v>
      </c>
      <c r="I684" s="2">
        <f t="shared" si="133"/>
        <v>3</v>
      </c>
      <c r="J684" s="2">
        <f t="shared" si="134"/>
        <v>11</v>
      </c>
      <c r="K684" s="13">
        <v>209</v>
      </c>
      <c r="L684" s="2">
        <f t="shared" si="135"/>
        <v>18</v>
      </c>
      <c r="M684" s="2">
        <f t="shared" si="136"/>
        <v>1</v>
      </c>
      <c r="N684" s="2">
        <f t="shared" si="137"/>
        <v>2</v>
      </c>
      <c r="P684" s="168">
        <f t="shared" si="138"/>
        <v>70</v>
      </c>
      <c r="AT684" s="19">
        <v>3</v>
      </c>
      <c r="AU684" s="14">
        <v>11</v>
      </c>
      <c r="AV684" s="14" t="s">
        <v>78</v>
      </c>
      <c r="AW684" s="13"/>
      <c r="AX684" s="13"/>
      <c r="AY684" s="19">
        <v>1</v>
      </c>
      <c r="AZ684" s="14">
        <v>2</v>
      </c>
      <c r="BA684" s="14">
        <v>2</v>
      </c>
      <c r="BB684" s="13" t="s">
        <v>270</v>
      </c>
      <c r="BF684" s="2" t="s">
        <v>565</v>
      </c>
    </row>
    <row r="685" spans="1:58" ht="14.25" x14ac:dyDescent="0.2">
      <c r="A685" t="str">
        <f t="shared" si="131"/>
        <v>A93</v>
      </c>
      <c r="B685" s="2" t="s">
        <v>656</v>
      </c>
      <c r="C685">
        <f t="shared" si="132"/>
        <v>258.81</v>
      </c>
      <c r="D685" t="str">
        <f t="shared" si="139"/>
        <v>UFD</v>
      </c>
      <c r="E685" s="169" t="str">
        <f>IF(OR(A685="",B685="",C685=""),"eine der Spalten BAB, FR, km leer?",CONCATENATE(VLOOKUP(VALUE(I685),[1]Grundlage!$A$1:$B$14,2,0),IF(LEFT(A685,1)="A",IF(VALUE(MID(A685,2,10))&lt;10,"A00"&amp;VALUE(MID(A685,2,10)),IF(VALUE(MID(A685,2,10))&lt;100,"A0"&amp;VALUE(MID(A685,2,10)),IF(VALUE(MID(A685,2,10))&lt;1000,"A"&amp;VALUE(MID(A685,2,10))))),IF(LEFT(A685,1)="B",IF(VALUE(MID(A685,2,10))&lt;10,"B00"&amp;VALUE(MID(A685,2,10)),IF(VALUE(MID(A685,2,10))&lt;100,"B0"&amp;VALUE(MID(A685,2,10)),IF(VALUE(MID(A685,2,10))&lt;1000,"B"&amp;VALUE(MID(A685,2,10))))),A685)),"_",IF(NOT(OR(C685=1000,C685&gt;1000)),MID(TEXT((C685+1000)*1000,0),2,6),"keine Meter in Spalte km!!!"),IF(VALUE(I685)=1,CONCATENATE("_",VLOOKUP(IF(V685&gt;0,V685,J685),[1]Grundlage!$A$20:$B$181,2,0)),CONCATENATE("_",B685))))</f>
        <v>UQ_A093_258810_N</v>
      </c>
      <c r="F685" s="2" t="s">
        <v>25</v>
      </c>
      <c r="G685" s="167">
        <f t="shared" si="141"/>
        <v>36356</v>
      </c>
      <c r="H685">
        <f t="shared" si="142"/>
        <v>239</v>
      </c>
      <c r="I685" s="2">
        <f t="shared" si="133"/>
        <v>3</v>
      </c>
      <c r="J685" s="2">
        <f t="shared" si="134"/>
        <v>12</v>
      </c>
      <c r="K685" s="13">
        <v>209</v>
      </c>
      <c r="L685" s="2">
        <f t="shared" si="135"/>
        <v>18</v>
      </c>
      <c r="M685" s="2">
        <f t="shared" si="136"/>
        <v>1</v>
      </c>
      <c r="N685" s="2">
        <f t="shared" si="137"/>
        <v>3</v>
      </c>
      <c r="P685" s="168">
        <f t="shared" si="138"/>
        <v>48</v>
      </c>
      <c r="AT685" s="19">
        <v>3</v>
      </c>
      <c r="AU685" s="14">
        <v>12</v>
      </c>
      <c r="AV685" s="14" t="s">
        <v>79</v>
      </c>
      <c r="AW685" s="13"/>
      <c r="AX685" s="13"/>
      <c r="AY685" s="19">
        <v>1</v>
      </c>
      <c r="AZ685" s="14">
        <v>3</v>
      </c>
      <c r="BA685" s="14">
        <v>3</v>
      </c>
      <c r="BB685" s="13" t="s">
        <v>25</v>
      </c>
      <c r="BF685" s="13" t="s">
        <v>441</v>
      </c>
    </row>
    <row r="686" spans="1:58" ht="14.25" x14ac:dyDescent="0.2">
      <c r="A686" t="str">
        <f t="shared" si="131"/>
        <v>A93</v>
      </c>
      <c r="B686" s="2" t="s">
        <v>656</v>
      </c>
      <c r="C686">
        <f t="shared" si="132"/>
        <v>258.81</v>
      </c>
      <c r="D686" t="str">
        <f t="shared" si="139"/>
        <v>UFD</v>
      </c>
      <c r="E686" s="169" t="str">
        <f>IF(OR(A686="",B686="",C686=""),"eine der Spalten BAB, FR, km leer?",CONCATENATE(VLOOKUP(VALUE(I686),[1]Grundlage!$A$1:$B$14,2,0),IF(LEFT(A686,1)="A",IF(VALUE(MID(A686,2,10))&lt;10,"A00"&amp;VALUE(MID(A686,2,10)),IF(VALUE(MID(A686,2,10))&lt;100,"A0"&amp;VALUE(MID(A686,2,10)),IF(VALUE(MID(A686,2,10))&lt;1000,"A"&amp;VALUE(MID(A686,2,10))))),IF(LEFT(A686,1)="B",IF(VALUE(MID(A686,2,10))&lt;10,"B00"&amp;VALUE(MID(A686,2,10)),IF(VALUE(MID(A686,2,10))&lt;100,"B0"&amp;VALUE(MID(A686,2,10)),IF(VALUE(MID(A686,2,10))&lt;1000,"B"&amp;VALUE(MID(A686,2,10))))),A686)),"_",IF(NOT(OR(C686=1000,C686&gt;1000)),MID(TEXT((C686+1000)*1000,0),2,6),"keine Meter in Spalte km!!!"),IF(VALUE(I686)=1,CONCATENATE("_",VLOOKUP(IF(V686&gt;0,V686,J686),[1]Grundlage!$A$20:$B$181,2,0)),CONCATENATE("_",B686))))</f>
        <v>UQ_A093_258810_N</v>
      </c>
      <c r="F686" s="2" t="s">
        <v>26</v>
      </c>
      <c r="G686" s="167">
        <f t="shared" si="141"/>
        <v>36356</v>
      </c>
      <c r="H686">
        <f t="shared" si="142"/>
        <v>239</v>
      </c>
      <c r="I686" s="2">
        <f t="shared" si="133"/>
        <v>3</v>
      </c>
      <c r="J686" s="2">
        <f t="shared" si="134"/>
        <v>13</v>
      </c>
      <c r="K686" s="13">
        <v>209</v>
      </c>
      <c r="L686" s="2">
        <f t="shared" si="135"/>
        <v>18</v>
      </c>
      <c r="M686" s="2">
        <f t="shared" si="136"/>
        <v>1</v>
      </c>
      <c r="N686" s="2">
        <f t="shared" si="137"/>
        <v>4</v>
      </c>
      <c r="P686" s="168">
        <f t="shared" si="138"/>
        <v>55</v>
      </c>
      <c r="AT686" s="19">
        <v>3</v>
      </c>
      <c r="AU686" s="14">
        <v>13</v>
      </c>
      <c r="AV686" s="14" t="s">
        <v>80</v>
      </c>
      <c r="AW686" s="13"/>
      <c r="AX686" s="13"/>
      <c r="AY686" s="19">
        <v>1</v>
      </c>
      <c r="AZ686" s="14">
        <v>4</v>
      </c>
      <c r="BA686" s="14">
        <v>4</v>
      </c>
      <c r="BB686" s="13" t="s">
        <v>26</v>
      </c>
      <c r="BF686" s="13" t="s">
        <v>442</v>
      </c>
    </row>
    <row r="687" spans="1:58" ht="14.25" x14ac:dyDescent="0.2">
      <c r="A687" t="str">
        <f t="shared" si="131"/>
        <v>A93</v>
      </c>
      <c r="B687" s="2" t="s">
        <v>656</v>
      </c>
      <c r="C687">
        <f t="shared" si="132"/>
        <v>258.81</v>
      </c>
      <c r="D687" t="str">
        <f t="shared" si="139"/>
        <v>UFD</v>
      </c>
      <c r="E687" s="169" t="str">
        <f>IF(OR(A687="",B687="",C687=""),"eine der Spalten BAB, FR, km leer?",CONCATENATE(VLOOKUP(VALUE(I687),[1]Grundlage!$A$1:$B$14,2,0),IF(LEFT(A687,1)="A",IF(VALUE(MID(A687,2,10))&lt;10,"A00"&amp;VALUE(MID(A687,2,10)),IF(VALUE(MID(A687,2,10))&lt;100,"A0"&amp;VALUE(MID(A687,2,10)),IF(VALUE(MID(A687,2,10))&lt;1000,"A"&amp;VALUE(MID(A687,2,10))))),IF(LEFT(A687,1)="B",IF(VALUE(MID(A687,2,10))&lt;10,"B00"&amp;VALUE(MID(A687,2,10)),IF(VALUE(MID(A687,2,10))&lt;100,"B0"&amp;VALUE(MID(A687,2,10)),IF(VALUE(MID(A687,2,10))&lt;1000,"B"&amp;VALUE(MID(A687,2,10))))),A687)),"_",IF(NOT(OR(C687=1000,C687&gt;1000)),MID(TEXT((C687+1000)*1000,0),2,6),"keine Meter in Spalte km!!!"),IF(VALUE(I687)=1,CONCATENATE("_",VLOOKUP(IF(V687&gt;0,V687,J687),[1]Grundlage!$A$20:$B$181,2,0)),CONCATENATE("_",B687))))</f>
        <v>UQ_A093_258810_N</v>
      </c>
      <c r="F687" s="2" t="s">
        <v>27</v>
      </c>
      <c r="G687" s="167">
        <f t="shared" si="141"/>
        <v>36356</v>
      </c>
      <c r="H687">
        <f t="shared" si="142"/>
        <v>239</v>
      </c>
      <c r="I687" s="2">
        <f t="shared" si="133"/>
        <v>3</v>
      </c>
      <c r="J687" s="2">
        <f t="shared" si="134"/>
        <v>14</v>
      </c>
      <c r="K687" s="13">
        <v>209</v>
      </c>
      <c r="L687" s="2">
        <f t="shared" si="135"/>
        <v>18</v>
      </c>
      <c r="M687" s="2">
        <f t="shared" si="136"/>
        <v>1</v>
      </c>
      <c r="N687" s="2">
        <f t="shared" si="137"/>
        <v>5</v>
      </c>
      <c r="P687" s="168">
        <f t="shared" si="138"/>
        <v>66</v>
      </c>
      <c r="AT687" s="19">
        <v>3</v>
      </c>
      <c r="AU687" s="14">
        <v>14</v>
      </c>
      <c r="AV687" s="14" t="s">
        <v>81</v>
      </c>
      <c r="AW687" s="13"/>
      <c r="AX687" s="13"/>
      <c r="AY687" s="19">
        <v>1</v>
      </c>
      <c r="AZ687" s="14">
        <v>5</v>
      </c>
      <c r="BA687" s="14">
        <v>5</v>
      </c>
      <c r="BB687" s="13" t="s">
        <v>27</v>
      </c>
      <c r="BF687" s="13" t="s">
        <v>443</v>
      </c>
    </row>
    <row r="688" spans="1:58" ht="14.25" x14ac:dyDescent="0.2">
      <c r="A688" t="str">
        <f t="shared" si="131"/>
        <v>A93</v>
      </c>
      <c r="B688" s="2" t="s">
        <v>656</v>
      </c>
      <c r="C688">
        <f t="shared" si="132"/>
        <v>258.81</v>
      </c>
      <c r="D688" t="str">
        <f t="shared" si="139"/>
        <v>UFD</v>
      </c>
      <c r="E688" s="169" t="str">
        <f>IF(OR(A688="",B688="",C688=""),"eine der Spalten BAB, FR, km leer?",CONCATENATE(VLOOKUP(VALUE(I688),[1]Grundlage!$A$1:$B$14,2,0),IF(LEFT(A688,1)="A",IF(VALUE(MID(A688,2,10))&lt;10,"A00"&amp;VALUE(MID(A688,2,10)),IF(VALUE(MID(A688,2,10))&lt;100,"A0"&amp;VALUE(MID(A688,2,10)),IF(VALUE(MID(A688,2,10))&lt;1000,"A"&amp;VALUE(MID(A688,2,10))))),IF(LEFT(A688,1)="B",IF(VALUE(MID(A688,2,10))&lt;10,"B00"&amp;VALUE(MID(A688,2,10)),IF(VALUE(MID(A688,2,10))&lt;100,"B0"&amp;VALUE(MID(A688,2,10)),IF(VALUE(MID(A688,2,10))&lt;1000,"B"&amp;VALUE(MID(A688,2,10))))),A688)),"_",IF(NOT(OR(C688=1000,C688&gt;1000)),MID(TEXT((C688+1000)*1000,0),2,6),"keine Meter in Spalte km!!!"),IF(VALUE(I688)=1,CONCATENATE("_",VLOOKUP(IF(V688&gt;0,V688,J688),[1]Grundlage!$A$20:$B$181,2,0)),CONCATENATE("_",B688))))</f>
        <v>UQ_A093_258810_N</v>
      </c>
      <c r="F688" s="2" t="s">
        <v>28</v>
      </c>
      <c r="G688" s="167">
        <f t="shared" si="141"/>
        <v>36356</v>
      </c>
      <c r="H688">
        <f t="shared" si="142"/>
        <v>239</v>
      </c>
      <c r="I688" s="2">
        <f t="shared" si="133"/>
        <v>3</v>
      </c>
      <c r="J688" s="2">
        <f t="shared" si="134"/>
        <v>15</v>
      </c>
      <c r="K688" s="13">
        <v>209</v>
      </c>
      <c r="L688" s="2">
        <f t="shared" si="135"/>
        <v>18</v>
      </c>
      <c r="M688" s="2">
        <f t="shared" si="136"/>
        <v>1</v>
      </c>
      <c r="N688" s="2">
        <f t="shared" si="137"/>
        <v>6</v>
      </c>
      <c r="P688" s="168">
        <f t="shared" si="138"/>
        <v>65</v>
      </c>
      <c r="AT688" s="19">
        <v>3</v>
      </c>
      <c r="AU688" s="14">
        <v>15</v>
      </c>
      <c r="AV688" s="14" t="s">
        <v>82</v>
      </c>
      <c r="AW688" s="13"/>
      <c r="AX688" s="13"/>
      <c r="AY688" s="19">
        <v>1</v>
      </c>
      <c r="AZ688" s="14">
        <v>6</v>
      </c>
      <c r="BA688" s="14">
        <v>6</v>
      </c>
      <c r="BB688" s="13" t="s">
        <v>28</v>
      </c>
      <c r="BF688" s="13" t="s">
        <v>566</v>
      </c>
    </row>
    <row r="689" spans="1:58" ht="14.25" x14ac:dyDescent="0.2">
      <c r="A689" t="str">
        <f t="shared" si="131"/>
        <v>A93</v>
      </c>
      <c r="B689" s="2" t="s">
        <v>656</v>
      </c>
      <c r="C689">
        <f t="shared" si="132"/>
        <v>258.81</v>
      </c>
      <c r="D689" t="str">
        <f t="shared" si="139"/>
        <v>UFD</v>
      </c>
      <c r="E689" s="169" t="str">
        <f>IF(OR(A689="",B689="",C689=""),"eine der Spalten BAB, FR, km leer?",CONCATENATE(VLOOKUP(VALUE(I689),[1]Grundlage!$A$1:$B$14,2,0),IF(LEFT(A689,1)="A",IF(VALUE(MID(A689,2,10))&lt;10,"A00"&amp;VALUE(MID(A689,2,10)),IF(VALUE(MID(A689,2,10))&lt;100,"A0"&amp;VALUE(MID(A689,2,10)),IF(VALUE(MID(A689,2,10))&lt;1000,"A"&amp;VALUE(MID(A689,2,10))))),IF(LEFT(A689,1)="B",IF(VALUE(MID(A689,2,10))&lt;10,"B00"&amp;VALUE(MID(A689,2,10)),IF(VALUE(MID(A689,2,10))&lt;100,"B0"&amp;VALUE(MID(A689,2,10)),IF(VALUE(MID(A689,2,10))&lt;1000,"B"&amp;VALUE(MID(A689,2,10))))),A689)),"_",IF(NOT(OR(C689=1000,C689&gt;1000)),MID(TEXT((C689+1000)*1000,0),2,6),"keine Meter in Spalte km!!!"),IF(VALUE(I689)=1,CONCATENATE("_",VLOOKUP(IF(V689&gt;0,V689,J689),[1]Grundlage!$A$20:$B$181,2,0)),CONCATENATE("_",B689))))</f>
        <v>UQ_A093_258810_N</v>
      </c>
      <c r="F689" s="2" t="s">
        <v>29</v>
      </c>
      <c r="G689" s="167">
        <f t="shared" si="141"/>
        <v>36356</v>
      </c>
      <c r="H689">
        <f t="shared" si="142"/>
        <v>239</v>
      </c>
      <c r="I689" s="2">
        <f t="shared" si="133"/>
        <v>3</v>
      </c>
      <c r="J689" s="2">
        <f t="shared" si="134"/>
        <v>19</v>
      </c>
      <c r="K689" s="13">
        <v>209</v>
      </c>
      <c r="L689" s="2">
        <f t="shared" si="135"/>
        <v>18</v>
      </c>
      <c r="M689" s="2">
        <f t="shared" si="136"/>
        <v>1</v>
      </c>
      <c r="N689" s="2">
        <f t="shared" si="137"/>
        <v>7</v>
      </c>
      <c r="P689" s="168">
        <f t="shared" si="138"/>
        <v>49</v>
      </c>
      <c r="AT689" s="19">
        <v>3</v>
      </c>
      <c r="AU689" s="14">
        <v>19</v>
      </c>
      <c r="AV689" s="14">
        <v>13</v>
      </c>
      <c r="AW689" s="13"/>
      <c r="AX689" s="13"/>
      <c r="AY689" s="19">
        <v>1</v>
      </c>
      <c r="AZ689" s="14">
        <v>7</v>
      </c>
      <c r="BA689" s="14">
        <v>7</v>
      </c>
      <c r="BB689" s="13" t="s">
        <v>29</v>
      </c>
      <c r="BF689" s="13" t="s">
        <v>567</v>
      </c>
    </row>
    <row r="690" spans="1:58" ht="14.25" x14ac:dyDescent="0.2">
      <c r="A690" t="str">
        <f t="shared" si="131"/>
        <v>A93</v>
      </c>
      <c r="B690" s="2" t="s">
        <v>656</v>
      </c>
      <c r="C690">
        <f t="shared" si="132"/>
        <v>258.81</v>
      </c>
      <c r="D690" t="str">
        <f t="shared" si="139"/>
        <v>UFD</v>
      </c>
      <c r="E690" s="169" t="str">
        <f>IF(OR(A690="",B690="",C690=""),"eine der Spalten BAB, FR, km leer?",CONCATENATE(VLOOKUP(VALUE(I690),[1]Grundlage!$A$1:$B$14,2,0),IF(LEFT(A690,1)="A",IF(VALUE(MID(A690,2,10))&lt;10,"A00"&amp;VALUE(MID(A690,2,10)),IF(VALUE(MID(A690,2,10))&lt;100,"A0"&amp;VALUE(MID(A690,2,10)),IF(VALUE(MID(A690,2,10))&lt;1000,"A"&amp;VALUE(MID(A690,2,10))))),IF(LEFT(A690,1)="B",IF(VALUE(MID(A690,2,10))&lt;10,"B00"&amp;VALUE(MID(A690,2,10)),IF(VALUE(MID(A690,2,10))&lt;100,"B0"&amp;VALUE(MID(A690,2,10)),IF(VALUE(MID(A690,2,10))&lt;1000,"B"&amp;VALUE(MID(A690,2,10))))),A690)),"_",IF(NOT(OR(C690=1000,C690&gt;1000)),MID(TEXT((C690+1000)*1000,0),2,6),"keine Meter in Spalte km!!!"),IF(VALUE(I690)=1,CONCATENATE("_",VLOOKUP(IF(V690&gt;0,V690,J690),[1]Grundlage!$A$20:$B$181,2,0)),CONCATENATE("_",B690))))</f>
        <v>UQ_A093_258810_N</v>
      </c>
      <c r="F690" s="2" t="s">
        <v>30</v>
      </c>
      <c r="G690" s="167">
        <f t="shared" si="141"/>
        <v>36356</v>
      </c>
      <c r="H690">
        <f t="shared" si="142"/>
        <v>239</v>
      </c>
      <c r="I690" s="2">
        <f t="shared" si="133"/>
        <v>3</v>
      </c>
      <c r="J690" s="2">
        <f t="shared" si="134"/>
        <v>21</v>
      </c>
      <c r="K690" s="13">
        <v>209</v>
      </c>
      <c r="L690" s="2">
        <f t="shared" si="135"/>
        <v>18</v>
      </c>
      <c r="M690" s="2">
        <f t="shared" si="136"/>
        <v>1</v>
      </c>
      <c r="N690" s="2">
        <f t="shared" si="137"/>
        <v>8</v>
      </c>
      <c r="P690" s="168">
        <f t="shared" si="138"/>
        <v>67</v>
      </c>
      <c r="AT690" s="19">
        <v>3</v>
      </c>
      <c r="AU690" s="14">
        <v>21</v>
      </c>
      <c r="AV690" s="14">
        <v>15</v>
      </c>
      <c r="AW690" s="13"/>
      <c r="AX690" s="13"/>
      <c r="AY690" s="19">
        <v>1</v>
      </c>
      <c r="AZ690" s="14">
        <v>8</v>
      </c>
      <c r="BA690" s="14">
        <v>8</v>
      </c>
      <c r="BB690" s="13" t="s">
        <v>30</v>
      </c>
      <c r="BF690" s="13" t="s">
        <v>568</v>
      </c>
    </row>
    <row r="691" spans="1:58" ht="14.25" x14ac:dyDescent="0.2">
      <c r="A691" t="str">
        <f t="shared" si="131"/>
        <v>A93</v>
      </c>
      <c r="B691" s="2" t="s">
        <v>656</v>
      </c>
      <c r="C691">
        <f t="shared" si="132"/>
        <v>258.81</v>
      </c>
      <c r="D691" t="str">
        <f t="shared" si="139"/>
        <v>UFD</v>
      </c>
      <c r="E691" s="169" t="str">
        <f>IF(OR(A691="",B691="",C691=""),"eine der Spalten BAB, FR, km leer?",CONCATENATE(VLOOKUP(VALUE(I691),[1]Grundlage!$A$1:$B$14,2,0),IF(LEFT(A691,1)="A",IF(VALUE(MID(A691,2,10))&lt;10,"A00"&amp;VALUE(MID(A691,2,10)),IF(VALUE(MID(A691,2,10))&lt;100,"A0"&amp;VALUE(MID(A691,2,10)),IF(VALUE(MID(A691,2,10))&lt;1000,"A"&amp;VALUE(MID(A691,2,10))))),IF(LEFT(A691,1)="B",IF(VALUE(MID(A691,2,10))&lt;10,"B00"&amp;VALUE(MID(A691,2,10)),IF(VALUE(MID(A691,2,10))&lt;100,"B0"&amp;VALUE(MID(A691,2,10)),IF(VALUE(MID(A691,2,10))&lt;1000,"B"&amp;VALUE(MID(A691,2,10))))),A691)),"_",IF(NOT(OR(C691=1000,C691&gt;1000)),MID(TEXT((C691+1000)*1000,0),2,6),"keine Meter in Spalte km!!!"),IF(VALUE(I691)=1,CONCATENATE("_",VLOOKUP(IF(V691&gt;0,V691,J691),[1]Grundlage!$A$20:$B$181,2,0)),CONCATENATE("_",B691))))</f>
        <v>UQ_A093_258810_N</v>
      </c>
      <c r="F691" s="2" t="s">
        <v>41</v>
      </c>
      <c r="G691" s="167">
        <f t="shared" si="141"/>
        <v>36356</v>
      </c>
      <c r="H691">
        <f t="shared" si="142"/>
        <v>239</v>
      </c>
      <c r="I691" s="2">
        <f t="shared" si="133"/>
        <v>3</v>
      </c>
      <c r="J691" s="2">
        <f t="shared" si="134"/>
        <v>24</v>
      </c>
      <c r="K691" s="13">
        <v>209</v>
      </c>
      <c r="L691" s="2">
        <f t="shared" si="135"/>
        <v>18</v>
      </c>
      <c r="M691" s="2">
        <f t="shared" si="136"/>
        <v>1</v>
      </c>
      <c r="N691" s="2">
        <f t="shared" si="137"/>
        <v>9</v>
      </c>
      <c r="P691" s="168">
        <f t="shared" si="138"/>
        <v>69</v>
      </c>
      <c r="AT691" s="19">
        <v>3</v>
      </c>
      <c r="AU691" s="14">
        <v>24</v>
      </c>
      <c r="AV691" s="14">
        <v>18</v>
      </c>
      <c r="AW691" s="13"/>
      <c r="AX691" s="13"/>
      <c r="AY691" s="19">
        <v>1</v>
      </c>
      <c r="AZ691" s="14">
        <v>9</v>
      </c>
      <c r="BA691" s="14">
        <v>9</v>
      </c>
      <c r="BB691" s="13" t="s">
        <v>41</v>
      </c>
      <c r="BF691" s="13" t="s">
        <v>563</v>
      </c>
    </row>
    <row r="692" spans="1:58" ht="14.25" x14ac:dyDescent="0.2">
      <c r="A692" t="str">
        <f t="shared" si="131"/>
        <v>A93</v>
      </c>
      <c r="B692" s="2" t="s">
        <v>656</v>
      </c>
      <c r="C692">
        <f t="shared" si="132"/>
        <v>258.81</v>
      </c>
      <c r="D692" t="str">
        <f t="shared" si="139"/>
        <v>UFD</v>
      </c>
      <c r="E692" s="169" t="str">
        <f>IF(OR(A692="",B692="",C692=""),"eine der Spalten BAB, FR, km leer?",CONCATENATE(VLOOKUP(VALUE(I692),[1]Grundlage!$A$1:$B$14,2,0),IF(LEFT(A692,1)="A",IF(VALUE(MID(A692,2,10))&lt;10,"A00"&amp;VALUE(MID(A692,2,10)),IF(VALUE(MID(A692,2,10))&lt;100,"A0"&amp;VALUE(MID(A692,2,10)),IF(VALUE(MID(A692,2,10))&lt;1000,"A"&amp;VALUE(MID(A692,2,10))))),IF(LEFT(A692,1)="B",IF(VALUE(MID(A692,2,10))&lt;10,"B00"&amp;VALUE(MID(A692,2,10)),IF(VALUE(MID(A692,2,10))&lt;100,"B0"&amp;VALUE(MID(A692,2,10)),IF(VALUE(MID(A692,2,10))&lt;1000,"B"&amp;VALUE(MID(A692,2,10))))),A692)),"_",IF(NOT(OR(C692=1000,C692&gt;1000)),MID(TEXT((C692+1000)*1000,0),2,6),"keine Meter in Spalte km!!!"),IF(VALUE(I692)=1,CONCATENATE("_",VLOOKUP(IF(V692&gt;0,V692,J692),[1]Grundlage!$A$20:$B$181,2,0)),CONCATENATE("_",B692))))</f>
        <v>UQ_A093_258810_N</v>
      </c>
      <c r="F692" s="2" t="s">
        <v>271</v>
      </c>
      <c r="G692" s="167">
        <f t="shared" si="141"/>
        <v>36356</v>
      </c>
      <c r="H692">
        <f t="shared" si="142"/>
        <v>239</v>
      </c>
      <c r="I692" s="2">
        <f t="shared" si="133"/>
        <v>3</v>
      </c>
      <c r="J692" s="2">
        <f t="shared" si="134"/>
        <v>67</v>
      </c>
      <c r="K692" s="13">
        <v>209</v>
      </c>
      <c r="L692" s="2">
        <f t="shared" si="135"/>
        <v>18</v>
      </c>
      <c r="M692" s="2">
        <f t="shared" si="136"/>
        <v>1</v>
      </c>
      <c r="N692" s="2">
        <f t="shared" si="137"/>
        <v>10</v>
      </c>
      <c r="P692" s="168">
        <f t="shared" si="138"/>
        <v>53</v>
      </c>
      <c r="AT692" s="19">
        <v>3</v>
      </c>
      <c r="AU692" s="14">
        <v>67</v>
      </c>
      <c r="AV692" s="14">
        <v>43</v>
      </c>
      <c r="AW692" s="13"/>
      <c r="AX692" s="13"/>
      <c r="AY692" s="19">
        <v>1</v>
      </c>
      <c r="AZ692" s="14">
        <v>10</v>
      </c>
      <c r="BA692" s="14">
        <v>10</v>
      </c>
      <c r="BB692" s="13" t="s">
        <v>271</v>
      </c>
      <c r="BF692" s="13" t="s">
        <v>444</v>
      </c>
    </row>
    <row r="693" spans="1:58" ht="14.25" x14ac:dyDescent="0.2">
      <c r="A693" t="str">
        <f t="shared" si="131"/>
        <v>A93</v>
      </c>
      <c r="B693" s="2" t="s">
        <v>656</v>
      </c>
      <c r="C693">
        <f t="shared" si="132"/>
        <v>258.81</v>
      </c>
      <c r="D693" t="str">
        <f t="shared" si="139"/>
        <v>UFD</v>
      </c>
      <c r="E693" s="169" t="str">
        <f>IF(OR(A693="",B693="",C693=""),"eine der Spalten BAB, FR, km leer?",CONCATENATE(VLOOKUP(VALUE(I693),[1]Grundlage!$A$1:$B$14,2,0),IF(LEFT(A693,1)="A",IF(VALUE(MID(A693,2,10))&lt;10,"A00"&amp;VALUE(MID(A693,2,10)),IF(VALUE(MID(A693,2,10))&lt;100,"A0"&amp;VALUE(MID(A693,2,10)),IF(VALUE(MID(A693,2,10))&lt;1000,"A"&amp;VALUE(MID(A693,2,10))))),IF(LEFT(A693,1)="B",IF(VALUE(MID(A693,2,10))&lt;10,"B00"&amp;VALUE(MID(A693,2,10)),IF(VALUE(MID(A693,2,10))&lt;100,"B0"&amp;VALUE(MID(A693,2,10)),IF(VALUE(MID(A693,2,10))&lt;1000,"B"&amp;VALUE(MID(A693,2,10))))),A693)),"_",IF(NOT(OR(C693=1000,C693&gt;1000)),MID(TEXT((C693+1000)*1000,0),2,6),"keine Meter in Spalte km!!!"),IF(VALUE(I693)=1,CONCATENATE("_",VLOOKUP(IF(V693&gt;0,V693,J693),[1]Grundlage!$A$20:$B$181,2,0)),CONCATENATE("_",B693))))</f>
        <v>UQ_A093_258810_N</v>
      </c>
      <c r="F693" s="2" t="s">
        <v>272</v>
      </c>
      <c r="G693" s="167">
        <f t="shared" si="141"/>
        <v>36356</v>
      </c>
      <c r="H693">
        <f t="shared" si="142"/>
        <v>239</v>
      </c>
      <c r="I693" s="2">
        <f t="shared" si="133"/>
        <v>3</v>
      </c>
      <c r="J693" s="2">
        <f t="shared" si="134"/>
        <v>82</v>
      </c>
      <c r="K693" s="13">
        <v>209</v>
      </c>
      <c r="L693" s="2">
        <f t="shared" si="135"/>
        <v>18</v>
      </c>
      <c r="M693" s="2">
        <f t="shared" si="136"/>
        <v>1</v>
      </c>
      <c r="N693" s="2">
        <f t="shared" si="137"/>
        <v>11</v>
      </c>
      <c r="P693" s="168">
        <f t="shared" si="138"/>
        <v>72</v>
      </c>
      <c r="AT693" s="19">
        <v>3</v>
      </c>
      <c r="AU693" s="14">
        <v>82</v>
      </c>
      <c r="AV693" s="14">
        <v>52</v>
      </c>
      <c r="AW693" s="13"/>
      <c r="AX693" s="13"/>
      <c r="AY693" s="19">
        <v>1</v>
      </c>
      <c r="AZ693" s="14">
        <v>11</v>
      </c>
      <c r="BA693" s="14">
        <v>11</v>
      </c>
      <c r="BB693" s="13" t="s">
        <v>272</v>
      </c>
      <c r="BF693" s="13" t="s">
        <v>569</v>
      </c>
    </row>
    <row r="694" spans="1:58" ht="14.25" x14ac:dyDescent="0.2">
      <c r="A694" t="str">
        <f t="shared" si="131"/>
        <v>A93</v>
      </c>
      <c r="C694">
        <f t="shared" si="132"/>
        <v>258.81</v>
      </c>
      <c r="D694" t="str">
        <f t="shared" si="139"/>
        <v/>
      </c>
      <c r="E694" s="169" t="str">
        <f>IF(OR(A694="",B694="",C694=""),"",CONCATENATE(VLOOKUP(VALUE(I694),[1]Grundlage!$A$1:$B$14,2,0),IF(LEFT(A694,1)="A",IF(VALUE(MID(A694,2,10))&lt;10,"A00"&amp;VALUE(MID(A694,2,10)),IF(VALUE(MID(A694,2,10))&lt;100,"A0"&amp;VALUE(MID(A694,2,10)),IF(VALUE(MID(A694,2,10))&lt;1000,"A"&amp;VALUE(MID(A694,2,10))))),IF(LEFT(A694,1)="B",IF(VALUE(MID(A694,2,10))&lt;10,"B00"&amp;VALUE(MID(A694,2,10)),IF(VALUE(MID(A694,2,10))&lt;100,"B0"&amp;VALUE(MID(A694,2,10)),IF(VALUE(MID(A694,2,10))&lt;1000,"B"&amp;VALUE(MID(A694,2,10))))),A694)),"_",IF(NOT(OR(C694=1000,C694&gt;1000)),MID(TEXT((C694+1000)*1000,0),2,6),"keine Meter in Spalte km!!!"),IF(VALUE(I694)=1,CONCATENATE("_",VLOOKUP(IF(V694&gt;0,V694,J694),[1]Grundlage!$A$20:$B$181,2,0)),CONCATENATE("_",B694))))</f>
        <v/>
      </c>
      <c r="F694" s="2" t="s">
        <v>669</v>
      </c>
      <c r="G694" s="167">
        <f t="shared" si="141"/>
        <v>36356</v>
      </c>
      <c r="H694">
        <f t="shared" si="142"/>
        <v>239</v>
      </c>
      <c r="I694" s="2">
        <f t="shared" si="133"/>
        <v>0</v>
      </c>
      <c r="J694" s="2">
        <f t="shared" si="134"/>
        <v>0</v>
      </c>
      <c r="K694" s="13">
        <v>209</v>
      </c>
      <c r="L694" s="2">
        <f t="shared" si="135"/>
        <v>18</v>
      </c>
      <c r="M694" s="2" t="str">
        <f t="shared" si="136"/>
        <v/>
      </c>
      <c r="N694" s="2" t="str">
        <f t="shared" si="137"/>
        <v/>
      </c>
      <c r="P694" s="168" t="str">
        <f t="shared" si="138"/>
        <v/>
      </c>
      <c r="AT694" s="19"/>
      <c r="AU694" s="14"/>
      <c r="AV694" s="14"/>
      <c r="AY694" s="1"/>
      <c r="AZ694" s="14"/>
      <c r="BB694" s="13"/>
    </row>
    <row r="695" spans="1:58" ht="14.25" x14ac:dyDescent="0.2">
      <c r="A695" t="str">
        <f t="shared" si="131"/>
        <v>A93</v>
      </c>
      <c r="C695">
        <f t="shared" si="132"/>
        <v>258.81</v>
      </c>
      <c r="D695" t="str">
        <f t="shared" si="139"/>
        <v/>
      </c>
      <c r="E695" s="169" t="str">
        <f>IF(OR(A695="",B695="",C695=""),"",CONCATENATE(VLOOKUP(VALUE(I695),[1]Grundlage!$A$1:$B$14,2,0),IF(LEFT(A695,1)="A",IF(VALUE(MID(A695,2,10))&lt;10,"A00"&amp;VALUE(MID(A695,2,10)),IF(VALUE(MID(A695,2,10))&lt;100,"A0"&amp;VALUE(MID(A695,2,10)),IF(VALUE(MID(A695,2,10))&lt;1000,"A"&amp;VALUE(MID(A695,2,10))))),IF(LEFT(A695,1)="B",IF(VALUE(MID(A695,2,10))&lt;10,"B00"&amp;VALUE(MID(A695,2,10)),IF(VALUE(MID(A695,2,10))&lt;100,"B0"&amp;VALUE(MID(A695,2,10)),IF(VALUE(MID(A695,2,10))&lt;1000,"B"&amp;VALUE(MID(A695,2,10))))),A695)),"_",IF(NOT(OR(C695=1000,C695&gt;1000)),MID(TEXT((C695+1000)*1000,0),2,6),"keine Meter in Spalte km!!!"),IF(VALUE(I695)=1,CONCATENATE("_",VLOOKUP(IF(V695&gt;0,V695,J695),[1]Grundlage!$A$20:$B$181,2,0)),CONCATENATE("_",B695))))</f>
        <v/>
      </c>
      <c r="F695" s="2" t="s">
        <v>669</v>
      </c>
      <c r="G695" s="167">
        <f t="shared" si="141"/>
        <v>36356</v>
      </c>
      <c r="H695">
        <f t="shared" si="142"/>
        <v>239</v>
      </c>
      <c r="I695" s="2">
        <f t="shared" si="133"/>
        <v>0</v>
      </c>
      <c r="J695" s="2">
        <f t="shared" si="134"/>
        <v>0</v>
      </c>
      <c r="K695" s="13">
        <v>209</v>
      </c>
      <c r="L695" s="2">
        <f t="shared" si="135"/>
        <v>18</v>
      </c>
      <c r="M695" s="2" t="str">
        <f t="shared" si="136"/>
        <v/>
      </c>
      <c r="N695" s="2" t="str">
        <f t="shared" si="137"/>
        <v/>
      </c>
      <c r="P695" s="168" t="str">
        <f t="shared" si="138"/>
        <v/>
      </c>
      <c r="AT695" s="19"/>
      <c r="AU695" s="14"/>
      <c r="AV695" s="14"/>
      <c r="AY695" s="1"/>
      <c r="AZ695" s="14"/>
      <c r="BB695" s="13"/>
    </row>
    <row r="696" spans="1:58" ht="14.25" x14ac:dyDescent="0.2">
      <c r="A696" t="str">
        <f t="shared" si="131"/>
        <v>A92</v>
      </c>
      <c r="B696" s="2" t="s">
        <v>657</v>
      </c>
      <c r="C696">
        <f t="shared" si="132"/>
        <v>42.5</v>
      </c>
      <c r="D696" t="str">
        <f t="shared" si="139"/>
        <v>SS</v>
      </c>
      <c r="E696" s="169" t="str">
        <f>IF(OR(A696="",B696="",C696=""),"eine der Spalten BAB, FR, km leer?",CONCATENATE(VLOOKUP(VALUE(I696),[1]Grundlage!$A$1:$B$14,2,0),IF(LEFT(A696,1)="A",IF(VALUE(MID(A696,2,10))&lt;10,"A00"&amp;VALUE(MID(A696,2,10)),IF(VALUE(MID(A696,2,10))&lt;100,"A0"&amp;VALUE(MID(A696,2,10)),IF(VALUE(MID(A696,2,10))&lt;1000,"A"&amp;VALUE(MID(A696,2,10))))),IF(LEFT(A696,1)="B",IF(VALUE(MID(A696,2,10))&lt;10,"B00"&amp;VALUE(MID(A696,2,10)),IF(VALUE(MID(A696,2,10))&lt;100,"B0"&amp;VALUE(MID(A696,2,10)),IF(VALUE(MID(A696,2,10))&lt;1000,"B"&amp;VALUE(MID(A696,2,10))))),A696)),"_",IF(NOT(OR(C696=1000,C696&gt;1000)),MID(TEXT((C696+1000)*1000,0),2,6),"keine Meter in Spalte km!!!"),IF(VALUE(I696)=1,CONCATENATE("_",VLOOKUP(IF(V696&gt;0,V696,J696),[1]Grundlage!$A$20:$B$181,2,0)),CONCATENATE("_",B696))))</f>
        <v>SSt_A092_042500_W</v>
      </c>
      <c r="F696" s="2" t="s">
        <v>124</v>
      </c>
      <c r="G696" s="167">
        <f t="shared" si="141"/>
        <v>36001</v>
      </c>
      <c r="H696">
        <f t="shared" si="142"/>
        <v>215</v>
      </c>
      <c r="I696" s="2">
        <f t="shared" si="133"/>
        <v>254</v>
      </c>
      <c r="J696" s="2">
        <f t="shared" si="134"/>
        <v>0</v>
      </c>
      <c r="K696" s="13">
        <v>209</v>
      </c>
      <c r="L696" s="2">
        <f t="shared" si="135"/>
        <v>19</v>
      </c>
      <c r="M696" s="2" t="str">
        <f t="shared" si="136"/>
        <v/>
      </c>
      <c r="N696" s="2" t="str">
        <f t="shared" si="137"/>
        <v/>
      </c>
      <c r="P696" s="168" t="str">
        <f t="shared" si="138"/>
        <v/>
      </c>
      <c r="AI696" s="35">
        <v>42.5</v>
      </c>
      <c r="AJ696" s="36" t="s">
        <v>19</v>
      </c>
      <c r="AK696" s="36" t="s">
        <v>72</v>
      </c>
      <c r="AL696" s="36"/>
      <c r="AM696" s="36"/>
      <c r="AN696" s="36"/>
      <c r="AO696" s="36"/>
      <c r="AP696" s="42">
        <v>9216471</v>
      </c>
      <c r="AQ696" s="42" t="s">
        <v>230</v>
      </c>
      <c r="AR696" s="42" t="s">
        <v>204</v>
      </c>
      <c r="AS696" s="42" t="s">
        <v>249</v>
      </c>
      <c r="AT696" s="36"/>
      <c r="AU696" s="36"/>
      <c r="AV696" s="36"/>
      <c r="AW696" s="36"/>
      <c r="AX696" s="36">
        <v>19</v>
      </c>
      <c r="AY696" s="36"/>
      <c r="AZ696" s="36"/>
      <c r="BA696" s="36"/>
      <c r="BB696" s="37" t="s">
        <v>124</v>
      </c>
      <c r="BC696" s="38"/>
      <c r="BD696" s="96" t="s">
        <v>163</v>
      </c>
      <c r="BE696" s="39" t="s">
        <v>121</v>
      </c>
      <c r="BF696" s="2" t="s">
        <v>451</v>
      </c>
    </row>
    <row r="697" spans="1:58" ht="14.25" x14ac:dyDescent="0.2">
      <c r="A697" t="str">
        <f t="shared" si="131"/>
        <v>A92</v>
      </c>
      <c r="B697" s="2" t="s">
        <v>657</v>
      </c>
      <c r="C697">
        <f t="shared" si="132"/>
        <v>42.5</v>
      </c>
      <c r="D697" t="str">
        <f t="shared" si="139"/>
        <v>UFD</v>
      </c>
      <c r="E697" s="169" t="str">
        <f>IF(OR(A697="",B697="",C697=""),"eine der Spalten BAB, FR, km leer?",CONCATENATE(VLOOKUP(VALUE(I697),[1]Grundlage!$A$1:$B$14,2,0),IF(LEFT(A697,1)="A",IF(VALUE(MID(A697,2,10))&lt;10,"A00"&amp;VALUE(MID(A697,2,10)),IF(VALUE(MID(A697,2,10))&lt;100,"A0"&amp;VALUE(MID(A697,2,10)),IF(VALUE(MID(A697,2,10))&lt;1000,"A"&amp;VALUE(MID(A697,2,10))))),IF(LEFT(A697,1)="B",IF(VALUE(MID(A697,2,10))&lt;10,"B00"&amp;VALUE(MID(A697,2,10)),IF(VALUE(MID(A697,2,10))&lt;100,"B0"&amp;VALUE(MID(A697,2,10)),IF(VALUE(MID(A697,2,10))&lt;1000,"B"&amp;VALUE(MID(A697,2,10))))),A697)),"_",IF(NOT(OR(C697=1000,C697&gt;1000)),MID(TEXT((C697+1000)*1000,0),2,6),"keine Meter in Spalte km!!!"),IF(VALUE(I697)=1,CONCATENATE("_",VLOOKUP(IF(V697&gt;0,V697,J697),[1]Grundlage!$A$20:$B$181,2,0)),CONCATENATE("_",B697))))</f>
        <v>UQ_A092_042500_W</v>
      </c>
      <c r="F697" s="2" t="s">
        <v>269</v>
      </c>
      <c r="G697" s="167">
        <f t="shared" si="141"/>
        <v>36001</v>
      </c>
      <c r="H697">
        <f t="shared" si="142"/>
        <v>215</v>
      </c>
      <c r="I697" s="2">
        <f t="shared" si="133"/>
        <v>3</v>
      </c>
      <c r="J697" s="2">
        <f t="shared" si="134"/>
        <v>6</v>
      </c>
      <c r="K697" s="13">
        <v>209</v>
      </c>
      <c r="L697" s="2">
        <f t="shared" si="135"/>
        <v>19</v>
      </c>
      <c r="M697" s="2">
        <f t="shared" si="136"/>
        <v>1</v>
      </c>
      <c r="N697" s="2">
        <f t="shared" si="137"/>
        <v>1</v>
      </c>
      <c r="P697" s="168">
        <f t="shared" si="138"/>
        <v>71</v>
      </c>
      <c r="AP697" s="40"/>
      <c r="AQ697" s="40"/>
      <c r="AR697" s="40"/>
      <c r="AS697" s="40"/>
      <c r="AT697" s="19">
        <v>3</v>
      </c>
      <c r="AU697" s="14">
        <v>6</v>
      </c>
      <c r="AV697" s="27">
        <v>6</v>
      </c>
      <c r="AW697" s="19"/>
      <c r="AX697" s="19"/>
      <c r="AY697" s="19">
        <v>1</v>
      </c>
      <c r="AZ697" s="14">
        <v>1</v>
      </c>
      <c r="BA697" s="27">
        <v>1</v>
      </c>
      <c r="BB697" s="13" t="s">
        <v>269</v>
      </c>
      <c r="BF697" s="2" t="s">
        <v>440</v>
      </c>
    </row>
    <row r="698" spans="1:58" ht="14.25" x14ac:dyDescent="0.2">
      <c r="A698" t="str">
        <f t="shared" si="131"/>
        <v>A92</v>
      </c>
      <c r="B698" s="2" t="s">
        <v>657</v>
      </c>
      <c r="C698">
        <f t="shared" si="132"/>
        <v>42.5</v>
      </c>
      <c r="D698" t="str">
        <f t="shared" si="139"/>
        <v>UFD</v>
      </c>
      <c r="E698" s="169" t="str">
        <f>IF(OR(A698="",B698="",C698=""),"eine der Spalten BAB, FR, km leer?",CONCATENATE(VLOOKUP(VALUE(I698),[1]Grundlage!$A$1:$B$14,2,0),IF(LEFT(A698,1)="A",IF(VALUE(MID(A698,2,10))&lt;10,"A00"&amp;VALUE(MID(A698,2,10)),IF(VALUE(MID(A698,2,10))&lt;100,"A0"&amp;VALUE(MID(A698,2,10)),IF(VALUE(MID(A698,2,10))&lt;1000,"A"&amp;VALUE(MID(A698,2,10))))),IF(LEFT(A698,1)="B",IF(VALUE(MID(A698,2,10))&lt;10,"B00"&amp;VALUE(MID(A698,2,10)),IF(VALUE(MID(A698,2,10))&lt;100,"B0"&amp;VALUE(MID(A698,2,10)),IF(VALUE(MID(A698,2,10))&lt;1000,"B"&amp;VALUE(MID(A698,2,10))))),A698)),"_",IF(NOT(OR(C698=1000,C698&gt;1000)),MID(TEXT((C698+1000)*1000,0),2,6),"keine Meter in Spalte km!!!"),IF(VALUE(I698)=1,CONCATENATE("_",VLOOKUP(IF(V698&gt;0,V698,J698),[1]Grundlage!$A$20:$B$181,2,0)),CONCATENATE("_",B698))))</f>
        <v>UQ_A092_042500_W</v>
      </c>
      <c r="F698" s="2" t="s">
        <v>333</v>
      </c>
      <c r="G698" s="167">
        <f t="shared" si="141"/>
        <v>36001</v>
      </c>
      <c r="H698">
        <f t="shared" si="142"/>
        <v>215</v>
      </c>
      <c r="I698" s="2">
        <f t="shared" si="133"/>
        <v>3</v>
      </c>
      <c r="J698" s="2">
        <f t="shared" si="134"/>
        <v>11</v>
      </c>
      <c r="K698" s="13">
        <v>209</v>
      </c>
      <c r="L698" s="2">
        <f t="shared" si="135"/>
        <v>19</v>
      </c>
      <c r="M698" s="2">
        <f t="shared" si="136"/>
        <v>1</v>
      </c>
      <c r="N698" s="2">
        <f t="shared" si="137"/>
        <v>2</v>
      </c>
      <c r="P698" s="168">
        <v>70</v>
      </c>
      <c r="AT698" s="19">
        <v>3</v>
      </c>
      <c r="AU698" s="14">
        <v>11</v>
      </c>
      <c r="AV698" s="14" t="s">
        <v>78</v>
      </c>
      <c r="AW698" s="13"/>
      <c r="AX698" s="13"/>
      <c r="AY698" s="19">
        <v>1</v>
      </c>
      <c r="AZ698" s="14">
        <v>2</v>
      </c>
      <c r="BA698" s="14">
        <v>2</v>
      </c>
      <c r="BB698" s="13" t="s">
        <v>333</v>
      </c>
      <c r="BF698" s="2" t="s">
        <v>478</v>
      </c>
    </row>
    <row r="699" spans="1:58" ht="14.25" x14ac:dyDescent="0.2">
      <c r="A699" t="str">
        <f t="shared" si="131"/>
        <v>A92</v>
      </c>
      <c r="B699" s="2" t="s">
        <v>657</v>
      </c>
      <c r="C699">
        <f t="shared" si="132"/>
        <v>42.5</v>
      </c>
      <c r="D699" t="str">
        <f t="shared" si="139"/>
        <v>UFD</v>
      </c>
      <c r="E699" s="169" t="str">
        <f>IF(OR(A699="",B699="",C699=""),"eine der Spalten BAB, FR, km leer?",CONCATENATE(VLOOKUP(VALUE(I699),[1]Grundlage!$A$1:$B$14,2,0),IF(LEFT(A699,1)="A",IF(VALUE(MID(A699,2,10))&lt;10,"A00"&amp;VALUE(MID(A699,2,10)),IF(VALUE(MID(A699,2,10))&lt;100,"A0"&amp;VALUE(MID(A699,2,10)),IF(VALUE(MID(A699,2,10))&lt;1000,"A"&amp;VALUE(MID(A699,2,10))))),IF(LEFT(A699,1)="B",IF(VALUE(MID(A699,2,10))&lt;10,"B00"&amp;VALUE(MID(A699,2,10)),IF(VALUE(MID(A699,2,10))&lt;100,"B0"&amp;VALUE(MID(A699,2,10)),IF(VALUE(MID(A699,2,10))&lt;1000,"B"&amp;VALUE(MID(A699,2,10))))),A699)),"_",IF(NOT(OR(C699=1000,C699&gt;1000)),MID(TEXT((C699+1000)*1000,0),2,6),"keine Meter in Spalte km!!!"),IF(VALUE(I699)=1,CONCATENATE("_",VLOOKUP(IF(V699&gt;0,V699,J699),[1]Grundlage!$A$20:$B$181,2,0)),CONCATENATE("_",B699))))</f>
        <v>UQ_A092_042500_W</v>
      </c>
      <c r="F699" s="2" t="s">
        <v>25</v>
      </c>
      <c r="G699" s="167">
        <f t="shared" si="141"/>
        <v>36001</v>
      </c>
      <c r="H699">
        <f t="shared" si="142"/>
        <v>215</v>
      </c>
      <c r="I699" s="2">
        <f t="shared" si="133"/>
        <v>3</v>
      </c>
      <c r="J699" s="2">
        <f t="shared" si="134"/>
        <v>12</v>
      </c>
      <c r="K699" s="13">
        <v>209</v>
      </c>
      <c r="L699" s="2">
        <f t="shared" si="135"/>
        <v>19</v>
      </c>
      <c r="M699" s="2">
        <f t="shared" si="136"/>
        <v>1</v>
      </c>
      <c r="N699" s="2">
        <f t="shared" si="137"/>
        <v>3</v>
      </c>
      <c r="P699" s="168">
        <f t="shared" si="138"/>
        <v>48</v>
      </c>
      <c r="AT699" s="19">
        <v>3</v>
      </c>
      <c r="AU699" s="14">
        <v>12</v>
      </c>
      <c r="AV699" s="14" t="s">
        <v>79</v>
      </c>
      <c r="AW699" s="13"/>
      <c r="AX699" s="13"/>
      <c r="AY699" s="19">
        <v>1</v>
      </c>
      <c r="AZ699" s="14">
        <v>3</v>
      </c>
      <c r="BA699" s="14">
        <v>3</v>
      </c>
      <c r="BB699" s="13" t="s">
        <v>25</v>
      </c>
      <c r="BF699" s="13" t="s">
        <v>441</v>
      </c>
    </row>
    <row r="700" spans="1:58" ht="14.25" x14ac:dyDescent="0.2">
      <c r="A700" t="str">
        <f t="shared" si="131"/>
        <v>A92</v>
      </c>
      <c r="B700" s="2" t="s">
        <v>657</v>
      </c>
      <c r="C700">
        <f t="shared" si="132"/>
        <v>42.5</v>
      </c>
      <c r="D700" t="str">
        <f t="shared" si="139"/>
        <v>UFD</v>
      </c>
      <c r="E700" s="169" t="str">
        <f>IF(OR(A700="",B700="",C700=""),"eine der Spalten BAB, FR, km leer?",CONCATENATE(VLOOKUP(VALUE(I700),[1]Grundlage!$A$1:$B$14,2,0),IF(LEFT(A700,1)="A",IF(VALUE(MID(A700,2,10))&lt;10,"A00"&amp;VALUE(MID(A700,2,10)),IF(VALUE(MID(A700,2,10))&lt;100,"A0"&amp;VALUE(MID(A700,2,10)),IF(VALUE(MID(A700,2,10))&lt;1000,"A"&amp;VALUE(MID(A700,2,10))))),IF(LEFT(A700,1)="B",IF(VALUE(MID(A700,2,10))&lt;10,"B00"&amp;VALUE(MID(A700,2,10)),IF(VALUE(MID(A700,2,10))&lt;100,"B0"&amp;VALUE(MID(A700,2,10)),IF(VALUE(MID(A700,2,10))&lt;1000,"B"&amp;VALUE(MID(A700,2,10))))),A700)),"_",IF(NOT(OR(C700=1000,C700&gt;1000)),MID(TEXT((C700+1000)*1000,0),2,6),"keine Meter in Spalte km!!!"),IF(VALUE(I700)=1,CONCATENATE("_",VLOOKUP(IF(V700&gt;0,V700,J700),[1]Grundlage!$A$20:$B$181,2,0)),CONCATENATE("_",B700))))</f>
        <v>UQ_A092_042500_W</v>
      </c>
      <c r="F700" s="2" t="s">
        <v>26</v>
      </c>
      <c r="G700" s="167">
        <f t="shared" si="141"/>
        <v>36001</v>
      </c>
      <c r="H700">
        <f t="shared" si="142"/>
        <v>215</v>
      </c>
      <c r="I700" s="2">
        <f t="shared" si="133"/>
        <v>3</v>
      </c>
      <c r="J700" s="2">
        <f t="shared" si="134"/>
        <v>13</v>
      </c>
      <c r="K700" s="13">
        <v>209</v>
      </c>
      <c r="L700" s="2">
        <f t="shared" si="135"/>
        <v>19</v>
      </c>
      <c r="M700" s="2">
        <f t="shared" si="136"/>
        <v>1</v>
      </c>
      <c r="N700" s="2">
        <f t="shared" si="137"/>
        <v>4</v>
      </c>
      <c r="P700" s="168">
        <f t="shared" si="138"/>
        <v>55</v>
      </c>
      <c r="AT700" s="19">
        <v>3</v>
      </c>
      <c r="AU700" s="14">
        <v>13</v>
      </c>
      <c r="AV700" s="14" t="s">
        <v>80</v>
      </c>
      <c r="AW700" s="13"/>
      <c r="AX700" s="13"/>
      <c r="AY700" s="19">
        <v>1</v>
      </c>
      <c r="AZ700" s="14">
        <v>4</v>
      </c>
      <c r="BA700" s="14">
        <v>4</v>
      </c>
      <c r="BB700" s="13" t="s">
        <v>26</v>
      </c>
      <c r="BF700" s="13" t="s">
        <v>442</v>
      </c>
    </row>
    <row r="701" spans="1:58" ht="14.25" x14ac:dyDescent="0.2">
      <c r="A701" t="str">
        <f t="shared" si="131"/>
        <v>A92</v>
      </c>
      <c r="B701" s="2" t="s">
        <v>657</v>
      </c>
      <c r="C701">
        <f t="shared" si="132"/>
        <v>42.5</v>
      </c>
      <c r="D701" t="str">
        <f t="shared" si="139"/>
        <v>UFD</v>
      </c>
      <c r="E701" s="169" t="str">
        <f>IF(OR(A701="",B701="",C701=""),"eine der Spalten BAB, FR, km leer?",CONCATENATE(VLOOKUP(VALUE(I701),[1]Grundlage!$A$1:$B$14,2,0),IF(LEFT(A701,1)="A",IF(VALUE(MID(A701,2,10))&lt;10,"A00"&amp;VALUE(MID(A701,2,10)),IF(VALUE(MID(A701,2,10))&lt;100,"A0"&amp;VALUE(MID(A701,2,10)),IF(VALUE(MID(A701,2,10))&lt;1000,"A"&amp;VALUE(MID(A701,2,10))))),IF(LEFT(A701,1)="B",IF(VALUE(MID(A701,2,10))&lt;10,"B00"&amp;VALUE(MID(A701,2,10)),IF(VALUE(MID(A701,2,10))&lt;100,"B0"&amp;VALUE(MID(A701,2,10)),IF(VALUE(MID(A701,2,10))&lt;1000,"B"&amp;VALUE(MID(A701,2,10))))),A701)),"_",IF(NOT(OR(C701=1000,C701&gt;1000)),MID(TEXT((C701+1000)*1000,0),2,6),"keine Meter in Spalte km!!!"),IF(VALUE(I701)=1,CONCATENATE("_",VLOOKUP(IF(V701&gt;0,V701,J701),[1]Grundlage!$A$20:$B$181,2,0)),CONCATENATE("_",B701))))</f>
        <v>UQ_A092_042500_W</v>
      </c>
      <c r="F701" s="2" t="s">
        <v>334</v>
      </c>
      <c r="G701" s="167">
        <f t="shared" si="141"/>
        <v>36001</v>
      </c>
      <c r="H701">
        <f t="shared" si="142"/>
        <v>215</v>
      </c>
      <c r="I701" s="2">
        <f t="shared" si="133"/>
        <v>3</v>
      </c>
      <c r="J701" s="2">
        <f t="shared" si="134"/>
        <v>14</v>
      </c>
      <c r="K701" s="13">
        <v>209</v>
      </c>
      <c r="L701" s="2">
        <f t="shared" si="135"/>
        <v>19</v>
      </c>
      <c r="M701" s="2">
        <f t="shared" si="136"/>
        <v>1</v>
      </c>
      <c r="N701" s="2">
        <f t="shared" si="137"/>
        <v>5</v>
      </c>
      <c r="P701" s="168">
        <v>66</v>
      </c>
      <c r="AT701" s="19">
        <v>3</v>
      </c>
      <c r="AU701" s="14">
        <v>14</v>
      </c>
      <c r="AV701" s="14" t="s">
        <v>81</v>
      </c>
      <c r="AW701" s="13"/>
      <c r="AX701" s="13"/>
      <c r="AY701" s="19">
        <v>1</v>
      </c>
      <c r="AZ701" s="14">
        <v>5</v>
      </c>
      <c r="BA701" s="14">
        <v>5</v>
      </c>
      <c r="BB701" s="13" t="s">
        <v>334</v>
      </c>
      <c r="BF701" s="13" t="s">
        <v>443</v>
      </c>
    </row>
    <row r="702" spans="1:58" ht="14.25" x14ac:dyDescent="0.2">
      <c r="A702" t="str">
        <f t="shared" si="131"/>
        <v>A92</v>
      </c>
      <c r="B702" s="2" t="s">
        <v>657</v>
      </c>
      <c r="C702">
        <f t="shared" si="132"/>
        <v>42.5</v>
      </c>
      <c r="D702" t="str">
        <f t="shared" si="139"/>
        <v>UFD</v>
      </c>
      <c r="E702" s="169" t="str">
        <f>IF(OR(A702="",B702="",C702=""),"eine der Spalten BAB, FR, km leer?",CONCATENATE(VLOOKUP(VALUE(I702),[1]Grundlage!$A$1:$B$14,2,0),IF(LEFT(A702,1)="A",IF(VALUE(MID(A702,2,10))&lt;10,"A00"&amp;VALUE(MID(A702,2,10)),IF(VALUE(MID(A702,2,10))&lt;100,"A0"&amp;VALUE(MID(A702,2,10)),IF(VALUE(MID(A702,2,10))&lt;1000,"A"&amp;VALUE(MID(A702,2,10))))),IF(LEFT(A702,1)="B",IF(VALUE(MID(A702,2,10))&lt;10,"B00"&amp;VALUE(MID(A702,2,10)),IF(VALUE(MID(A702,2,10))&lt;100,"B0"&amp;VALUE(MID(A702,2,10)),IF(VALUE(MID(A702,2,10))&lt;1000,"B"&amp;VALUE(MID(A702,2,10))))),A702)),"_",IF(NOT(OR(C702=1000,C702&gt;1000)),MID(TEXT((C702+1000)*1000,0),2,6),"keine Meter in Spalte km!!!"),IF(VALUE(I702)=1,CONCATENATE("_",VLOOKUP(IF(V702&gt;0,V702,J702),[1]Grundlage!$A$20:$B$181,2,0)),CONCATENATE("_",B702))))</f>
        <v>UQ_A092_042500_W</v>
      </c>
      <c r="F702" s="2" t="s">
        <v>28</v>
      </c>
      <c r="G702" s="167">
        <f t="shared" si="141"/>
        <v>36001</v>
      </c>
      <c r="H702">
        <f t="shared" si="142"/>
        <v>215</v>
      </c>
      <c r="I702" s="2">
        <f t="shared" si="133"/>
        <v>3</v>
      </c>
      <c r="J702" s="2">
        <f t="shared" si="134"/>
        <v>15</v>
      </c>
      <c r="K702" s="13">
        <v>209</v>
      </c>
      <c r="L702" s="2">
        <f t="shared" si="135"/>
        <v>19</v>
      </c>
      <c r="M702" s="2">
        <f t="shared" si="136"/>
        <v>1</v>
      </c>
      <c r="N702" s="2">
        <f t="shared" si="137"/>
        <v>6</v>
      </c>
      <c r="P702" s="168">
        <f t="shared" si="138"/>
        <v>65</v>
      </c>
      <c r="AT702" s="19">
        <v>3</v>
      </c>
      <c r="AU702" s="14">
        <v>15</v>
      </c>
      <c r="AV702" s="14" t="s">
        <v>82</v>
      </c>
      <c r="AW702" s="13"/>
      <c r="AX702" s="13"/>
      <c r="AY702" s="19">
        <v>1</v>
      </c>
      <c r="AZ702" s="14">
        <v>6</v>
      </c>
      <c r="BA702" s="14">
        <v>6</v>
      </c>
      <c r="BB702" s="13" t="s">
        <v>28</v>
      </c>
      <c r="BF702" s="13" t="s">
        <v>482</v>
      </c>
    </row>
    <row r="703" spans="1:58" ht="14.25" x14ac:dyDescent="0.2">
      <c r="A703" t="str">
        <f t="shared" si="131"/>
        <v>A92</v>
      </c>
      <c r="B703" s="2" t="s">
        <v>657</v>
      </c>
      <c r="C703">
        <f t="shared" si="132"/>
        <v>42.5</v>
      </c>
      <c r="D703" t="str">
        <f t="shared" si="139"/>
        <v>UFD</v>
      </c>
      <c r="E703" s="169" t="str">
        <f>IF(OR(A703="",B703="",C703=""),"eine der Spalten BAB, FR, km leer?",CONCATENATE(VLOOKUP(VALUE(I703),[1]Grundlage!$A$1:$B$14,2,0),IF(LEFT(A703,1)="A",IF(VALUE(MID(A703,2,10))&lt;10,"A00"&amp;VALUE(MID(A703,2,10)),IF(VALUE(MID(A703,2,10))&lt;100,"A0"&amp;VALUE(MID(A703,2,10)),IF(VALUE(MID(A703,2,10))&lt;1000,"A"&amp;VALUE(MID(A703,2,10))))),IF(LEFT(A703,1)="B",IF(VALUE(MID(A703,2,10))&lt;10,"B00"&amp;VALUE(MID(A703,2,10)),IF(VALUE(MID(A703,2,10))&lt;100,"B0"&amp;VALUE(MID(A703,2,10)),IF(VALUE(MID(A703,2,10))&lt;1000,"B"&amp;VALUE(MID(A703,2,10))))),A703)),"_",IF(NOT(OR(C703=1000,C703&gt;1000)),MID(TEXT((C703+1000)*1000,0),2,6),"keine Meter in Spalte km!!!"),IF(VALUE(I703)=1,CONCATENATE("_",VLOOKUP(IF(V703&gt;0,V703,J703),[1]Grundlage!$A$20:$B$181,2,0)),CONCATENATE("_",B703))))</f>
        <v>UQ_A092_042500_W</v>
      </c>
      <c r="F703" s="2" t="s">
        <v>335</v>
      </c>
      <c r="G703" s="167">
        <f t="shared" si="141"/>
        <v>36001</v>
      </c>
      <c r="H703">
        <f t="shared" si="142"/>
        <v>215</v>
      </c>
      <c r="I703" s="2">
        <f t="shared" si="133"/>
        <v>3</v>
      </c>
      <c r="J703" s="2">
        <f t="shared" si="134"/>
        <v>19</v>
      </c>
      <c r="K703" s="13">
        <v>209</v>
      </c>
      <c r="L703" s="2">
        <f t="shared" si="135"/>
        <v>19</v>
      </c>
      <c r="M703" s="2">
        <f t="shared" si="136"/>
        <v>1</v>
      </c>
      <c r="N703" s="2">
        <f t="shared" si="137"/>
        <v>7</v>
      </c>
      <c r="P703" s="168">
        <v>49</v>
      </c>
      <c r="AT703" s="19">
        <v>3</v>
      </c>
      <c r="AU703" s="14">
        <v>19</v>
      </c>
      <c r="AV703" s="14">
        <v>13</v>
      </c>
      <c r="AW703" s="13"/>
      <c r="AX703" s="13"/>
      <c r="AY703" s="19">
        <v>1</v>
      </c>
      <c r="AZ703" s="14">
        <v>7</v>
      </c>
      <c r="BA703" s="14">
        <v>7</v>
      </c>
      <c r="BB703" s="13" t="s">
        <v>335</v>
      </c>
      <c r="BF703" s="13" t="s">
        <v>479</v>
      </c>
    </row>
    <row r="704" spans="1:58" ht="14.25" x14ac:dyDescent="0.2">
      <c r="A704" t="str">
        <f t="shared" si="131"/>
        <v>A92</v>
      </c>
      <c r="B704" s="2" t="s">
        <v>657</v>
      </c>
      <c r="C704">
        <f t="shared" si="132"/>
        <v>42.5</v>
      </c>
      <c r="D704" t="str">
        <f t="shared" si="139"/>
        <v>UFD</v>
      </c>
      <c r="E704" s="169" t="str">
        <f>IF(OR(A704="",B704="",C704=""),"eine der Spalten BAB, FR, km leer?",CONCATENATE(VLOOKUP(VALUE(I704),[1]Grundlage!$A$1:$B$14,2,0),IF(LEFT(A704,1)="A",IF(VALUE(MID(A704,2,10))&lt;10,"A00"&amp;VALUE(MID(A704,2,10)),IF(VALUE(MID(A704,2,10))&lt;100,"A0"&amp;VALUE(MID(A704,2,10)),IF(VALUE(MID(A704,2,10))&lt;1000,"A"&amp;VALUE(MID(A704,2,10))))),IF(LEFT(A704,1)="B",IF(VALUE(MID(A704,2,10))&lt;10,"B00"&amp;VALUE(MID(A704,2,10)),IF(VALUE(MID(A704,2,10))&lt;100,"B0"&amp;VALUE(MID(A704,2,10)),IF(VALUE(MID(A704,2,10))&lt;1000,"B"&amp;VALUE(MID(A704,2,10))))),A704)),"_",IF(NOT(OR(C704=1000,C704&gt;1000)),MID(TEXT((C704+1000)*1000,0),2,6),"keine Meter in Spalte km!!!"),IF(VALUE(I704)=1,CONCATENATE("_",VLOOKUP(IF(V704&gt;0,V704,J704),[1]Grundlage!$A$20:$B$181,2,0)),CONCATENATE("_",B704))))</f>
        <v>UQ_A092_042500_W</v>
      </c>
      <c r="F704" s="2" t="s">
        <v>336</v>
      </c>
      <c r="G704" s="167">
        <f t="shared" si="141"/>
        <v>36001</v>
      </c>
      <c r="H704">
        <f t="shared" si="142"/>
        <v>215</v>
      </c>
      <c r="I704" s="2">
        <f t="shared" si="133"/>
        <v>3</v>
      </c>
      <c r="J704" s="2">
        <f t="shared" si="134"/>
        <v>21</v>
      </c>
      <c r="K704" s="13">
        <v>209</v>
      </c>
      <c r="L704" s="2">
        <f t="shared" si="135"/>
        <v>19</v>
      </c>
      <c r="M704" s="2">
        <f t="shared" si="136"/>
        <v>1</v>
      </c>
      <c r="N704" s="2">
        <f t="shared" si="137"/>
        <v>8</v>
      </c>
      <c r="P704" s="168">
        <v>67</v>
      </c>
      <c r="AT704" s="19">
        <v>3</v>
      </c>
      <c r="AU704" s="14">
        <v>21</v>
      </c>
      <c r="AV704" s="14">
        <v>15</v>
      </c>
      <c r="AW704" s="13"/>
      <c r="AX704" s="13"/>
      <c r="AY704" s="19">
        <v>1</v>
      </c>
      <c r="AZ704" s="14">
        <v>8</v>
      </c>
      <c r="BA704" s="14">
        <v>8</v>
      </c>
      <c r="BB704" s="13" t="s">
        <v>336</v>
      </c>
      <c r="BF704" s="13" t="s">
        <v>480</v>
      </c>
    </row>
    <row r="705" spans="1:58" ht="14.25" x14ac:dyDescent="0.2">
      <c r="A705" t="str">
        <f t="shared" si="131"/>
        <v>A92</v>
      </c>
      <c r="B705" s="2" t="s">
        <v>657</v>
      </c>
      <c r="C705">
        <f t="shared" si="132"/>
        <v>42.5</v>
      </c>
      <c r="D705" t="str">
        <f t="shared" si="139"/>
        <v>UFD</v>
      </c>
      <c r="E705" s="169" t="str">
        <f>IF(OR(A705="",B705="",C705=""),"eine der Spalten BAB, FR, km leer?",CONCATENATE(VLOOKUP(VALUE(I705),[1]Grundlage!$A$1:$B$14,2,0),IF(LEFT(A705,1)="A",IF(VALUE(MID(A705,2,10))&lt;10,"A00"&amp;VALUE(MID(A705,2,10)),IF(VALUE(MID(A705,2,10))&lt;100,"A0"&amp;VALUE(MID(A705,2,10)),IF(VALUE(MID(A705,2,10))&lt;1000,"A"&amp;VALUE(MID(A705,2,10))))),IF(LEFT(A705,1)="B",IF(VALUE(MID(A705,2,10))&lt;10,"B00"&amp;VALUE(MID(A705,2,10)),IF(VALUE(MID(A705,2,10))&lt;100,"B0"&amp;VALUE(MID(A705,2,10)),IF(VALUE(MID(A705,2,10))&lt;1000,"B"&amp;VALUE(MID(A705,2,10))))),A705)),"_",IF(NOT(OR(C705=1000,C705&gt;1000)),MID(TEXT((C705+1000)*1000,0),2,6),"keine Meter in Spalte km!!!"),IF(VALUE(I705)=1,CONCATENATE("_",VLOOKUP(IF(V705&gt;0,V705,J705),[1]Grundlage!$A$20:$B$181,2,0)),CONCATENATE("_",B705))))</f>
        <v>UQ_A092_042500_W</v>
      </c>
      <c r="F705" s="2" t="s">
        <v>41</v>
      </c>
      <c r="G705" s="167">
        <f t="shared" si="141"/>
        <v>36001</v>
      </c>
      <c r="H705">
        <f t="shared" si="142"/>
        <v>215</v>
      </c>
      <c r="I705" s="2">
        <f t="shared" si="133"/>
        <v>3</v>
      </c>
      <c r="J705" s="2">
        <f t="shared" si="134"/>
        <v>24</v>
      </c>
      <c r="K705" s="13">
        <v>209</v>
      </c>
      <c r="L705" s="2">
        <f t="shared" si="135"/>
        <v>19</v>
      </c>
      <c r="M705" s="2">
        <f t="shared" si="136"/>
        <v>63</v>
      </c>
      <c r="N705" s="2">
        <f t="shared" si="137"/>
        <v>9</v>
      </c>
      <c r="P705" s="168">
        <f t="shared" si="138"/>
        <v>69</v>
      </c>
      <c r="AT705" s="19">
        <v>3</v>
      </c>
      <c r="AU705" s="14">
        <v>24</v>
      </c>
      <c r="AV705" s="14">
        <v>18</v>
      </c>
      <c r="AW705" s="13"/>
      <c r="AX705" s="13"/>
      <c r="AY705" s="19">
        <v>63</v>
      </c>
      <c r="AZ705" s="14">
        <v>9</v>
      </c>
      <c r="BA705" s="14">
        <v>9</v>
      </c>
      <c r="BB705" s="13" t="s">
        <v>41</v>
      </c>
      <c r="BF705" s="13" t="s">
        <v>465</v>
      </c>
    </row>
    <row r="706" spans="1:58" ht="14.25" x14ac:dyDescent="0.2">
      <c r="A706" t="str">
        <f t="shared" si="131"/>
        <v>A92</v>
      </c>
      <c r="B706" s="2" t="s">
        <v>657</v>
      </c>
      <c r="C706">
        <f t="shared" si="132"/>
        <v>42.5</v>
      </c>
      <c r="D706" t="str">
        <f t="shared" si="139"/>
        <v>UFD</v>
      </c>
      <c r="E706" s="169" t="str">
        <f>IF(OR(A706="",B706="",C706=""),"eine der Spalten BAB, FR, km leer?",CONCATENATE(VLOOKUP(VALUE(I706),[1]Grundlage!$A$1:$B$14,2,0),IF(LEFT(A706,1)="A",IF(VALUE(MID(A706,2,10))&lt;10,"A00"&amp;VALUE(MID(A706,2,10)),IF(VALUE(MID(A706,2,10))&lt;100,"A0"&amp;VALUE(MID(A706,2,10)),IF(VALUE(MID(A706,2,10))&lt;1000,"A"&amp;VALUE(MID(A706,2,10))))),IF(LEFT(A706,1)="B",IF(VALUE(MID(A706,2,10))&lt;10,"B00"&amp;VALUE(MID(A706,2,10)),IF(VALUE(MID(A706,2,10))&lt;100,"B0"&amp;VALUE(MID(A706,2,10)),IF(VALUE(MID(A706,2,10))&lt;1000,"B"&amp;VALUE(MID(A706,2,10))))),A706)),"_",IF(NOT(OR(C706=1000,C706&gt;1000)),MID(TEXT((C706+1000)*1000,0),2,6),"keine Meter in Spalte km!!!"),IF(VALUE(I706)=1,CONCATENATE("_",VLOOKUP(IF(V706&gt;0,V706,J706),[1]Grundlage!$A$20:$B$181,2,0)),CONCATENATE("_",B706))))</f>
        <v>UQ_A092_042500_W</v>
      </c>
      <c r="F706" s="2" t="s">
        <v>271</v>
      </c>
      <c r="G706" s="167">
        <f t="shared" si="141"/>
        <v>36001</v>
      </c>
      <c r="H706">
        <f t="shared" si="142"/>
        <v>215</v>
      </c>
      <c r="I706" s="2">
        <f t="shared" si="133"/>
        <v>3</v>
      </c>
      <c r="J706" s="2">
        <f t="shared" si="134"/>
        <v>67</v>
      </c>
      <c r="K706" s="13">
        <v>209</v>
      </c>
      <c r="L706" s="2">
        <f t="shared" si="135"/>
        <v>19</v>
      </c>
      <c r="M706" s="2">
        <f t="shared" si="136"/>
        <v>1</v>
      </c>
      <c r="N706" s="2">
        <f t="shared" si="137"/>
        <v>10</v>
      </c>
      <c r="P706" s="168">
        <f t="shared" si="138"/>
        <v>53</v>
      </c>
      <c r="AT706" s="19">
        <v>3</v>
      </c>
      <c r="AU706" s="14">
        <v>67</v>
      </c>
      <c r="AV706" s="14">
        <v>43</v>
      </c>
      <c r="AW706" s="13"/>
      <c r="AX706" s="13"/>
      <c r="AY706" s="19">
        <v>1</v>
      </c>
      <c r="AZ706" s="14">
        <v>10</v>
      </c>
      <c r="BA706" s="34" t="s">
        <v>95</v>
      </c>
      <c r="BB706" s="13" t="s">
        <v>271</v>
      </c>
      <c r="BF706" s="13" t="s">
        <v>444</v>
      </c>
    </row>
    <row r="707" spans="1:58" ht="14.25" x14ac:dyDescent="0.2">
      <c r="A707" t="str">
        <f t="shared" si="131"/>
        <v>A92</v>
      </c>
      <c r="B707" s="2" t="s">
        <v>657</v>
      </c>
      <c r="C707">
        <f t="shared" si="132"/>
        <v>42.5</v>
      </c>
      <c r="D707" t="str">
        <f t="shared" si="139"/>
        <v>UFD</v>
      </c>
      <c r="E707" s="169" t="str">
        <f>IF(OR(A707="",B707="",C707=""),"eine der Spalten BAB, FR, km leer?",CONCATENATE(VLOOKUP(VALUE(I707),[1]Grundlage!$A$1:$B$14,2,0),IF(LEFT(A707,1)="A",IF(VALUE(MID(A707,2,10))&lt;10,"A00"&amp;VALUE(MID(A707,2,10)),IF(VALUE(MID(A707,2,10))&lt;100,"A0"&amp;VALUE(MID(A707,2,10)),IF(VALUE(MID(A707,2,10))&lt;1000,"A"&amp;VALUE(MID(A707,2,10))))),IF(LEFT(A707,1)="B",IF(VALUE(MID(A707,2,10))&lt;10,"B00"&amp;VALUE(MID(A707,2,10)),IF(VALUE(MID(A707,2,10))&lt;100,"B0"&amp;VALUE(MID(A707,2,10)),IF(VALUE(MID(A707,2,10))&lt;1000,"B"&amp;VALUE(MID(A707,2,10))))),A707)),"_",IF(NOT(OR(C707=1000,C707&gt;1000)),MID(TEXT((C707+1000)*1000,0),2,6),"keine Meter in Spalte km!!!"),IF(VALUE(I707)=1,CONCATENATE("_",VLOOKUP(IF(V707&gt;0,V707,J707),[1]Grundlage!$A$20:$B$181,2,0)),CONCATENATE("_",B707))))</f>
        <v>UQ_A092_042500_W</v>
      </c>
      <c r="F707" s="2" t="s">
        <v>337</v>
      </c>
      <c r="G707" s="167">
        <f t="shared" si="141"/>
        <v>36001</v>
      </c>
      <c r="H707">
        <f t="shared" si="142"/>
        <v>215</v>
      </c>
      <c r="I707" s="2">
        <f t="shared" si="133"/>
        <v>3</v>
      </c>
      <c r="J707" s="2">
        <f t="shared" si="134"/>
        <v>82</v>
      </c>
      <c r="K707" s="13">
        <v>209</v>
      </c>
      <c r="L707" s="2">
        <f t="shared" si="135"/>
        <v>19</v>
      </c>
      <c r="M707" s="2">
        <f t="shared" si="136"/>
        <v>1</v>
      </c>
      <c r="N707" s="2">
        <f t="shared" si="137"/>
        <v>11</v>
      </c>
      <c r="P707" s="168">
        <v>72</v>
      </c>
      <c r="AT707" s="19">
        <v>3</v>
      </c>
      <c r="AU707" s="14">
        <v>82</v>
      </c>
      <c r="AV707" s="14">
        <v>52</v>
      </c>
      <c r="AW707" s="13"/>
      <c r="AX707" s="13"/>
      <c r="AY707" s="19">
        <v>1</v>
      </c>
      <c r="AZ707" s="14">
        <v>11</v>
      </c>
      <c r="BA707" s="34" t="s">
        <v>78</v>
      </c>
      <c r="BB707" s="13" t="s">
        <v>337</v>
      </c>
      <c r="BF707" s="13" t="s">
        <v>481</v>
      </c>
    </row>
    <row r="708" spans="1:58" ht="14.25" x14ac:dyDescent="0.2">
      <c r="A708" t="str">
        <f t="shared" si="131"/>
        <v>A92</v>
      </c>
      <c r="C708">
        <f t="shared" si="132"/>
        <v>42.5</v>
      </c>
      <c r="D708" t="str">
        <f t="shared" si="139"/>
        <v/>
      </c>
      <c r="E708" s="169" t="str">
        <f>IF(OR(A708="",B708="",C708=""),"",CONCATENATE(VLOOKUP(VALUE(I708),[1]Grundlage!$A$1:$B$14,2,0),IF(LEFT(A708,1)="A",IF(VALUE(MID(A708,2,10))&lt;10,"A00"&amp;VALUE(MID(A708,2,10)),IF(VALUE(MID(A708,2,10))&lt;100,"A0"&amp;VALUE(MID(A708,2,10)),IF(VALUE(MID(A708,2,10))&lt;1000,"A"&amp;VALUE(MID(A708,2,10))))),IF(LEFT(A708,1)="B",IF(VALUE(MID(A708,2,10))&lt;10,"B00"&amp;VALUE(MID(A708,2,10)),IF(VALUE(MID(A708,2,10))&lt;100,"B0"&amp;VALUE(MID(A708,2,10)),IF(VALUE(MID(A708,2,10))&lt;1000,"B"&amp;VALUE(MID(A708,2,10))))),A708)),"_",IF(NOT(OR(C708=1000,C708&gt;1000)),MID(TEXT((C708+1000)*1000,0),2,6),"keine Meter in Spalte km!!!"),IF(VALUE(I708)=1,CONCATENATE("_",VLOOKUP(IF(V708&gt;0,V708,J708),[1]Grundlage!$A$20:$B$181,2,0)),CONCATENATE("_",B708))))</f>
        <v/>
      </c>
      <c r="F708" s="2" t="s">
        <v>669</v>
      </c>
      <c r="G708" s="167">
        <f t="shared" si="141"/>
        <v>36001</v>
      </c>
      <c r="H708">
        <f t="shared" si="142"/>
        <v>215</v>
      </c>
      <c r="I708" s="2">
        <f t="shared" si="133"/>
        <v>0</v>
      </c>
      <c r="J708" s="2">
        <f t="shared" si="134"/>
        <v>0</v>
      </c>
      <c r="K708" s="13">
        <v>209</v>
      </c>
      <c r="L708" s="2">
        <f t="shared" si="135"/>
        <v>19</v>
      </c>
      <c r="M708" s="2" t="str">
        <f t="shared" si="136"/>
        <v/>
      </c>
      <c r="N708" s="2" t="str">
        <f t="shared" si="137"/>
        <v/>
      </c>
      <c r="P708" s="168" t="str">
        <f t="shared" si="138"/>
        <v/>
      </c>
      <c r="AT708" s="19"/>
      <c r="AU708" s="14"/>
      <c r="AV708" s="14"/>
      <c r="AY708" s="1"/>
      <c r="AZ708" s="14"/>
      <c r="BB708" s="13"/>
    </row>
    <row r="709" spans="1:58" ht="14.25" x14ac:dyDescent="0.2">
      <c r="A709" t="str">
        <f t="shared" si="131"/>
        <v>A92</v>
      </c>
      <c r="B709" s="2" t="s">
        <v>657</v>
      </c>
      <c r="C709">
        <v>42.51</v>
      </c>
      <c r="D709" t="str">
        <f t="shared" si="139"/>
        <v>SS</v>
      </c>
      <c r="E709" s="169" t="str">
        <f>IF(OR(A709="",B709="",C709=""),"eine der Spalten BAB, FR, km leer?",CONCATENATE(VLOOKUP(VALUE(I709),[1]Grundlage!$A$1:$B$14,2,0),IF(LEFT(A709,1)="A",IF(VALUE(MID(A709,2,10))&lt;10,"A00"&amp;VALUE(MID(A709,2,10)),IF(VALUE(MID(A709,2,10))&lt;100,"A0"&amp;VALUE(MID(A709,2,10)),IF(VALUE(MID(A709,2,10))&lt;1000,"A"&amp;VALUE(MID(A709,2,10))))),IF(LEFT(A709,1)="B",IF(VALUE(MID(A709,2,10))&lt;10,"B00"&amp;VALUE(MID(A709,2,10)),IF(VALUE(MID(A709,2,10))&lt;100,"B0"&amp;VALUE(MID(A709,2,10)),IF(VALUE(MID(A709,2,10))&lt;1000,"B"&amp;VALUE(MID(A709,2,10))))),A709)),"_",IF(NOT(OR(C709=1000,C709&gt;1000)),MID(TEXT((C709+1000)*1000,0),2,6),"keine Meter in Spalte km!!!"),IF(VALUE(I709)=1,CONCATENATE("_",VLOOKUP(IF(V709&gt;0,V709,J709),[1]Grundlage!$A$20:$B$181,2,0)),CONCATENATE("_",B709))))</f>
        <v>SSt_A092_042510_W</v>
      </c>
      <c r="F709" s="2" t="s">
        <v>332</v>
      </c>
      <c r="G709" s="167">
        <f t="shared" si="141"/>
        <v>2826</v>
      </c>
      <c r="H709">
        <f t="shared" si="142"/>
        <v>3</v>
      </c>
      <c r="I709" s="2">
        <f t="shared" si="133"/>
        <v>254</v>
      </c>
      <c r="J709" s="2">
        <f t="shared" si="134"/>
        <v>0</v>
      </c>
      <c r="K709" s="13">
        <v>209</v>
      </c>
      <c r="L709" s="2">
        <f t="shared" si="135"/>
        <v>11</v>
      </c>
      <c r="M709" s="2" t="str">
        <f t="shared" si="136"/>
        <v/>
      </c>
      <c r="N709" s="2" t="str">
        <f t="shared" si="137"/>
        <v/>
      </c>
      <c r="P709" s="168" t="str">
        <f t="shared" si="138"/>
        <v/>
      </c>
      <c r="AI709" s="35"/>
      <c r="AJ709" s="36" t="s">
        <v>19</v>
      </c>
      <c r="AK709" s="36" t="s">
        <v>72</v>
      </c>
      <c r="AL709" s="36"/>
      <c r="AM709" s="36"/>
      <c r="AN709" s="36"/>
      <c r="AO709" s="36"/>
      <c r="AP709" s="69" t="s">
        <v>339</v>
      </c>
      <c r="AQ709" s="45" t="s">
        <v>78</v>
      </c>
      <c r="AR709" s="36" t="s">
        <v>95</v>
      </c>
      <c r="AS709" s="70" t="s">
        <v>340</v>
      </c>
      <c r="AT709" s="36"/>
      <c r="AU709" s="36"/>
      <c r="AV709" s="36"/>
      <c r="AW709" s="36"/>
      <c r="AX709" s="92">
        <v>11</v>
      </c>
      <c r="AY709" s="36"/>
      <c r="AZ709" s="36"/>
      <c r="BA709" s="36"/>
      <c r="BB709" s="95" t="s">
        <v>332</v>
      </c>
      <c r="BC709" s="38"/>
      <c r="BD709" s="45" t="s">
        <v>316</v>
      </c>
      <c r="BE709" s="39" t="s">
        <v>121</v>
      </c>
      <c r="BF709" s="2" t="s">
        <v>451</v>
      </c>
    </row>
    <row r="710" spans="1:58" ht="14.25" x14ac:dyDescent="0.2">
      <c r="A710" t="str">
        <f t="shared" si="131"/>
        <v>A92</v>
      </c>
      <c r="B710" s="2" t="s">
        <v>657</v>
      </c>
      <c r="C710">
        <f t="shared" si="132"/>
        <v>42.51</v>
      </c>
      <c r="D710" t="str">
        <f t="shared" si="139"/>
        <v>UFD</v>
      </c>
      <c r="E710" s="169" t="str">
        <f>IF(OR(A710="",B710="",C710=""),"eine der Spalten BAB, FR, km leer?",CONCATENATE(VLOOKUP(VALUE(I710),[1]Grundlage!$A$1:$B$14,2,0),IF(LEFT(A710,1)="A",IF(VALUE(MID(A710,2,10))&lt;10,"A00"&amp;VALUE(MID(A710,2,10)),IF(VALUE(MID(A710,2,10))&lt;100,"A0"&amp;VALUE(MID(A710,2,10)),IF(VALUE(MID(A710,2,10))&lt;1000,"A"&amp;VALUE(MID(A710,2,10))))),IF(LEFT(A710,1)="B",IF(VALUE(MID(A710,2,10))&lt;10,"B00"&amp;VALUE(MID(A710,2,10)),IF(VALUE(MID(A710,2,10))&lt;100,"B0"&amp;VALUE(MID(A710,2,10)),IF(VALUE(MID(A710,2,10))&lt;1000,"B"&amp;VALUE(MID(A710,2,10))))),A710)),"_",IF(NOT(OR(C710=1000,C710&gt;1000)),MID(TEXT((C710+1000)*1000,0),2,6),"keine Meter in Spalte km!!!"),IF(VALUE(I710)=1,CONCATENATE("_",VLOOKUP(IF(V710&gt;0,V710,J710),[1]Grundlage!$A$20:$B$181,2,0)),CONCATENATE("_",B710))))</f>
        <v>UQ_A092_042510_W</v>
      </c>
      <c r="F710" s="2" t="s">
        <v>269</v>
      </c>
      <c r="G710" s="167">
        <f t="shared" si="141"/>
        <v>2826</v>
      </c>
      <c r="H710">
        <f t="shared" si="142"/>
        <v>3</v>
      </c>
      <c r="I710" s="2">
        <f t="shared" si="133"/>
        <v>3</v>
      </c>
      <c r="J710" s="2">
        <f t="shared" si="134"/>
        <v>6</v>
      </c>
      <c r="K710" s="13">
        <v>209</v>
      </c>
      <c r="L710" s="2">
        <f t="shared" si="135"/>
        <v>11</v>
      </c>
      <c r="M710" s="2">
        <f t="shared" si="136"/>
        <v>1</v>
      </c>
      <c r="N710" s="2">
        <f t="shared" si="137"/>
        <v>1</v>
      </c>
      <c r="P710" s="168">
        <f t="shared" si="138"/>
        <v>71</v>
      </c>
      <c r="AQ710" s="2">
        <v>11</v>
      </c>
      <c r="AR710" s="2">
        <v>10</v>
      </c>
      <c r="AS710" s="2">
        <v>3</v>
      </c>
      <c r="AT710" s="19">
        <v>3</v>
      </c>
      <c r="AU710" s="14">
        <v>6</v>
      </c>
      <c r="AV710" s="27">
        <v>6</v>
      </c>
      <c r="AW710" s="19"/>
      <c r="AX710" s="19"/>
      <c r="AY710" s="19">
        <v>1</v>
      </c>
      <c r="AZ710" s="14">
        <v>1</v>
      </c>
      <c r="BA710" s="27">
        <v>1</v>
      </c>
      <c r="BB710" s="13" t="s">
        <v>269</v>
      </c>
      <c r="BF710" s="2" t="s">
        <v>440</v>
      </c>
    </row>
    <row r="711" spans="1:58" ht="14.25" x14ac:dyDescent="0.2">
      <c r="A711" t="str">
        <f t="shared" si="131"/>
        <v>A92</v>
      </c>
      <c r="B711" s="2" t="s">
        <v>657</v>
      </c>
      <c r="C711">
        <f t="shared" si="132"/>
        <v>42.51</v>
      </c>
      <c r="D711" t="str">
        <f t="shared" si="139"/>
        <v>UFD</v>
      </c>
      <c r="E711" s="169" t="str">
        <f>IF(OR(A711="",B711="",C711=""),"eine der Spalten BAB, FR, km leer?",CONCATENATE(VLOOKUP(VALUE(I711),[1]Grundlage!$A$1:$B$14,2,0),IF(LEFT(A711,1)="A",IF(VALUE(MID(A711,2,10))&lt;10,"A00"&amp;VALUE(MID(A711,2,10)),IF(VALUE(MID(A711,2,10))&lt;100,"A0"&amp;VALUE(MID(A711,2,10)),IF(VALUE(MID(A711,2,10))&lt;1000,"A"&amp;VALUE(MID(A711,2,10))))),IF(LEFT(A711,1)="B",IF(VALUE(MID(A711,2,10))&lt;10,"B00"&amp;VALUE(MID(A711,2,10)),IF(VALUE(MID(A711,2,10))&lt;100,"B0"&amp;VALUE(MID(A711,2,10)),IF(VALUE(MID(A711,2,10))&lt;1000,"B"&amp;VALUE(MID(A711,2,10))))),A711)),"_",IF(NOT(OR(C711=1000,C711&gt;1000)),MID(TEXT((C711+1000)*1000,0),2,6),"keine Meter in Spalte km!!!"),IF(VALUE(I711)=1,CONCATENATE("_",VLOOKUP(IF(V711&gt;0,V711,J711),[1]Grundlage!$A$20:$B$181,2,0)),CONCATENATE("_",B711))))</f>
        <v>UQ_A092_042510_W</v>
      </c>
      <c r="F711" s="2" t="s">
        <v>333</v>
      </c>
      <c r="G711" s="167">
        <f t="shared" si="141"/>
        <v>2826</v>
      </c>
      <c r="H711">
        <f t="shared" si="142"/>
        <v>3</v>
      </c>
      <c r="I711" s="2">
        <f t="shared" si="133"/>
        <v>3</v>
      </c>
      <c r="J711" s="2">
        <f t="shared" si="134"/>
        <v>11</v>
      </c>
      <c r="K711" s="13">
        <v>209</v>
      </c>
      <c r="L711" s="2">
        <f t="shared" si="135"/>
        <v>11</v>
      </c>
      <c r="M711" s="2">
        <f t="shared" si="136"/>
        <v>1</v>
      </c>
      <c r="N711" s="2">
        <f t="shared" si="137"/>
        <v>2</v>
      </c>
      <c r="P711" s="168">
        <v>70</v>
      </c>
      <c r="AQ711" s="2">
        <v>140</v>
      </c>
      <c r="AR711" s="2">
        <v>162</v>
      </c>
      <c r="AS711" s="2">
        <v>151</v>
      </c>
      <c r="AT711" s="19">
        <v>3</v>
      </c>
      <c r="AU711" s="14">
        <v>11</v>
      </c>
      <c r="AV711" s="14" t="s">
        <v>78</v>
      </c>
      <c r="AW711" s="13"/>
      <c r="AX711" s="13"/>
      <c r="AY711" s="19">
        <v>1</v>
      </c>
      <c r="AZ711" s="14">
        <v>2</v>
      </c>
      <c r="BA711" s="14">
        <v>2</v>
      </c>
      <c r="BB711" s="13" t="s">
        <v>333</v>
      </c>
      <c r="BF711" s="2" t="s">
        <v>478</v>
      </c>
    </row>
    <row r="712" spans="1:58" ht="14.25" x14ac:dyDescent="0.2">
      <c r="A712" t="str">
        <f t="shared" si="131"/>
        <v>A92</v>
      </c>
      <c r="B712" s="2" t="s">
        <v>657</v>
      </c>
      <c r="C712">
        <f t="shared" si="132"/>
        <v>42.51</v>
      </c>
      <c r="D712" t="str">
        <f t="shared" si="139"/>
        <v>UFD</v>
      </c>
      <c r="E712" s="169" t="str">
        <f>IF(OR(A712="",B712="",C712=""),"eine der Spalten BAB, FR, km leer?",CONCATENATE(VLOOKUP(VALUE(I712),[1]Grundlage!$A$1:$B$14,2,0),IF(LEFT(A712,1)="A",IF(VALUE(MID(A712,2,10))&lt;10,"A00"&amp;VALUE(MID(A712,2,10)),IF(VALUE(MID(A712,2,10))&lt;100,"A0"&amp;VALUE(MID(A712,2,10)),IF(VALUE(MID(A712,2,10))&lt;1000,"A"&amp;VALUE(MID(A712,2,10))))),IF(LEFT(A712,1)="B",IF(VALUE(MID(A712,2,10))&lt;10,"B00"&amp;VALUE(MID(A712,2,10)),IF(VALUE(MID(A712,2,10))&lt;100,"B0"&amp;VALUE(MID(A712,2,10)),IF(VALUE(MID(A712,2,10))&lt;1000,"B"&amp;VALUE(MID(A712,2,10))))),A712)),"_",IF(NOT(OR(C712=1000,C712&gt;1000)),MID(TEXT((C712+1000)*1000,0),2,6),"keine Meter in Spalte km!!!"),IF(VALUE(I712)=1,CONCATENATE("_",VLOOKUP(IF(V712&gt;0,V712,J712),[1]Grundlage!$A$20:$B$181,2,0)),CONCATENATE("_",B712))))</f>
        <v>UQ_A092_042510_W</v>
      </c>
      <c r="F712" s="2" t="s">
        <v>25</v>
      </c>
      <c r="G712" s="167">
        <f t="shared" si="141"/>
        <v>2826</v>
      </c>
      <c r="H712">
        <f t="shared" si="142"/>
        <v>3</v>
      </c>
      <c r="I712" s="2">
        <f t="shared" si="133"/>
        <v>3</v>
      </c>
      <c r="J712" s="2">
        <f t="shared" si="134"/>
        <v>12</v>
      </c>
      <c r="K712" s="13">
        <v>209</v>
      </c>
      <c r="L712" s="2">
        <f t="shared" si="135"/>
        <v>11</v>
      </c>
      <c r="M712" s="2">
        <f t="shared" si="136"/>
        <v>1</v>
      </c>
      <c r="N712" s="2">
        <f t="shared" si="137"/>
        <v>3</v>
      </c>
      <c r="P712" s="168">
        <f t="shared" si="138"/>
        <v>48</v>
      </c>
      <c r="AT712" s="19">
        <v>3</v>
      </c>
      <c r="AU712" s="14">
        <v>12</v>
      </c>
      <c r="AV712" s="14" t="s">
        <v>79</v>
      </c>
      <c r="AW712" s="13"/>
      <c r="AX712" s="13"/>
      <c r="AY712" s="19">
        <v>1</v>
      </c>
      <c r="AZ712" s="14">
        <v>3</v>
      </c>
      <c r="BA712" s="14">
        <v>3</v>
      </c>
      <c r="BB712" s="13" t="s">
        <v>25</v>
      </c>
      <c r="BF712" s="13" t="s">
        <v>441</v>
      </c>
    </row>
    <row r="713" spans="1:58" ht="14.25" x14ac:dyDescent="0.2">
      <c r="A713" t="str">
        <f t="shared" si="131"/>
        <v>A92</v>
      </c>
      <c r="B713" s="2" t="s">
        <v>657</v>
      </c>
      <c r="C713">
        <f t="shared" si="132"/>
        <v>42.51</v>
      </c>
      <c r="D713" t="str">
        <f t="shared" si="139"/>
        <v>UFD</v>
      </c>
      <c r="E713" s="169" t="str">
        <f>IF(OR(A713="",B713="",C713=""),"eine der Spalten BAB, FR, km leer?",CONCATENATE(VLOOKUP(VALUE(I713),[1]Grundlage!$A$1:$B$14,2,0),IF(LEFT(A713,1)="A",IF(VALUE(MID(A713,2,10))&lt;10,"A00"&amp;VALUE(MID(A713,2,10)),IF(VALUE(MID(A713,2,10))&lt;100,"A0"&amp;VALUE(MID(A713,2,10)),IF(VALUE(MID(A713,2,10))&lt;1000,"A"&amp;VALUE(MID(A713,2,10))))),IF(LEFT(A713,1)="B",IF(VALUE(MID(A713,2,10))&lt;10,"B00"&amp;VALUE(MID(A713,2,10)),IF(VALUE(MID(A713,2,10))&lt;100,"B0"&amp;VALUE(MID(A713,2,10)),IF(VALUE(MID(A713,2,10))&lt;1000,"B"&amp;VALUE(MID(A713,2,10))))),A713)),"_",IF(NOT(OR(C713=1000,C713&gt;1000)),MID(TEXT((C713+1000)*1000,0),2,6),"keine Meter in Spalte km!!!"),IF(VALUE(I713)=1,CONCATENATE("_",VLOOKUP(IF(V713&gt;0,V713,J713),[1]Grundlage!$A$20:$B$181,2,0)),CONCATENATE("_",B713))))</f>
        <v>UQ_A092_042510_W</v>
      </c>
      <c r="F713" s="2" t="s">
        <v>26</v>
      </c>
      <c r="G713" s="167">
        <f t="shared" si="141"/>
        <v>2826</v>
      </c>
      <c r="H713">
        <f t="shared" si="142"/>
        <v>3</v>
      </c>
      <c r="I713" s="2">
        <f t="shared" si="133"/>
        <v>3</v>
      </c>
      <c r="J713" s="2">
        <f t="shared" si="134"/>
        <v>13</v>
      </c>
      <c r="K713" s="13">
        <v>209</v>
      </c>
      <c r="L713" s="2">
        <f t="shared" si="135"/>
        <v>11</v>
      </c>
      <c r="M713" s="2">
        <f t="shared" si="136"/>
        <v>1</v>
      </c>
      <c r="N713" s="2">
        <f t="shared" si="137"/>
        <v>4</v>
      </c>
      <c r="P713" s="168">
        <f t="shared" si="138"/>
        <v>55</v>
      </c>
      <c r="AT713" s="19">
        <v>3</v>
      </c>
      <c r="AU713" s="14">
        <v>13</v>
      </c>
      <c r="AV713" s="14" t="s">
        <v>80</v>
      </c>
      <c r="AW713" s="13"/>
      <c r="AX713" s="13"/>
      <c r="AY713" s="19">
        <v>1</v>
      </c>
      <c r="AZ713" s="14">
        <v>4</v>
      </c>
      <c r="BA713" s="14">
        <v>4</v>
      </c>
      <c r="BB713" s="13" t="s">
        <v>26</v>
      </c>
      <c r="BF713" s="13" t="s">
        <v>442</v>
      </c>
    </row>
    <row r="714" spans="1:58" ht="14.25" x14ac:dyDescent="0.2">
      <c r="A714" t="str">
        <f t="shared" ref="A714:A777" si="143">IF(ISBLANK(AK714),A713,AK714)</f>
        <v>A92</v>
      </c>
      <c r="B714" s="2" t="s">
        <v>657</v>
      </c>
      <c r="C714">
        <f t="shared" ref="C714:C777" si="144">IF(ISBLANK(AI714),C713,AI714)</f>
        <v>42.51</v>
      </c>
      <c r="D714" t="str">
        <f t="shared" si="139"/>
        <v>UFD</v>
      </c>
      <c r="E714" s="169" t="str">
        <f>IF(OR(A714="",B714="",C714=""),"eine der Spalten BAB, FR, km leer?",CONCATENATE(VLOOKUP(VALUE(I714),[1]Grundlage!$A$1:$B$14,2,0),IF(LEFT(A714,1)="A",IF(VALUE(MID(A714,2,10))&lt;10,"A00"&amp;VALUE(MID(A714,2,10)),IF(VALUE(MID(A714,2,10))&lt;100,"A0"&amp;VALUE(MID(A714,2,10)),IF(VALUE(MID(A714,2,10))&lt;1000,"A"&amp;VALUE(MID(A714,2,10))))),IF(LEFT(A714,1)="B",IF(VALUE(MID(A714,2,10))&lt;10,"B00"&amp;VALUE(MID(A714,2,10)),IF(VALUE(MID(A714,2,10))&lt;100,"B0"&amp;VALUE(MID(A714,2,10)),IF(VALUE(MID(A714,2,10))&lt;1000,"B"&amp;VALUE(MID(A714,2,10))))),A714)),"_",IF(NOT(OR(C714=1000,C714&gt;1000)),MID(TEXT((C714+1000)*1000,0),2,6),"keine Meter in Spalte km!!!"),IF(VALUE(I714)=1,CONCATENATE("_",VLOOKUP(IF(V714&gt;0,V714,J714),[1]Grundlage!$A$20:$B$181,2,0)),CONCATENATE("_",B714))))</f>
        <v>UQ_A092_042510_W</v>
      </c>
      <c r="F714" s="2" t="s">
        <v>334</v>
      </c>
      <c r="G714" s="167">
        <f t="shared" si="141"/>
        <v>2826</v>
      </c>
      <c r="H714">
        <f t="shared" si="142"/>
        <v>3</v>
      </c>
      <c r="I714" s="2">
        <f t="shared" ref="I714:I777" si="145">IF(D714="SS",254,AT714)</f>
        <v>3</v>
      </c>
      <c r="J714" s="2">
        <f t="shared" ref="J714:J777" si="146">IF(D714="SS",0,AU714)</f>
        <v>14</v>
      </c>
      <c r="K714" s="13">
        <v>209</v>
      </c>
      <c r="L714" s="2">
        <f t="shared" ref="K714:L777" si="147">IF(ISBLANK(AX714),L713,AX714)</f>
        <v>11</v>
      </c>
      <c r="M714" s="2">
        <f t="shared" ref="M714:M777" si="148">IF(ISBLANK(AY714),"",AY714)</f>
        <v>1</v>
      </c>
      <c r="N714" s="2">
        <f t="shared" ref="N714:N777" si="149">IF(ISBLANK(AZ714),"",AZ714)</f>
        <v>5</v>
      </c>
      <c r="P714" s="168">
        <v>66</v>
      </c>
      <c r="AT714" s="19">
        <v>3</v>
      </c>
      <c r="AU714" s="14">
        <v>14</v>
      </c>
      <c r="AV714" s="14" t="s">
        <v>81</v>
      </c>
      <c r="AW714" s="13"/>
      <c r="AX714" s="13"/>
      <c r="AY714" s="19">
        <v>1</v>
      </c>
      <c r="AZ714" s="14">
        <v>5</v>
      </c>
      <c r="BA714" s="14">
        <v>5</v>
      </c>
      <c r="BB714" s="13" t="s">
        <v>334</v>
      </c>
      <c r="BF714" s="13" t="s">
        <v>443</v>
      </c>
    </row>
    <row r="715" spans="1:58" ht="14.25" x14ac:dyDescent="0.2">
      <c r="A715" t="str">
        <f t="shared" si="143"/>
        <v>A92</v>
      </c>
      <c r="B715" s="2" t="s">
        <v>657</v>
      </c>
      <c r="C715">
        <f t="shared" si="144"/>
        <v>42.51</v>
      </c>
      <c r="D715" t="str">
        <f t="shared" si="139"/>
        <v>UFD</v>
      </c>
      <c r="E715" s="169" t="str">
        <f>IF(OR(A715="",B715="",C715=""),"eine der Spalten BAB, FR, km leer?",CONCATENATE(VLOOKUP(VALUE(I715),[1]Grundlage!$A$1:$B$14,2,0),IF(LEFT(A715,1)="A",IF(VALUE(MID(A715,2,10))&lt;10,"A00"&amp;VALUE(MID(A715,2,10)),IF(VALUE(MID(A715,2,10))&lt;100,"A0"&amp;VALUE(MID(A715,2,10)),IF(VALUE(MID(A715,2,10))&lt;1000,"A"&amp;VALUE(MID(A715,2,10))))),IF(LEFT(A715,1)="B",IF(VALUE(MID(A715,2,10))&lt;10,"B00"&amp;VALUE(MID(A715,2,10)),IF(VALUE(MID(A715,2,10))&lt;100,"B0"&amp;VALUE(MID(A715,2,10)),IF(VALUE(MID(A715,2,10))&lt;1000,"B"&amp;VALUE(MID(A715,2,10))))),A715)),"_",IF(NOT(OR(C715=1000,C715&gt;1000)),MID(TEXT((C715+1000)*1000,0),2,6),"keine Meter in Spalte km!!!"),IF(VALUE(I715)=1,CONCATENATE("_",VLOOKUP(IF(V715&gt;0,V715,J715),[1]Grundlage!$A$20:$B$181,2,0)),CONCATENATE("_",B715))))</f>
        <v>UQ_A092_042510_W</v>
      </c>
      <c r="F715" s="2" t="s">
        <v>28</v>
      </c>
      <c r="G715" s="167">
        <f t="shared" si="141"/>
        <v>2826</v>
      </c>
      <c r="H715">
        <f t="shared" si="142"/>
        <v>3</v>
      </c>
      <c r="I715" s="2">
        <f t="shared" si="145"/>
        <v>3</v>
      </c>
      <c r="J715" s="2">
        <f t="shared" si="146"/>
        <v>15</v>
      </c>
      <c r="K715" s="13">
        <v>209</v>
      </c>
      <c r="L715" s="2">
        <f t="shared" si="147"/>
        <v>11</v>
      </c>
      <c r="M715" s="2">
        <f t="shared" si="148"/>
        <v>1</v>
      </c>
      <c r="N715" s="2">
        <f t="shared" si="149"/>
        <v>6</v>
      </c>
      <c r="P715" s="168">
        <f t="shared" ref="P715:P778" si="150">IF(AT715&lt;&gt;3,"",IF(BB715="Helligkeitssensor",61,IF(BB715="Helligkeit",61,IF(BB716="Lichtsensor",61,IF(BB715="Lufttemperatur",48,IF(BB715="Niederschlagsart",71,IF(BB715="Niederschlagsintensität",53,IF(BB715="relative Luftfeuchte RLF",55,IF(BB715="Sichtweite",60,IF(BB715="Sichtweite 1",60,IF(BB715="Zustand der Fahrbahnoberfläche FBZ",79,IF(BB715="Wasserfilmdicke WFD",72,IF(BB715="Clusterkanal FG3","",IF(BB715="Gefriertemperatur GT",65,IF(BB715="Fahrbahnoberflächentemperatur FBT",49,VALUE(RIGHT(BB715,2)))))))))))))))))</f>
        <v>65</v>
      </c>
      <c r="AT715" s="19">
        <v>3</v>
      </c>
      <c r="AU715" s="14">
        <v>15</v>
      </c>
      <c r="AV715" s="14" t="s">
        <v>82</v>
      </c>
      <c r="AW715" s="13"/>
      <c r="AX715" s="13"/>
      <c r="AY715" s="19">
        <v>1</v>
      </c>
      <c r="AZ715" s="14">
        <v>6</v>
      </c>
      <c r="BA715" s="14">
        <v>6</v>
      </c>
      <c r="BB715" s="13" t="s">
        <v>28</v>
      </c>
      <c r="BF715" s="13" t="s">
        <v>482</v>
      </c>
    </row>
    <row r="716" spans="1:58" ht="14.25" x14ac:dyDescent="0.2">
      <c r="A716" t="str">
        <f t="shared" si="143"/>
        <v>A92</v>
      </c>
      <c r="B716" s="2" t="s">
        <v>657</v>
      </c>
      <c r="C716">
        <f t="shared" si="144"/>
        <v>42.51</v>
      </c>
      <c r="D716" t="str">
        <f t="shared" si="139"/>
        <v>UFD</v>
      </c>
      <c r="E716" s="169" t="str">
        <f>IF(OR(A716="",B716="",C716=""),"eine der Spalten BAB, FR, km leer?",CONCATENATE(VLOOKUP(VALUE(I716),[1]Grundlage!$A$1:$B$14,2,0),IF(LEFT(A716,1)="A",IF(VALUE(MID(A716,2,10))&lt;10,"A00"&amp;VALUE(MID(A716,2,10)),IF(VALUE(MID(A716,2,10))&lt;100,"A0"&amp;VALUE(MID(A716,2,10)),IF(VALUE(MID(A716,2,10))&lt;1000,"A"&amp;VALUE(MID(A716,2,10))))),IF(LEFT(A716,1)="B",IF(VALUE(MID(A716,2,10))&lt;10,"B00"&amp;VALUE(MID(A716,2,10)),IF(VALUE(MID(A716,2,10))&lt;100,"B0"&amp;VALUE(MID(A716,2,10)),IF(VALUE(MID(A716,2,10))&lt;1000,"B"&amp;VALUE(MID(A716,2,10))))),A716)),"_",IF(NOT(OR(C716=1000,C716&gt;1000)),MID(TEXT((C716+1000)*1000,0),2,6),"keine Meter in Spalte km!!!"),IF(VALUE(I716)=1,CONCATENATE("_",VLOOKUP(IF(V716&gt;0,V716,J716),[1]Grundlage!$A$20:$B$181,2,0)),CONCATENATE("_",B716))))</f>
        <v>UQ_A092_042510_W</v>
      </c>
      <c r="F716" s="2" t="s">
        <v>335</v>
      </c>
      <c r="G716" s="167">
        <f t="shared" si="141"/>
        <v>2826</v>
      </c>
      <c r="H716">
        <f t="shared" si="142"/>
        <v>3</v>
      </c>
      <c r="I716" s="2">
        <f t="shared" si="145"/>
        <v>3</v>
      </c>
      <c r="J716" s="2">
        <f t="shared" si="146"/>
        <v>19</v>
      </c>
      <c r="K716" s="13">
        <v>209</v>
      </c>
      <c r="L716" s="2">
        <f t="shared" si="147"/>
        <v>11</v>
      </c>
      <c r="M716" s="2">
        <f t="shared" si="148"/>
        <v>1</v>
      </c>
      <c r="N716" s="2">
        <f t="shared" si="149"/>
        <v>7</v>
      </c>
      <c r="P716" s="168">
        <v>49</v>
      </c>
      <c r="AT716" s="19">
        <v>3</v>
      </c>
      <c r="AU716" s="14">
        <v>19</v>
      </c>
      <c r="AV716" s="14">
        <v>13</v>
      </c>
      <c r="AW716" s="13"/>
      <c r="AX716" s="13"/>
      <c r="AY716" s="19">
        <v>1</v>
      </c>
      <c r="AZ716" s="14">
        <v>7</v>
      </c>
      <c r="BA716" s="14">
        <v>7</v>
      </c>
      <c r="BB716" s="13" t="s">
        <v>335</v>
      </c>
      <c r="BF716" s="13" t="s">
        <v>479</v>
      </c>
    </row>
    <row r="717" spans="1:58" ht="14.25" x14ac:dyDescent="0.2">
      <c r="A717" t="str">
        <f t="shared" si="143"/>
        <v>A92</v>
      </c>
      <c r="B717" s="2" t="s">
        <v>657</v>
      </c>
      <c r="C717">
        <f t="shared" si="144"/>
        <v>42.51</v>
      </c>
      <c r="D717" t="str">
        <f t="shared" si="139"/>
        <v>UFD</v>
      </c>
      <c r="E717" s="169" t="str">
        <f>IF(OR(A717="",B717="",C717=""),"eine der Spalten BAB, FR, km leer?",CONCATENATE(VLOOKUP(VALUE(I717),[1]Grundlage!$A$1:$B$14,2,0),IF(LEFT(A717,1)="A",IF(VALUE(MID(A717,2,10))&lt;10,"A00"&amp;VALUE(MID(A717,2,10)),IF(VALUE(MID(A717,2,10))&lt;100,"A0"&amp;VALUE(MID(A717,2,10)),IF(VALUE(MID(A717,2,10))&lt;1000,"A"&amp;VALUE(MID(A717,2,10))))),IF(LEFT(A717,1)="B",IF(VALUE(MID(A717,2,10))&lt;10,"B00"&amp;VALUE(MID(A717,2,10)),IF(VALUE(MID(A717,2,10))&lt;100,"B0"&amp;VALUE(MID(A717,2,10)),IF(VALUE(MID(A717,2,10))&lt;1000,"B"&amp;VALUE(MID(A717,2,10))))),A717)),"_",IF(NOT(OR(C717=1000,C717&gt;1000)),MID(TEXT((C717+1000)*1000,0),2,6),"keine Meter in Spalte km!!!"),IF(VALUE(I717)=1,CONCATENATE("_",VLOOKUP(IF(V717&gt;0,V717,J717),[1]Grundlage!$A$20:$B$181,2,0)),CONCATENATE("_",B717))))</f>
        <v>UQ_A092_042510_W</v>
      </c>
      <c r="F717" s="2" t="s">
        <v>336</v>
      </c>
      <c r="G717" s="167">
        <f t="shared" si="141"/>
        <v>2826</v>
      </c>
      <c r="H717">
        <f t="shared" si="142"/>
        <v>3</v>
      </c>
      <c r="I717" s="2">
        <f t="shared" si="145"/>
        <v>3</v>
      </c>
      <c r="J717" s="2">
        <f t="shared" si="146"/>
        <v>21</v>
      </c>
      <c r="K717" s="13">
        <v>209</v>
      </c>
      <c r="L717" s="2">
        <f t="shared" si="147"/>
        <v>11</v>
      </c>
      <c r="M717" s="2">
        <f t="shared" si="148"/>
        <v>1</v>
      </c>
      <c r="N717" s="2">
        <f t="shared" si="149"/>
        <v>8</v>
      </c>
      <c r="P717" s="168">
        <v>67</v>
      </c>
      <c r="AT717" s="19">
        <v>3</v>
      </c>
      <c r="AU717" s="14">
        <v>21</v>
      </c>
      <c r="AV717" s="14">
        <v>15</v>
      </c>
      <c r="AW717" s="13"/>
      <c r="AX717" s="13"/>
      <c r="AY717" s="19">
        <v>1</v>
      </c>
      <c r="AZ717" s="14">
        <v>8</v>
      </c>
      <c r="BA717" s="14">
        <v>8</v>
      </c>
      <c r="BB717" s="13" t="s">
        <v>336</v>
      </c>
      <c r="BF717" s="13" t="s">
        <v>480</v>
      </c>
    </row>
    <row r="718" spans="1:58" ht="14.25" x14ac:dyDescent="0.2">
      <c r="A718" t="str">
        <f t="shared" si="143"/>
        <v>A92</v>
      </c>
      <c r="B718" s="2" t="s">
        <v>657</v>
      </c>
      <c r="C718">
        <f t="shared" si="144"/>
        <v>42.51</v>
      </c>
      <c r="D718" t="str">
        <f t="shared" si="139"/>
        <v>UFD</v>
      </c>
      <c r="E718" s="169" t="str">
        <f>IF(OR(A718="",B718="",C718=""),"eine der Spalten BAB, FR, km leer?",CONCATENATE(VLOOKUP(VALUE(I718),[1]Grundlage!$A$1:$B$14,2,0),IF(LEFT(A718,1)="A",IF(VALUE(MID(A718,2,10))&lt;10,"A00"&amp;VALUE(MID(A718,2,10)),IF(VALUE(MID(A718,2,10))&lt;100,"A0"&amp;VALUE(MID(A718,2,10)),IF(VALUE(MID(A718,2,10))&lt;1000,"A"&amp;VALUE(MID(A718,2,10))))),IF(LEFT(A718,1)="B",IF(VALUE(MID(A718,2,10))&lt;10,"B00"&amp;VALUE(MID(A718,2,10)),IF(VALUE(MID(A718,2,10))&lt;100,"B0"&amp;VALUE(MID(A718,2,10)),IF(VALUE(MID(A718,2,10))&lt;1000,"B"&amp;VALUE(MID(A718,2,10))))),A718)),"_",IF(NOT(OR(C718=1000,C718&gt;1000)),MID(TEXT((C718+1000)*1000,0),2,6),"keine Meter in Spalte km!!!"),IF(VALUE(I718)=1,CONCATENATE("_",VLOOKUP(IF(V718&gt;0,V718,J718),[1]Grundlage!$A$20:$B$181,2,0)),CONCATENATE("_",B718))))</f>
        <v>UQ_A092_042510_W</v>
      </c>
      <c r="F718" s="2" t="s">
        <v>271</v>
      </c>
      <c r="G718" s="167">
        <f t="shared" si="141"/>
        <v>2826</v>
      </c>
      <c r="H718">
        <f t="shared" si="142"/>
        <v>3</v>
      </c>
      <c r="I718" s="2">
        <f t="shared" si="145"/>
        <v>3</v>
      </c>
      <c r="J718" s="2">
        <f t="shared" si="146"/>
        <v>67</v>
      </c>
      <c r="K718" s="13">
        <v>209</v>
      </c>
      <c r="L718" s="2">
        <f t="shared" si="147"/>
        <v>11</v>
      </c>
      <c r="M718" s="2">
        <f t="shared" si="148"/>
        <v>1</v>
      </c>
      <c r="N718" s="2">
        <f t="shared" si="149"/>
        <v>9</v>
      </c>
      <c r="P718" s="168">
        <f t="shared" si="150"/>
        <v>53</v>
      </c>
      <c r="AT718" s="19">
        <v>3</v>
      </c>
      <c r="AU718" s="14">
        <v>67</v>
      </c>
      <c r="AV718" s="14">
        <v>43</v>
      </c>
      <c r="AW718" s="13"/>
      <c r="AX718" s="13"/>
      <c r="AY718" s="19">
        <v>1</v>
      </c>
      <c r="AZ718" s="14">
        <v>9</v>
      </c>
      <c r="BA718" s="34">
        <v>9</v>
      </c>
      <c r="BB718" s="13" t="s">
        <v>271</v>
      </c>
      <c r="BF718" s="13" t="s">
        <v>444</v>
      </c>
    </row>
    <row r="719" spans="1:58" ht="14.25" x14ac:dyDescent="0.2">
      <c r="A719" t="str">
        <f t="shared" si="143"/>
        <v>A92</v>
      </c>
      <c r="B719" s="2" t="s">
        <v>657</v>
      </c>
      <c r="C719">
        <f t="shared" si="144"/>
        <v>42.51</v>
      </c>
      <c r="D719" t="str">
        <f t="shared" si="139"/>
        <v>UFD</v>
      </c>
      <c r="E719" s="169" t="str">
        <f>IF(OR(A719="",B719="",C719=""),"eine der Spalten BAB, FR, km leer?",CONCATENATE(VLOOKUP(VALUE(I719),[1]Grundlage!$A$1:$B$14,2,0),IF(LEFT(A719,1)="A",IF(VALUE(MID(A719,2,10))&lt;10,"A00"&amp;VALUE(MID(A719,2,10)),IF(VALUE(MID(A719,2,10))&lt;100,"A0"&amp;VALUE(MID(A719,2,10)),IF(VALUE(MID(A719,2,10))&lt;1000,"A"&amp;VALUE(MID(A719,2,10))))),IF(LEFT(A719,1)="B",IF(VALUE(MID(A719,2,10))&lt;10,"B00"&amp;VALUE(MID(A719,2,10)),IF(VALUE(MID(A719,2,10))&lt;100,"B0"&amp;VALUE(MID(A719,2,10)),IF(VALUE(MID(A719,2,10))&lt;1000,"B"&amp;VALUE(MID(A719,2,10))))),A719)),"_",IF(NOT(OR(C719=1000,C719&gt;1000)),MID(TEXT((C719+1000)*1000,0),2,6),"keine Meter in Spalte km!!!"),IF(VALUE(I719)=1,CONCATENATE("_",VLOOKUP(IF(V719&gt;0,V719,J719),[1]Grundlage!$A$20:$B$181,2,0)),CONCATENATE("_",B719))))</f>
        <v>UQ_A092_042510_W</v>
      </c>
      <c r="F719" s="2" t="s">
        <v>337</v>
      </c>
      <c r="G719" s="167">
        <f t="shared" si="141"/>
        <v>2826</v>
      </c>
      <c r="H719">
        <f t="shared" si="142"/>
        <v>3</v>
      </c>
      <c r="I719" s="2">
        <f t="shared" si="145"/>
        <v>3</v>
      </c>
      <c r="J719" s="2">
        <f t="shared" si="146"/>
        <v>82</v>
      </c>
      <c r="K719" s="13">
        <v>209</v>
      </c>
      <c r="L719" s="2">
        <f t="shared" si="147"/>
        <v>11</v>
      </c>
      <c r="M719" s="2">
        <f t="shared" si="148"/>
        <v>1</v>
      </c>
      <c r="N719" s="2">
        <f t="shared" si="149"/>
        <v>10</v>
      </c>
      <c r="P719" s="168">
        <v>72</v>
      </c>
      <c r="AT719" s="19">
        <v>3</v>
      </c>
      <c r="AU719" s="14">
        <v>82</v>
      </c>
      <c r="AV719" s="14">
        <v>52</v>
      </c>
      <c r="AW719" s="13"/>
      <c r="AX719" s="13"/>
      <c r="AY719" s="19">
        <v>1</v>
      </c>
      <c r="AZ719" s="14">
        <v>10</v>
      </c>
      <c r="BA719" s="34" t="s">
        <v>95</v>
      </c>
      <c r="BB719" s="13" t="s">
        <v>337</v>
      </c>
      <c r="BF719" s="13" t="s">
        <v>481</v>
      </c>
    </row>
    <row r="720" spans="1:58" s="13" customFormat="1" ht="14.25" x14ac:dyDescent="0.2">
      <c r="A720" t="str">
        <f t="shared" si="143"/>
        <v>A92</v>
      </c>
      <c r="B720" s="2"/>
      <c r="C720">
        <f t="shared" si="144"/>
        <v>42.51</v>
      </c>
      <c r="D720" t="str">
        <f t="shared" si="139"/>
        <v/>
      </c>
      <c r="E720" s="169" t="str">
        <f>IF(OR(A720="",B720="",C720=""),"",CONCATENATE(VLOOKUP(VALUE(I720),[1]Grundlage!$A$1:$B$14,2,0),IF(LEFT(A720,1)="A",IF(VALUE(MID(A720,2,10))&lt;10,"A00"&amp;VALUE(MID(A720,2,10)),IF(VALUE(MID(A720,2,10))&lt;100,"A0"&amp;VALUE(MID(A720,2,10)),IF(VALUE(MID(A720,2,10))&lt;1000,"A"&amp;VALUE(MID(A720,2,10))))),IF(LEFT(A720,1)="B",IF(VALUE(MID(A720,2,10))&lt;10,"B00"&amp;VALUE(MID(A720,2,10)),IF(VALUE(MID(A720,2,10))&lt;100,"B0"&amp;VALUE(MID(A720,2,10)),IF(VALUE(MID(A720,2,10))&lt;1000,"B"&amp;VALUE(MID(A720,2,10))))),A720)),"_",IF(NOT(OR(C720=1000,C720&gt;1000)),MID(TEXT((C720+1000)*1000,0),2,6),"keine Meter in Spalte km!!!"),IF(VALUE(I720)=1,CONCATENATE("_",VLOOKUP(IF(V720&gt;0,V720,J720),[1]Grundlage!$A$20:$B$181,2,0)),CONCATENATE("_",B720))))</f>
        <v/>
      </c>
      <c r="F720" s="2" t="s">
        <v>669</v>
      </c>
      <c r="G720" s="167">
        <f t="shared" si="141"/>
        <v>2826</v>
      </c>
      <c r="H720">
        <f t="shared" si="142"/>
        <v>3</v>
      </c>
      <c r="I720" s="2">
        <f t="shared" si="145"/>
        <v>0</v>
      </c>
      <c r="J720" s="2">
        <f t="shared" si="146"/>
        <v>0</v>
      </c>
      <c r="K720" s="13">
        <v>209</v>
      </c>
      <c r="L720" s="2">
        <f t="shared" si="147"/>
        <v>11</v>
      </c>
      <c r="M720" s="2" t="str">
        <f t="shared" si="148"/>
        <v/>
      </c>
      <c r="N720" s="2" t="str">
        <f t="shared" si="149"/>
        <v/>
      </c>
      <c r="O720" s="2"/>
      <c r="P720" s="168" t="str">
        <f t="shared" si="150"/>
        <v/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1"/>
      <c r="AT720" s="19"/>
      <c r="AU720" s="14"/>
      <c r="AV720" s="14"/>
      <c r="AY720" s="19"/>
      <c r="AZ720" s="14"/>
      <c r="BA720" s="34"/>
      <c r="BC720" s="25"/>
      <c r="BD720" s="25"/>
    </row>
    <row r="721" spans="1:58" s="13" customFormat="1" ht="14.25" x14ac:dyDescent="0.2">
      <c r="A721" t="str">
        <f t="shared" si="143"/>
        <v>A92</v>
      </c>
      <c r="B721" s="2" t="s">
        <v>657</v>
      </c>
      <c r="C721">
        <f t="shared" si="144"/>
        <v>72.284999999999997</v>
      </c>
      <c r="D721" t="str">
        <f t="shared" si="139"/>
        <v>SS</v>
      </c>
      <c r="E721" s="169" t="str">
        <f>IF(OR(A721="",B721="",C721=""),"eine der Spalten BAB, FR, km leer?",CONCATENATE(VLOOKUP(VALUE(I721),[1]Grundlage!$A$1:$B$14,2,0),IF(LEFT(A721,1)="A",IF(VALUE(MID(A721,2,10))&lt;10,"A00"&amp;VALUE(MID(A721,2,10)),IF(VALUE(MID(A721,2,10))&lt;100,"A0"&amp;VALUE(MID(A721,2,10)),IF(VALUE(MID(A721,2,10))&lt;1000,"A"&amp;VALUE(MID(A721,2,10))))),IF(LEFT(A721,1)="B",IF(VALUE(MID(A721,2,10))&lt;10,"B00"&amp;VALUE(MID(A721,2,10)),IF(VALUE(MID(A721,2,10))&lt;100,"B0"&amp;VALUE(MID(A721,2,10)),IF(VALUE(MID(A721,2,10))&lt;1000,"B"&amp;VALUE(MID(A721,2,10))))),A721)),"_",IF(NOT(OR(C721=1000,C721&gt;1000)),MID(TEXT((C721+1000)*1000,0),2,6),"keine Meter in Spalte km!!!"),IF(VALUE(I721)=1,CONCATENATE("_",VLOOKUP(IF(V721&gt;0,V721,J721),[1]Grundlage!$A$20:$B$181,2,0)),CONCATENATE("_",B721))))</f>
        <v>SSt_A092_072285_W</v>
      </c>
      <c r="F721" s="2" t="s">
        <v>407</v>
      </c>
      <c r="G721" s="167">
        <f t="shared" si="141"/>
        <v>35969</v>
      </c>
      <c r="H721">
        <f t="shared" si="142"/>
        <v>89</v>
      </c>
      <c r="I721" s="2">
        <f t="shared" si="145"/>
        <v>254</v>
      </c>
      <c r="J721" s="2">
        <f t="shared" si="146"/>
        <v>0</v>
      </c>
      <c r="K721" s="13">
        <v>209</v>
      </c>
      <c r="L721" s="2">
        <f t="shared" si="147"/>
        <v>20</v>
      </c>
      <c r="M721" s="2" t="str">
        <f t="shared" si="148"/>
        <v/>
      </c>
      <c r="N721" s="2" t="str">
        <f t="shared" si="149"/>
        <v/>
      </c>
      <c r="O721" s="2"/>
      <c r="P721" s="168" t="str">
        <f t="shared" si="150"/>
        <v/>
      </c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35">
        <v>72.284999999999997</v>
      </c>
      <c r="AJ721" s="36" t="s">
        <v>19</v>
      </c>
      <c r="AK721" s="36" t="s">
        <v>72</v>
      </c>
      <c r="AL721" s="36"/>
      <c r="AM721" s="36"/>
      <c r="AN721" s="36"/>
      <c r="AO721" s="36"/>
      <c r="AP721" s="69" t="s">
        <v>409</v>
      </c>
      <c r="AQ721" s="45" t="s">
        <v>230</v>
      </c>
      <c r="AR721" s="36">
        <v>81</v>
      </c>
      <c r="AS721" s="70" t="s">
        <v>410</v>
      </c>
      <c r="AT721" s="92"/>
      <c r="AU721" s="92"/>
      <c r="AV721" s="92"/>
      <c r="AW721" s="92"/>
      <c r="AX721" s="92">
        <v>20</v>
      </c>
      <c r="AY721" s="92"/>
      <c r="AZ721" s="92"/>
      <c r="BA721" s="92"/>
      <c r="BB721" s="95" t="s">
        <v>407</v>
      </c>
      <c r="BC721" s="45" t="s">
        <v>415</v>
      </c>
      <c r="BD721" s="45" t="s">
        <v>316</v>
      </c>
      <c r="BE721" s="39" t="s">
        <v>408</v>
      </c>
      <c r="BF721" s="2" t="s">
        <v>451</v>
      </c>
    </row>
    <row r="722" spans="1:58" s="13" customFormat="1" ht="14.25" x14ac:dyDescent="0.2">
      <c r="A722" t="str">
        <f t="shared" si="143"/>
        <v>A92</v>
      </c>
      <c r="B722" s="2" t="s">
        <v>657</v>
      </c>
      <c r="C722">
        <f t="shared" si="144"/>
        <v>72.284999999999997</v>
      </c>
      <c r="D722" t="str">
        <f t="shared" si="139"/>
        <v>UFD</v>
      </c>
      <c r="E722" s="169" t="str">
        <f>IF(OR(A722="",B722="",C722=""),"eine der Spalten BAB, FR, km leer?",CONCATENATE(VLOOKUP(VALUE(I722),[1]Grundlage!$A$1:$B$14,2,0),IF(LEFT(A722,1)="A",IF(VALUE(MID(A722,2,10))&lt;10,"A00"&amp;VALUE(MID(A722,2,10)),IF(VALUE(MID(A722,2,10))&lt;100,"A0"&amp;VALUE(MID(A722,2,10)),IF(VALUE(MID(A722,2,10))&lt;1000,"A"&amp;VALUE(MID(A722,2,10))))),IF(LEFT(A722,1)="B",IF(VALUE(MID(A722,2,10))&lt;10,"B00"&amp;VALUE(MID(A722,2,10)),IF(VALUE(MID(A722,2,10))&lt;100,"B0"&amp;VALUE(MID(A722,2,10)),IF(VALUE(MID(A722,2,10))&lt;1000,"B"&amp;VALUE(MID(A722,2,10))))),A722)),"_",IF(NOT(OR(C722=1000,C722&gt;1000)),MID(TEXT((C722+1000)*1000,0),2,6),"keine Meter in Spalte km!!!"),IF(VALUE(I722)=1,CONCATENATE("_",VLOOKUP(IF(V722&gt;0,V722,J722),[1]Grundlage!$A$20:$B$181,2,0)),CONCATENATE("_",B722))))</f>
        <v>UQ_A092_072285_W</v>
      </c>
      <c r="F722" s="2" t="s">
        <v>269</v>
      </c>
      <c r="G722" s="167">
        <f t="shared" si="141"/>
        <v>35969</v>
      </c>
      <c r="H722">
        <f t="shared" si="142"/>
        <v>89</v>
      </c>
      <c r="I722" s="2">
        <f t="shared" si="145"/>
        <v>3</v>
      </c>
      <c r="J722" s="2">
        <f t="shared" si="146"/>
        <v>6</v>
      </c>
      <c r="K722" s="13">
        <v>209</v>
      </c>
      <c r="L722" s="2">
        <f t="shared" si="147"/>
        <v>20</v>
      </c>
      <c r="M722" s="2">
        <f t="shared" si="148"/>
        <v>1</v>
      </c>
      <c r="N722" s="2">
        <f t="shared" si="149"/>
        <v>1</v>
      </c>
      <c r="O722" s="2"/>
      <c r="P722" s="168">
        <f t="shared" si="150"/>
        <v>71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4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19">
        <v>3</v>
      </c>
      <c r="AU722" s="14">
        <v>6</v>
      </c>
      <c r="AV722" s="27">
        <v>6</v>
      </c>
      <c r="AW722" s="19"/>
      <c r="AX722" s="19"/>
      <c r="AY722" s="19">
        <v>1</v>
      </c>
      <c r="AZ722" s="14">
        <v>1</v>
      </c>
      <c r="BA722" s="27">
        <v>1</v>
      </c>
      <c r="BB722" s="13" t="s">
        <v>269</v>
      </c>
      <c r="BC722" s="16"/>
      <c r="BD722" s="16"/>
      <c r="BE722" s="2"/>
      <c r="BF722" s="2" t="s">
        <v>440</v>
      </c>
    </row>
    <row r="723" spans="1:58" s="13" customFormat="1" ht="14.25" x14ac:dyDescent="0.2">
      <c r="A723" t="str">
        <f t="shared" si="143"/>
        <v>A92</v>
      </c>
      <c r="B723" s="2" t="s">
        <v>657</v>
      </c>
      <c r="C723">
        <f t="shared" si="144"/>
        <v>72.284999999999997</v>
      </c>
      <c r="D723" t="str">
        <f t="shared" si="139"/>
        <v>UFD</v>
      </c>
      <c r="E723" s="169" t="str">
        <f>IF(OR(A723="",B723="",C723=""),"eine der Spalten BAB, FR, km leer?",CONCATENATE(VLOOKUP(VALUE(I723),[1]Grundlage!$A$1:$B$14,2,0),IF(LEFT(A723,1)="A",IF(VALUE(MID(A723,2,10))&lt;10,"A00"&amp;VALUE(MID(A723,2,10)),IF(VALUE(MID(A723,2,10))&lt;100,"A0"&amp;VALUE(MID(A723,2,10)),IF(VALUE(MID(A723,2,10))&lt;1000,"A"&amp;VALUE(MID(A723,2,10))))),IF(LEFT(A723,1)="B",IF(VALUE(MID(A723,2,10))&lt;10,"B00"&amp;VALUE(MID(A723,2,10)),IF(VALUE(MID(A723,2,10))&lt;100,"B0"&amp;VALUE(MID(A723,2,10)),IF(VALUE(MID(A723,2,10))&lt;1000,"B"&amp;VALUE(MID(A723,2,10))))),A723)),"_",IF(NOT(OR(C723=1000,C723&gt;1000)),MID(TEXT((C723+1000)*1000,0),2,6),"keine Meter in Spalte km!!!"),IF(VALUE(I723)=1,CONCATENATE("_",VLOOKUP(IF(V723&gt;0,V723,J723),[1]Grundlage!$A$20:$B$181,2,0)),CONCATENATE("_",B723))))</f>
        <v>UQ_A092_072285_W</v>
      </c>
      <c r="F723" s="2" t="s">
        <v>333</v>
      </c>
      <c r="G723" s="167">
        <f t="shared" si="141"/>
        <v>35969</v>
      </c>
      <c r="H723">
        <f t="shared" si="142"/>
        <v>89</v>
      </c>
      <c r="I723" s="2">
        <f t="shared" si="145"/>
        <v>3</v>
      </c>
      <c r="J723" s="2">
        <f t="shared" si="146"/>
        <v>11</v>
      </c>
      <c r="K723" s="13">
        <v>209</v>
      </c>
      <c r="L723" s="2">
        <f t="shared" si="147"/>
        <v>20</v>
      </c>
      <c r="M723" s="2">
        <f t="shared" si="148"/>
        <v>1</v>
      </c>
      <c r="N723" s="2">
        <f t="shared" si="149"/>
        <v>2</v>
      </c>
      <c r="O723" s="2"/>
      <c r="P723" s="168">
        <v>70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4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19">
        <v>3</v>
      </c>
      <c r="AU723" s="14">
        <v>11</v>
      </c>
      <c r="AV723" s="14" t="s">
        <v>78</v>
      </c>
      <c r="AY723" s="19">
        <v>1</v>
      </c>
      <c r="AZ723" s="14">
        <v>2</v>
      </c>
      <c r="BA723" s="14">
        <v>2</v>
      </c>
      <c r="BB723" s="13" t="s">
        <v>333</v>
      </c>
      <c r="BC723" s="16"/>
      <c r="BD723" s="16"/>
      <c r="BE723" s="2"/>
      <c r="BF723" s="2" t="s">
        <v>478</v>
      </c>
    </row>
    <row r="724" spans="1:58" s="13" customFormat="1" ht="14.25" x14ac:dyDescent="0.2">
      <c r="A724" t="str">
        <f t="shared" si="143"/>
        <v>A92</v>
      </c>
      <c r="B724" s="2" t="s">
        <v>657</v>
      </c>
      <c r="C724">
        <f t="shared" si="144"/>
        <v>72.284999999999997</v>
      </c>
      <c r="D724" t="str">
        <f t="shared" si="139"/>
        <v>UFD</v>
      </c>
      <c r="E724" s="169" t="str">
        <f>IF(OR(A724="",B724="",C724=""),"eine der Spalten BAB, FR, km leer?",CONCATENATE(VLOOKUP(VALUE(I724),[1]Grundlage!$A$1:$B$14,2,0),IF(LEFT(A724,1)="A",IF(VALUE(MID(A724,2,10))&lt;10,"A00"&amp;VALUE(MID(A724,2,10)),IF(VALUE(MID(A724,2,10))&lt;100,"A0"&amp;VALUE(MID(A724,2,10)),IF(VALUE(MID(A724,2,10))&lt;1000,"A"&amp;VALUE(MID(A724,2,10))))),IF(LEFT(A724,1)="B",IF(VALUE(MID(A724,2,10))&lt;10,"B00"&amp;VALUE(MID(A724,2,10)),IF(VALUE(MID(A724,2,10))&lt;100,"B0"&amp;VALUE(MID(A724,2,10)),IF(VALUE(MID(A724,2,10))&lt;1000,"B"&amp;VALUE(MID(A724,2,10))))),A724)),"_",IF(NOT(OR(C724=1000,C724&gt;1000)),MID(TEXT((C724+1000)*1000,0),2,6),"keine Meter in Spalte km!!!"),IF(VALUE(I724)=1,CONCATENATE("_",VLOOKUP(IF(V724&gt;0,V724,J724),[1]Grundlage!$A$20:$B$181,2,0)),CONCATENATE("_",B724))))</f>
        <v>UQ_A092_072285_W</v>
      </c>
      <c r="F724" s="2" t="s">
        <v>25</v>
      </c>
      <c r="G724" s="167">
        <f t="shared" si="141"/>
        <v>35969</v>
      </c>
      <c r="H724">
        <f t="shared" si="142"/>
        <v>89</v>
      </c>
      <c r="I724" s="2">
        <f t="shared" si="145"/>
        <v>3</v>
      </c>
      <c r="J724" s="2">
        <f t="shared" si="146"/>
        <v>12</v>
      </c>
      <c r="K724" s="13">
        <v>209</v>
      </c>
      <c r="L724" s="2">
        <f t="shared" si="147"/>
        <v>20</v>
      </c>
      <c r="M724" s="2">
        <f t="shared" si="148"/>
        <v>1</v>
      </c>
      <c r="N724" s="2">
        <f t="shared" si="149"/>
        <v>3</v>
      </c>
      <c r="O724" s="2"/>
      <c r="P724" s="168">
        <f t="shared" si="150"/>
        <v>48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4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19">
        <v>3</v>
      </c>
      <c r="AU724" s="14">
        <v>12</v>
      </c>
      <c r="AV724" s="14" t="s">
        <v>79</v>
      </c>
      <c r="AY724" s="19">
        <v>1</v>
      </c>
      <c r="AZ724" s="14">
        <v>3</v>
      </c>
      <c r="BA724" s="14">
        <v>3</v>
      </c>
      <c r="BB724" s="13" t="s">
        <v>25</v>
      </c>
      <c r="BC724" s="16"/>
      <c r="BD724" s="16"/>
      <c r="BE724" s="2"/>
      <c r="BF724" s="13" t="s">
        <v>441</v>
      </c>
    </row>
    <row r="725" spans="1:58" s="13" customFormat="1" ht="14.25" x14ac:dyDescent="0.2">
      <c r="A725" t="str">
        <f t="shared" si="143"/>
        <v>A92</v>
      </c>
      <c r="B725" s="2" t="s">
        <v>657</v>
      </c>
      <c r="C725">
        <f t="shared" si="144"/>
        <v>72.284999999999997</v>
      </c>
      <c r="D725" t="str">
        <f t="shared" si="139"/>
        <v>UFD</v>
      </c>
      <c r="E725" s="169" t="str">
        <f>IF(OR(A725="",B725="",C725=""),"eine der Spalten BAB, FR, km leer?",CONCATENATE(VLOOKUP(VALUE(I725),[1]Grundlage!$A$1:$B$14,2,0),IF(LEFT(A725,1)="A",IF(VALUE(MID(A725,2,10))&lt;10,"A00"&amp;VALUE(MID(A725,2,10)),IF(VALUE(MID(A725,2,10))&lt;100,"A0"&amp;VALUE(MID(A725,2,10)),IF(VALUE(MID(A725,2,10))&lt;1000,"A"&amp;VALUE(MID(A725,2,10))))),IF(LEFT(A725,1)="B",IF(VALUE(MID(A725,2,10))&lt;10,"B00"&amp;VALUE(MID(A725,2,10)),IF(VALUE(MID(A725,2,10))&lt;100,"B0"&amp;VALUE(MID(A725,2,10)),IF(VALUE(MID(A725,2,10))&lt;1000,"B"&amp;VALUE(MID(A725,2,10))))),A725)),"_",IF(NOT(OR(C725=1000,C725&gt;1000)),MID(TEXT((C725+1000)*1000,0),2,6),"keine Meter in Spalte km!!!"),IF(VALUE(I725)=1,CONCATENATE("_",VLOOKUP(IF(V725&gt;0,V725,J725),[1]Grundlage!$A$20:$B$181,2,0)),CONCATENATE("_",B725))))</f>
        <v>UQ_A092_072285_W</v>
      </c>
      <c r="F725" s="2" t="s">
        <v>26</v>
      </c>
      <c r="G725" s="167">
        <f t="shared" si="141"/>
        <v>35969</v>
      </c>
      <c r="H725">
        <f t="shared" si="142"/>
        <v>89</v>
      </c>
      <c r="I725" s="2">
        <f t="shared" si="145"/>
        <v>3</v>
      </c>
      <c r="J725" s="2">
        <f t="shared" si="146"/>
        <v>13</v>
      </c>
      <c r="K725" s="13">
        <v>209</v>
      </c>
      <c r="L725" s="2">
        <f t="shared" si="147"/>
        <v>20</v>
      </c>
      <c r="M725" s="2">
        <f t="shared" si="148"/>
        <v>1</v>
      </c>
      <c r="N725" s="2">
        <f t="shared" si="149"/>
        <v>4</v>
      </c>
      <c r="O725" s="2"/>
      <c r="P725" s="168">
        <f t="shared" si="150"/>
        <v>55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4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19">
        <v>3</v>
      </c>
      <c r="AU725" s="14">
        <v>13</v>
      </c>
      <c r="AV725" s="14" t="s">
        <v>80</v>
      </c>
      <c r="AY725" s="19">
        <v>1</v>
      </c>
      <c r="AZ725" s="14">
        <v>4</v>
      </c>
      <c r="BA725" s="14">
        <v>4</v>
      </c>
      <c r="BB725" s="13" t="s">
        <v>26</v>
      </c>
      <c r="BC725" s="16"/>
      <c r="BD725" s="16"/>
      <c r="BE725" s="2"/>
      <c r="BF725" s="13" t="s">
        <v>442</v>
      </c>
    </row>
    <row r="726" spans="1:58" s="13" customFormat="1" ht="14.25" x14ac:dyDescent="0.2">
      <c r="A726" t="str">
        <f t="shared" si="143"/>
        <v>A92</v>
      </c>
      <c r="B726" s="2" t="s">
        <v>657</v>
      </c>
      <c r="C726">
        <f t="shared" si="144"/>
        <v>72.284999999999997</v>
      </c>
      <c r="D726" t="str">
        <f t="shared" si="139"/>
        <v>UFD</v>
      </c>
      <c r="E726" s="169" t="str">
        <f>IF(OR(A726="",B726="",C726=""),"eine der Spalten BAB, FR, km leer?",CONCATENATE(VLOOKUP(VALUE(I726),[1]Grundlage!$A$1:$B$14,2,0),IF(LEFT(A726,1)="A",IF(VALUE(MID(A726,2,10))&lt;10,"A00"&amp;VALUE(MID(A726,2,10)),IF(VALUE(MID(A726,2,10))&lt;100,"A0"&amp;VALUE(MID(A726,2,10)),IF(VALUE(MID(A726,2,10))&lt;1000,"A"&amp;VALUE(MID(A726,2,10))))),IF(LEFT(A726,1)="B",IF(VALUE(MID(A726,2,10))&lt;10,"B00"&amp;VALUE(MID(A726,2,10)),IF(VALUE(MID(A726,2,10))&lt;100,"B0"&amp;VALUE(MID(A726,2,10)),IF(VALUE(MID(A726,2,10))&lt;1000,"B"&amp;VALUE(MID(A726,2,10))))),A726)),"_",IF(NOT(OR(C726=1000,C726&gt;1000)),MID(TEXT((C726+1000)*1000,0),2,6),"keine Meter in Spalte km!!!"),IF(VALUE(I726)=1,CONCATENATE("_",VLOOKUP(IF(V726&gt;0,V726,J726),[1]Grundlage!$A$20:$B$181,2,0)),CONCATENATE("_",B726))))</f>
        <v>UQ_A092_072285_W</v>
      </c>
      <c r="F726" s="2" t="s">
        <v>334</v>
      </c>
      <c r="G726" s="167">
        <f t="shared" si="141"/>
        <v>35969</v>
      </c>
      <c r="H726">
        <f t="shared" si="142"/>
        <v>89</v>
      </c>
      <c r="I726" s="2">
        <f t="shared" si="145"/>
        <v>3</v>
      </c>
      <c r="J726" s="2">
        <f t="shared" si="146"/>
        <v>14</v>
      </c>
      <c r="K726" s="13">
        <v>209</v>
      </c>
      <c r="L726" s="2">
        <f t="shared" si="147"/>
        <v>20</v>
      </c>
      <c r="M726" s="2">
        <f t="shared" si="148"/>
        <v>1</v>
      </c>
      <c r="N726" s="2">
        <f t="shared" si="149"/>
        <v>5</v>
      </c>
      <c r="O726" s="2"/>
      <c r="P726" s="168">
        <v>66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4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19">
        <v>3</v>
      </c>
      <c r="AU726" s="14">
        <v>14</v>
      </c>
      <c r="AV726" s="14" t="s">
        <v>81</v>
      </c>
      <c r="AY726" s="19">
        <v>1</v>
      </c>
      <c r="AZ726" s="14">
        <v>5</v>
      </c>
      <c r="BA726" s="14">
        <v>5</v>
      </c>
      <c r="BB726" s="13" t="s">
        <v>334</v>
      </c>
      <c r="BC726" s="16"/>
      <c r="BD726" s="16"/>
      <c r="BE726" s="2"/>
      <c r="BF726" s="13" t="s">
        <v>443</v>
      </c>
    </row>
    <row r="727" spans="1:58" s="13" customFormat="1" ht="14.25" x14ac:dyDescent="0.2">
      <c r="A727" t="str">
        <f t="shared" si="143"/>
        <v>A92</v>
      </c>
      <c r="B727" s="2" t="s">
        <v>657</v>
      </c>
      <c r="C727">
        <f t="shared" si="144"/>
        <v>72.284999999999997</v>
      </c>
      <c r="D727" t="str">
        <f t="shared" si="139"/>
        <v>UFD</v>
      </c>
      <c r="E727" s="169" t="str">
        <f>IF(OR(A727="",B727="",C727=""),"eine der Spalten BAB, FR, km leer?",CONCATENATE(VLOOKUP(VALUE(I727),[1]Grundlage!$A$1:$B$14,2,0),IF(LEFT(A727,1)="A",IF(VALUE(MID(A727,2,10))&lt;10,"A00"&amp;VALUE(MID(A727,2,10)),IF(VALUE(MID(A727,2,10))&lt;100,"A0"&amp;VALUE(MID(A727,2,10)),IF(VALUE(MID(A727,2,10))&lt;1000,"A"&amp;VALUE(MID(A727,2,10))))),IF(LEFT(A727,1)="B",IF(VALUE(MID(A727,2,10))&lt;10,"B00"&amp;VALUE(MID(A727,2,10)),IF(VALUE(MID(A727,2,10))&lt;100,"B0"&amp;VALUE(MID(A727,2,10)),IF(VALUE(MID(A727,2,10))&lt;1000,"B"&amp;VALUE(MID(A727,2,10))))),A727)),"_",IF(NOT(OR(C727=1000,C727&gt;1000)),MID(TEXT((C727+1000)*1000,0),2,6),"keine Meter in Spalte km!!!"),IF(VALUE(I727)=1,CONCATENATE("_",VLOOKUP(IF(V727&gt;0,V727,J727),[1]Grundlage!$A$20:$B$181,2,0)),CONCATENATE("_",B727))))</f>
        <v>UQ_A092_072285_W</v>
      </c>
      <c r="F727" s="2" t="s">
        <v>28</v>
      </c>
      <c r="G727" s="167">
        <f t="shared" si="141"/>
        <v>35969</v>
      </c>
      <c r="H727">
        <f t="shared" si="142"/>
        <v>89</v>
      </c>
      <c r="I727" s="2">
        <f t="shared" si="145"/>
        <v>3</v>
      </c>
      <c r="J727" s="2">
        <f t="shared" si="146"/>
        <v>15</v>
      </c>
      <c r="K727" s="13">
        <v>209</v>
      </c>
      <c r="L727" s="2">
        <f t="shared" si="147"/>
        <v>20</v>
      </c>
      <c r="M727" s="2">
        <f t="shared" si="148"/>
        <v>1</v>
      </c>
      <c r="N727" s="2">
        <f t="shared" si="149"/>
        <v>6</v>
      </c>
      <c r="O727" s="2"/>
      <c r="P727" s="168">
        <f t="shared" si="150"/>
        <v>65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4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19">
        <v>3</v>
      </c>
      <c r="AU727" s="14">
        <v>15</v>
      </c>
      <c r="AV727" s="14" t="s">
        <v>82</v>
      </c>
      <c r="AY727" s="19">
        <v>1</v>
      </c>
      <c r="AZ727" s="14">
        <v>6</v>
      </c>
      <c r="BA727" s="14">
        <v>6</v>
      </c>
      <c r="BB727" s="13" t="s">
        <v>28</v>
      </c>
      <c r="BC727" s="16"/>
      <c r="BD727" s="16"/>
      <c r="BE727" s="2"/>
      <c r="BF727" s="13" t="s">
        <v>482</v>
      </c>
    </row>
    <row r="728" spans="1:58" s="13" customFormat="1" ht="14.25" x14ac:dyDescent="0.2">
      <c r="A728" t="str">
        <f t="shared" si="143"/>
        <v>A92</v>
      </c>
      <c r="B728" s="2" t="s">
        <v>657</v>
      </c>
      <c r="C728">
        <f t="shared" si="144"/>
        <v>72.284999999999997</v>
      </c>
      <c r="D728" t="str">
        <f t="shared" si="139"/>
        <v>UFD</v>
      </c>
      <c r="E728" s="169" t="str">
        <f>IF(OR(A728="",B728="",C728=""),"eine der Spalten BAB, FR, km leer?",CONCATENATE(VLOOKUP(VALUE(I728),[1]Grundlage!$A$1:$B$14,2,0),IF(LEFT(A728,1)="A",IF(VALUE(MID(A728,2,10))&lt;10,"A00"&amp;VALUE(MID(A728,2,10)),IF(VALUE(MID(A728,2,10))&lt;100,"A0"&amp;VALUE(MID(A728,2,10)),IF(VALUE(MID(A728,2,10))&lt;1000,"A"&amp;VALUE(MID(A728,2,10))))),IF(LEFT(A728,1)="B",IF(VALUE(MID(A728,2,10))&lt;10,"B00"&amp;VALUE(MID(A728,2,10)),IF(VALUE(MID(A728,2,10))&lt;100,"B0"&amp;VALUE(MID(A728,2,10)),IF(VALUE(MID(A728,2,10))&lt;1000,"B"&amp;VALUE(MID(A728,2,10))))),A728)),"_",IF(NOT(OR(C728=1000,C728&gt;1000)),MID(TEXT((C728+1000)*1000,0),2,6),"keine Meter in Spalte km!!!"),IF(VALUE(I728)=1,CONCATENATE("_",VLOOKUP(IF(V728&gt;0,V728,J728),[1]Grundlage!$A$20:$B$181,2,0)),CONCATENATE("_",B728))))</f>
        <v>UQ_A092_072285_W</v>
      </c>
      <c r="F728" s="2" t="s">
        <v>335</v>
      </c>
      <c r="G728" s="167">
        <f t="shared" si="141"/>
        <v>35969</v>
      </c>
      <c r="H728">
        <f t="shared" si="142"/>
        <v>89</v>
      </c>
      <c r="I728" s="2">
        <f t="shared" si="145"/>
        <v>3</v>
      </c>
      <c r="J728" s="2">
        <f t="shared" si="146"/>
        <v>19</v>
      </c>
      <c r="K728" s="13">
        <v>209</v>
      </c>
      <c r="L728" s="2">
        <f t="shared" si="147"/>
        <v>20</v>
      </c>
      <c r="M728" s="2">
        <f t="shared" si="148"/>
        <v>1</v>
      </c>
      <c r="N728" s="2">
        <f t="shared" si="149"/>
        <v>7</v>
      </c>
      <c r="O728" s="2"/>
      <c r="P728" s="168">
        <v>49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4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19">
        <v>3</v>
      </c>
      <c r="AU728" s="14">
        <v>19</v>
      </c>
      <c r="AV728" s="14">
        <v>13</v>
      </c>
      <c r="AY728" s="19">
        <v>1</v>
      </c>
      <c r="AZ728" s="14">
        <v>7</v>
      </c>
      <c r="BA728" s="14">
        <v>7</v>
      </c>
      <c r="BB728" s="13" t="s">
        <v>335</v>
      </c>
      <c r="BC728" s="16"/>
      <c r="BD728" s="16"/>
      <c r="BE728" s="2"/>
      <c r="BF728" s="13" t="s">
        <v>479</v>
      </c>
    </row>
    <row r="729" spans="1:58" s="13" customFormat="1" ht="14.25" x14ac:dyDescent="0.2">
      <c r="A729" t="str">
        <f t="shared" si="143"/>
        <v>A92</v>
      </c>
      <c r="B729" s="2" t="s">
        <v>657</v>
      </c>
      <c r="C729">
        <f t="shared" si="144"/>
        <v>72.284999999999997</v>
      </c>
      <c r="D729" t="str">
        <f t="shared" si="139"/>
        <v>UFD</v>
      </c>
      <c r="E729" s="169" t="str">
        <f>IF(OR(A729="",B729="",C729=""),"eine der Spalten BAB, FR, km leer?",CONCATENATE(VLOOKUP(VALUE(I729),[1]Grundlage!$A$1:$B$14,2,0),IF(LEFT(A729,1)="A",IF(VALUE(MID(A729,2,10))&lt;10,"A00"&amp;VALUE(MID(A729,2,10)),IF(VALUE(MID(A729,2,10))&lt;100,"A0"&amp;VALUE(MID(A729,2,10)),IF(VALUE(MID(A729,2,10))&lt;1000,"A"&amp;VALUE(MID(A729,2,10))))),IF(LEFT(A729,1)="B",IF(VALUE(MID(A729,2,10))&lt;10,"B00"&amp;VALUE(MID(A729,2,10)),IF(VALUE(MID(A729,2,10))&lt;100,"B0"&amp;VALUE(MID(A729,2,10)),IF(VALUE(MID(A729,2,10))&lt;1000,"B"&amp;VALUE(MID(A729,2,10))))),A729)),"_",IF(NOT(OR(C729=1000,C729&gt;1000)),MID(TEXT((C729+1000)*1000,0),2,6),"keine Meter in Spalte km!!!"),IF(VALUE(I729)=1,CONCATENATE("_",VLOOKUP(IF(V729&gt;0,V729,J729),[1]Grundlage!$A$20:$B$181,2,0)),CONCATENATE("_",B729))))</f>
        <v>UQ_A092_072285_W</v>
      </c>
      <c r="F729" s="2" t="s">
        <v>336</v>
      </c>
      <c r="G729" s="167">
        <f t="shared" si="141"/>
        <v>35969</v>
      </c>
      <c r="H729">
        <f t="shared" si="142"/>
        <v>89</v>
      </c>
      <c r="I729" s="2">
        <f t="shared" si="145"/>
        <v>3</v>
      </c>
      <c r="J729" s="2">
        <f t="shared" si="146"/>
        <v>21</v>
      </c>
      <c r="K729" s="13">
        <v>209</v>
      </c>
      <c r="L729" s="2">
        <f t="shared" si="147"/>
        <v>20</v>
      </c>
      <c r="M729" s="2">
        <f t="shared" si="148"/>
        <v>1</v>
      </c>
      <c r="N729" s="2">
        <f t="shared" si="149"/>
        <v>8</v>
      </c>
      <c r="O729" s="2"/>
      <c r="P729" s="168">
        <v>67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4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19">
        <v>3</v>
      </c>
      <c r="AU729" s="14">
        <v>21</v>
      </c>
      <c r="AV729" s="14">
        <v>15</v>
      </c>
      <c r="AY729" s="19">
        <v>1</v>
      </c>
      <c r="AZ729" s="14">
        <v>8</v>
      </c>
      <c r="BA729" s="14">
        <v>8</v>
      </c>
      <c r="BB729" s="13" t="s">
        <v>336</v>
      </c>
      <c r="BC729" s="16"/>
      <c r="BD729" s="16"/>
      <c r="BE729" s="2"/>
      <c r="BF729" s="13" t="s">
        <v>480</v>
      </c>
    </row>
    <row r="730" spans="1:58" s="13" customFormat="1" ht="14.25" x14ac:dyDescent="0.2">
      <c r="A730" t="str">
        <f t="shared" si="143"/>
        <v>A92</v>
      </c>
      <c r="B730" s="2" t="s">
        <v>657</v>
      </c>
      <c r="C730">
        <f t="shared" si="144"/>
        <v>72.284999999999997</v>
      </c>
      <c r="D730" t="str">
        <f t="shared" si="139"/>
        <v>UFD</v>
      </c>
      <c r="E730" s="169" t="str">
        <f>IF(OR(A730="",B730="",C730=""),"eine der Spalten BAB, FR, km leer?",CONCATENATE(VLOOKUP(VALUE(I730),[1]Grundlage!$A$1:$B$14,2,0),IF(LEFT(A730,1)="A",IF(VALUE(MID(A730,2,10))&lt;10,"A00"&amp;VALUE(MID(A730,2,10)),IF(VALUE(MID(A730,2,10))&lt;100,"A0"&amp;VALUE(MID(A730,2,10)),IF(VALUE(MID(A730,2,10))&lt;1000,"A"&amp;VALUE(MID(A730,2,10))))),IF(LEFT(A730,1)="B",IF(VALUE(MID(A730,2,10))&lt;10,"B00"&amp;VALUE(MID(A730,2,10)),IF(VALUE(MID(A730,2,10))&lt;100,"B0"&amp;VALUE(MID(A730,2,10)),IF(VALUE(MID(A730,2,10))&lt;1000,"B"&amp;VALUE(MID(A730,2,10))))),A730)),"_",IF(NOT(OR(C730=1000,C730&gt;1000)),MID(TEXT((C730+1000)*1000,0),2,6),"keine Meter in Spalte km!!!"),IF(VALUE(I730)=1,CONCATENATE("_",VLOOKUP(IF(V730&gt;0,V730,J730),[1]Grundlage!$A$20:$B$181,2,0)),CONCATENATE("_",B730))))</f>
        <v>UQ_A092_072285_W</v>
      </c>
      <c r="F730" s="2" t="s">
        <v>271</v>
      </c>
      <c r="G730" s="167">
        <f t="shared" si="141"/>
        <v>35969</v>
      </c>
      <c r="H730">
        <f t="shared" si="142"/>
        <v>89</v>
      </c>
      <c r="I730" s="2">
        <f t="shared" si="145"/>
        <v>3</v>
      </c>
      <c r="J730" s="2">
        <f t="shared" si="146"/>
        <v>67</v>
      </c>
      <c r="K730" s="13">
        <v>209</v>
      </c>
      <c r="L730" s="2">
        <f t="shared" si="147"/>
        <v>20</v>
      </c>
      <c r="M730" s="2">
        <f t="shared" si="148"/>
        <v>1</v>
      </c>
      <c r="N730" s="2">
        <f t="shared" si="149"/>
        <v>9</v>
      </c>
      <c r="O730" s="2"/>
      <c r="P730" s="168">
        <f t="shared" si="150"/>
        <v>53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4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19">
        <v>3</v>
      </c>
      <c r="AU730" s="14">
        <v>67</v>
      </c>
      <c r="AV730" s="14">
        <v>43</v>
      </c>
      <c r="AY730" s="19">
        <v>1</v>
      </c>
      <c r="AZ730" s="14">
        <v>9</v>
      </c>
      <c r="BA730" s="34">
        <v>9</v>
      </c>
      <c r="BB730" s="13" t="s">
        <v>271</v>
      </c>
      <c r="BC730" s="16"/>
      <c r="BD730" s="16"/>
      <c r="BE730" s="2"/>
      <c r="BF730" s="13" t="s">
        <v>444</v>
      </c>
    </row>
    <row r="731" spans="1:58" s="13" customFormat="1" ht="14.25" x14ac:dyDescent="0.2">
      <c r="A731" t="str">
        <f t="shared" si="143"/>
        <v>A92</v>
      </c>
      <c r="B731" s="2" t="s">
        <v>657</v>
      </c>
      <c r="C731">
        <f t="shared" si="144"/>
        <v>72.284999999999997</v>
      </c>
      <c r="D731" t="str">
        <f t="shared" si="139"/>
        <v>UFD</v>
      </c>
      <c r="E731" s="169" t="str">
        <f>IF(OR(A731="",B731="",C731=""),"eine der Spalten BAB, FR, km leer?",CONCATENATE(VLOOKUP(VALUE(I731),[1]Grundlage!$A$1:$B$14,2,0),IF(LEFT(A731,1)="A",IF(VALUE(MID(A731,2,10))&lt;10,"A00"&amp;VALUE(MID(A731,2,10)),IF(VALUE(MID(A731,2,10))&lt;100,"A0"&amp;VALUE(MID(A731,2,10)),IF(VALUE(MID(A731,2,10))&lt;1000,"A"&amp;VALUE(MID(A731,2,10))))),IF(LEFT(A731,1)="B",IF(VALUE(MID(A731,2,10))&lt;10,"B00"&amp;VALUE(MID(A731,2,10)),IF(VALUE(MID(A731,2,10))&lt;100,"B0"&amp;VALUE(MID(A731,2,10)),IF(VALUE(MID(A731,2,10))&lt;1000,"B"&amp;VALUE(MID(A731,2,10))))),A731)),"_",IF(NOT(OR(C731=1000,C731&gt;1000)),MID(TEXT((C731+1000)*1000,0),2,6),"keine Meter in Spalte km!!!"),IF(VALUE(I731)=1,CONCATENATE("_",VLOOKUP(IF(V731&gt;0,V731,J731),[1]Grundlage!$A$20:$B$181,2,0)),CONCATENATE("_",B731))))</f>
        <v>UQ_A092_072285_W</v>
      </c>
      <c r="F731" s="2" t="s">
        <v>337</v>
      </c>
      <c r="G731" s="167">
        <f t="shared" si="141"/>
        <v>35969</v>
      </c>
      <c r="H731">
        <f t="shared" si="142"/>
        <v>89</v>
      </c>
      <c r="I731" s="2">
        <f t="shared" si="145"/>
        <v>3</v>
      </c>
      <c r="J731" s="2">
        <f t="shared" si="146"/>
        <v>82</v>
      </c>
      <c r="K731" s="13">
        <v>209</v>
      </c>
      <c r="L731" s="2">
        <f t="shared" si="147"/>
        <v>20</v>
      </c>
      <c r="M731" s="2">
        <f t="shared" si="148"/>
        <v>1</v>
      </c>
      <c r="N731" s="2">
        <f t="shared" si="149"/>
        <v>10</v>
      </c>
      <c r="O731" s="2"/>
      <c r="P731" s="168">
        <v>72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4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19">
        <v>3</v>
      </c>
      <c r="AU731" s="14">
        <v>82</v>
      </c>
      <c r="AV731" s="14">
        <v>52</v>
      </c>
      <c r="AY731" s="19">
        <v>1</v>
      </c>
      <c r="AZ731" s="14">
        <v>10</v>
      </c>
      <c r="BA731" s="34" t="s">
        <v>95</v>
      </c>
      <c r="BB731" s="13" t="s">
        <v>337</v>
      </c>
      <c r="BC731" s="16"/>
      <c r="BD731" s="16"/>
      <c r="BE731" s="2"/>
      <c r="BF731" s="13" t="s">
        <v>481</v>
      </c>
    </row>
    <row r="732" spans="1:58" s="13" customFormat="1" ht="14.25" x14ac:dyDescent="0.2">
      <c r="A732" t="str">
        <f t="shared" si="143"/>
        <v>A92</v>
      </c>
      <c r="B732" s="2" t="s">
        <v>657</v>
      </c>
      <c r="C732">
        <f t="shared" si="144"/>
        <v>72.284999999999997</v>
      </c>
      <c r="D732" t="str">
        <f t="shared" ref="D732:D795" si="151">IF(AJ732="SST","SS",IF(AND(AJ732="",ISTEXT(BF732)),"UFD",""))</f>
        <v>UFD</v>
      </c>
      <c r="E732" s="169" t="str">
        <f>IF(OR(A732="",B732="",C732=""),"eine der Spalten BAB, FR, km leer?",CONCATENATE(VLOOKUP(VALUE(I732),[1]Grundlage!$A$1:$B$14,2,0),IF(LEFT(A732,1)="A",IF(VALUE(MID(A732,2,10))&lt;10,"A00"&amp;VALUE(MID(A732,2,10)),IF(VALUE(MID(A732,2,10))&lt;100,"A0"&amp;VALUE(MID(A732,2,10)),IF(VALUE(MID(A732,2,10))&lt;1000,"A"&amp;VALUE(MID(A732,2,10))))),IF(LEFT(A732,1)="B",IF(VALUE(MID(A732,2,10))&lt;10,"B00"&amp;VALUE(MID(A732,2,10)),IF(VALUE(MID(A732,2,10))&lt;100,"B0"&amp;VALUE(MID(A732,2,10)),IF(VALUE(MID(A732,2,10))&lt;1000,"B"&amp;VALUE(MID(A732,2,10))))),A732)),"_",IF(NOT(OR(C732=1000,C732&gt;1000)),MID(TEXT((C732+1000)*1000,0),2,6),"keine Meter in Spalte km!!!"),IF(VALUE(I732)=1,CONCATENATE("_",VLOOKUP(IF(V732&gt;0,V732,J732),[1]Grundlage!$A$20:$B$181,2,0)),CONCATENATE("_",B732))))</f>
        <v>UQ_A092_072285_W</v>
      </c>
      <c r="F732" s="2" t="s">
        <v>333</v>
      </c>
      <c r="G732" s="167">
        <f t="shared" si="141"/>
        <v>35969</v>
      </c>
      <c r="H732">
        <f t="shared" si="142"/>
        <v>89</v>
      </c>
      <c r="I732" s="2">
        <f t="shared" si="145"/>
        <v>3</v>
      </c>
      <c r="J732" s="2">
        <f t="shared" si="146"/>
        <v>22</v>
      </c>
      <c r="K732" s="13">
        <v>209</v>
      </c>
      <c r="L732" s="2">
        <f t="shared" si="147"/>
        <v>20</v>
      </c>
      <c r="M732" s="2">
        <f t="shared" si="148"/>
        <v>1</v>
      </c>
      <c r="N732" s="2">
        <f t="shared" si="149"/>
        <v>11</v>
      </c>
      <c r="O732" s="2"/>
      <c r="P732" s="168">
        <v>70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4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19">
        <v>3</v>
      </c>
      <c r="AU732" s="14">
        <v>22</v>
      </c>
      <c r="AV732" s="14"/>
      <c r="AY732" s="19">
        <v>1</v>
      </c>
      <c r="AZ732" s="14">
        <v>11</v>
      </c>
      <c r="BA732" s="34" t="s">
        <v>78</v>
      </c>
      <c r="BB732" s="13" t="s">
        <v>333</v>
      </c>
      <c r="BC732" s="30" t="s">
        <v>414</v>
      </c>
      <c r="BD732" s="16"/>
      <c r="BE732" s="2"/>
      <c r="BF732" s="13" t="s">
        <v>570</v>
      </c>
    </row>
    <row r="733" spans="1:58" s="13" customFormat="1" ht="14.25" x14ac:dyDescent="0.2">
      <c r="A733" t="str">
        <f t="shared" si="143"/>
        <v>A92</v>
      </c>
      <c r="B733" s="2" t="s">
        <v>657</v>
      </c>
      <c r="C733">
        <f t="shared" si="144"/>
        <v>72.284999999999997</v>
      </c>
      <c r="D733" t="str">
        <f t="shared" si="151"/>
        <v>UFD</v>
      </c>
      <c r="E733" s="169" t="str">
        <f>IF(OR(A733="",B733="",C733=""),"eine der Spalten BAB, FR, km leer?",CONCATENATE(VLOOKUP(VALUE(I733),[1]Grundlage!$A$1:$B$14,2,0),IF(LEFT(A733,1)="A",IF(VALUE(MID(A733,2,10))&lt;10,"A00"&amp;VALUE(MID(A733,2,10)),IF(VALUE(MID(A733,2,10))&lt;100,"A0"&amp;VALUE(MID(A733,2,10)),IF(VALUE(MID(A733,2,10))&lt;1000,"A"&amp;VALUE(MID(A733,2,10))))),IF(LEFT(A733,1)="B",IF(VALUE(MID(A733,2,10))&lt;10,"B00"&amp;VALUE(MID(A733,2,10)),IF(VALUE(MID(A733,2,10))&lt;100,"B0"&amp;VALUE(MID(A733,2,10)),IF(VALUE(MID(A733,2,10))&lt;1000,"B"&amp;VALUE(MID(A733,2,10))))),A733)),"_",IF(NOT(OR(C733=1000,C733&gt;1000)),MID(TEXT((C733+1000)*1000,0),2,6),"keine Meter in Spalte km!!!"),IF(VALUE(I733)=1,CONCATENATE("_",VLOOKUP(IF(V733&gt;0,V733,J733),[1]Grundlage!$A$20:$B$181,2,0)),CONCATENATE("_",B733))))</f>
        <v>UQ_A092_072285_W</v>
      </c>
      <c r="F733" s="2" t="s">
        <v>27</v>
      </c>
      <c r="G733" s="167">
        <f t="shared" si="141"/>
        <v>35969</v>
      </c>
      <c r="H733">
        <f t="shared" si="142"/>
        <v>89</v>
      </c>
      <c r="I733" s="2">
        <f t="shared" si="145"/>
        <v>3</v>
      </c>
      <c r="J733" s="2">
        <f t="shared" si="146"/>
        <v>23</v>
      </c>
      <c r="K733" s="13">
        <v>209</v>
      </c>
      <c r="L733" s="2">
        <f t="shared" si="147"/>
        <v>20</v>
      </c>
      <c r="M733" s="2">
        <f t="shared" si="148"/>
        <v>1</v>
      </c>
      <c r="N733" s="2">
        <f t="shared" si="149"/>
        <v>12</v>
      </c>
      <c r="O733" s="2"/>
      <c r="P733" s="168">
        <f t="shared" si="150"/>
        <v>66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4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19">
        <v>3</v>
      </c>
      <c r="AU733" s="136">
        <v>23</v>
      </c>
      <c r="AV733" s="136"/>
      <c r="AW733" s="136"/>
      <c r="AX733" s="136"/>
      <c r="AY733" s="78">
        <v>1</v>
      </c>
      <c r="AZ733" s="136">
        <v>12</v>
      </c>
      <c r="BA733" s="136" t="s">
        <v>79</v>
      </c>
      <c r="BB733" s="101" t="s">
        <v>27</v>
      </c>
      <c r="BC733" s="30" t="s">
        <v>414</v>
      </c>
      <c r="BD733" s="16"/>
      <c r="BE733" s="2"/>
      <c r="BF733" s="13" t="s">
        <v>571</v>
      </c>
    </row>
    <row r="734" spans="1:58" s="13" customFormat="1" ht="14.25" x14ac:dyDescent="0.2">
      <c r="A734" t="str">
        <f t="shared" si="143"/>
        <v>A92</v>
      </c>
      <c r="B734" s="2" t="s">
        <v>657</v>
      </c>
      <c r="C734">
        <f t="shared" si="144"/>
        <v>72.284999999999997</v>
      </c>
      <c r="D734" t="str">
        <f t="shared" si="151"/>
        <v>UFD</v>
      </c>
      <c r="E734" s="169" t="str">
        <f>IF(OR(A734="",B734="",C734=""),"eine der Spalten BAB, FR, km leer?",CONCATENATE(VLOOKUP(VALUE(I734),[1]Grundlage!$A$1:$B$14,2,0),IF(LEFT(A734,1)="A",IF(VALUE(MID(A734,2,10))&lt;10,"A00"&amp;VALUE(MID(A734,2,10)),IF(VALUE(MID(A734,2,10))&lt;100,"A0"&amp;VALUE(MID(A734,2,10)),IF(VALUE(MID(A734,2,10))&lt;1000,"A"&amp;VALUE(MID(A734,2,10))))),IF(LEFT(A734,1)="B",IF(VALUE(MID(A734,2,10))&lt;10,"B00"&amp;VALUE(MID(A734,2,10)),IF(VALUE(MID(A734,2,10))&lt;100,"B0"&amp;VALUE(MID(A734,2,10)),IF(VALUE(MID(A734,2,10))&lt;1000,"B"&amp;VALUE(MID(A734,2,10))))),A734)),"_",IF(NOT(OR(C734=1000,C734&gt;1000)),MID(TEXT((C734+1000)*1000,0),2,6),"keine Meter in Spalte km!!!"),IF(VALUE(I734)=1,CONCATENATE("_",VLOOKUP(IF(V734&gt;0,V734,J734),[1]Grundlage!$A$20:$B$181,2,0)),CONCATENATE("_",B734))))</f>
        <v>UQ_A092_072285_W</v>
      </c>
      <c r="F734" s="2" t="s">
        <v>335</v>
      </c>
      <c r="G734" s="167">
        <f t="shared" si="141"/>
        <v>35969</v>
      </c>
      <c r="H734">
        <f t="shared" si="142"/>
        <v>89</v>
      </c>
      <c r="I734" s="2">
        <f t="shared" si="145"/>
        <v>3</v>
      </c>
      <c r="J734" s="2">
        <f t="shared" si="146"/>
        <v>25</v>
      </c>
      <c r="K734" s="13">
        <v>209</v>
      </c>
      <c r="L734" s="2">
        <f t="shared" si="147"/>
        <v>20</v>
      </c>
      <c r="M734" s="2">
        <f t="shared" si="148"/>
        <v>1</v>
      </c>
      <c r="N734" s="2">
        <f t="shared" si="149"/>
        <v>13</v>
      </c>
      <c r="O734" s="2"/>
      <c r="P734" s="168">
        <v>49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4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19">
        <v>3</v>
      </c>
      <c r="AU734" s="14">
        <v>25</v>
      </c>
      <c r="AV734" s="14"/>
      <c r="AY734" s="19">
        <v>1</v>
      </c>
      <c r="AZ734" s="14">
        <v>13</v>
      </c>
      <c r="BA734" s="34" t="s">
        <v>80</v>
      </c>
      <c r="BB734" s="13" t="s">
        <v>335</v>
      </c>
      <c r="BC734" s="30" t="s">
        <v>413</v>
      </c>
      <c r="BD734" s="16"/>
      <c r="BE734" s="2"/>
      <c r="BF734" s="13" t="s">
        <v>572</v>
      </c>
    </row>
    <row r="735" spans="1:58" s="13" customFormat="1" ht="14.25" x14ac:dyDescent="0.2">
      <c r="A735" t="str">
        <f t="shared" si="143"/>
        <v>A92</v>
      </c>
      <c r="B735" s="2" t="s">
        <v>657</v>
      </c>
      <c r="C735">
        <f t="shared" si="144"/>
        <v>72.284999999999997</v>
      </c>
      <c r="D735" t="str">
        <f t="shared" si="151"/>
        <v>UFD</v>
      </c>
      <c r="E735" s="169" t="str">
        <f>IF(OR(A735="",B735="",C735=""),"eine der Spalten BAB, FR, km leer?",CONCATENATE(VLOOKUP(VALUE(I735),[1]Grundlage!$A$1:$B$14,2,0),IF(LEFT(A735,1)="A",IF(VALUE(MID(A735,2,10))&lt;10,"A00"&amp;VALUE(MID(A735,2,10)),IF(VALUE(MID(A735,2,10))&lt;100,"A0"&amp;VALUE(MID(A735,2,10)),IF(VALUE(MID(A735,2,10))&lt;1000,"A"&amp;VALUE(MID(A735,2,10))))),IF(LEFT(A735,1)="B",IF(VALUE(MID(A735,2,10))&lt;10,"B00"&amp;VALUE(MID(A735,2,10)),IF(VALUE(MID(A735,2,10))&lt;100,"B0"&amp;VALUE(MID(A735,2,10)),IF(VALUE(MID(A735,2,10))&lt;1000,"B"&amp;VALUE(MID(A735,2,10))))),A735)),"_",IF(NOT(OR(C735=1000,C735&gt;1000)),MID(TEXT((C735+1000)*1000,0),2,6),"keine Meter in Spalte km!!!"),IF(VALUE(I735)=1,CONCATENATE("_",VLOOKUP(IF(V735&gt;0,V735,J735),[1]Grundlage!$A$20:$B$181,2,0)),CONCATENATE("_",B735))))</f>
        <v>UQ_A092_072285_W</v>
      </c>
      <c r="F735" s="2" t="s">
        <v>337</v>
      </c>
      <c r="G735" s="167">
        <f t="shared" si="141"/>
        <v>35969</v>
      </c>
      <c r="H735">
        <f t="shared" si="142"/>
        <v>89</v>
      </c>
      <c r="I735" s="2">
        <f t="shared" si="145"/>
        <v>3</v>
      </c>
      <c r="J735" s="2">
        <f t="shared" si="146"/>
        <v>102</v>
      </c>
      <c r="K735" s="13">
        <v>209</v>
      </c>
      <c r="L735" s="2">
        <f t="shared" si="147"/>
        <v>20</v>
      </c>
      <c r="M735" s="2">
        <f t="shared" si="148"/>
        <v>1</v>
      </c>
      <c r="N735" s="2">
        <f t="shared" si="149"/>
        <v>14</v>
      </c>
      <c r="O735" s="2"/>
      <c r="P735" s="168">
        <v>72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4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19">
        <v>3</v>
      </c>
      <c r="AU735" s="14">
        <v>102</v>
      </c>
      <c r="AV735" s="14"/>
      <c r="AY735" s="19">
        <v>1</v>
      </c>
      <c r="AZ735" s="14">
        <v>14</v>
      </c>
      <c r="BA735" s="34" t="s">
        <v>81</v>
      </c>
      <c r="BB735" s="13" t="s">
        <v>337</v>
      </c>
      <c r="BC735" s="30" t="s">
        <v>414</v>
      </c>
      <c r="BD735" s="16"/>
      <c r="BE735" s="2"/>
      <c r="BF735" s="13" t="s">
        <v>573</v>
      </c>
    </row>
    <row r="736" spans="1:58" ht="15" thickBot="1" x14ac:dyDescent="0.25">
      <c r="A736" t="str">
        <f t="shared" si="143"/>
        <v>A92</v>
      </c>
      <c r="C736">
        <f t="shared" si="144"/>
        <v>72.284999999999997</v>
      </c>
      <c r="D736" t="str">
        <f t="shared" si="151"/>
        <v/>
      </c>
      <c r="E736" s="169" t="str">
        <f>IF(OR(A736="",B736="",C736=""),"",CONCATENATE(VLOOKUP(VALUE(I736),[1]Grundlage!$A$1:$B$14,2,0),IF(LEFT(A736,1)="A",IF(VALUE(MID(A736,2,10))&lt;10,"A00"&amp;VALUE(MID(A736,2,10)),IF(VALUE(MID(A736,2,10))&lt;100,"A0"&amp;VALUE(MID(A736,2,10)),IF(VALUE(MID(A736,2,10))&lt;1000,"A"&amp;VALUE(MID(A736,2,10))))),IF(LEFT(A736,1)="B",IF(VALUE(MID(A736,2,10))&lt;10,"B00"&amp;VALUE(MID(A736,2,10)),IF(VALUE(MID(A736,2,10))&lt;100,"B0"&amp;VALUE(MID(A736,2,10)),IF(VALUE(MID(A736,2,10))&lt;1000,"B"&amp;VALUE(MID(A736,2,10))))),A736)),"_",IF(NOT(OR(C736=1000,C736&gt;1000)),MID(TEXT((C736+1000)*1000,0),2,6),"keine Meter in Spalte km!!!"),IF(VALUE(I736)=1,CONCATENATE("_",VLOOKUP(IF(V736&gt;0,V736,J736),[1]Grundlage!$A$20:$B$181,2,0)),CONCATENATE("_",B736))))</f>
        <v/>
      </c>
      <c r="F736" s="2" t="s">
        <v>669</v>
      </c>
      <c r="G736" s="167">
        <f t="shared" si="141"/>
        <v>35969</v>
      </c>
      <c r="H736">
        <f t="shared" si="142"/>
        <v>89</v>
      </c>
      <c r="I736" s="2">
        <f t="shared" si="145"/>
        <v>0</v>
      </c>
      <c r="J736" s="2">
        <f t="shared" si="146"/>
        <v>0</v>
      </c>
      <c r="K736" s="13">
        <v>209</v>
      </c>
      <c r="L736" s="2">
        <f t="shared" si="147"/>
        <v>20</v>
      </c>
      <c r="M736" s="2" t="str">
        <f t="shared" si="148"/>
        <v/>
      </c>
      <c r="N736" s="2" t="str">
        <f t="shared" si="149"/>
        <v/>
      </c>
      <c r="P736" s="168" t="str">
        <f t="shared" si="150"/>
        <v/>
      </c>
    </row>
    <row r="737" spans="1:58" ht="15.75" thickTop="1" thickBot="1" x14ac:dyDescent="0.25">
      <c r="A737" t="str">
        <f t="shared" si="143"/>
        <v>Pentling</v>
      </c>
      <c r="C737">
        <f t="shared" si="144"/>
        <v>72.284999999999997</v>
      </c>
      <c r="D737" t="str">
        <f t="shared" si="151"/>
        <v/>
      </c>
      <c r="E737" s="169" t="str">
        <f>IF(OR(A737="",B737="",C737=""),"",CONCATENATE(VLOOKUP(VALUE(I737),[1]Grundlage!$A$1:$B$14,2,0),IF(LEFT(A737,1)="A",IF(VALUE(MID(A737,2,10))&lt;10,"A00"&amp;VALUE(MID(A737,2,10)),IF(VALUE(MID(A737,2,10))&lt;100,"A0"&amp;VALUE(MID(A737,2,10)),IF(VALUE(MID(A737,2,10))&lt;1000,"A"&amp;VALUE(MID(A737,2,10))))),IF(LEFT(A737,1)="B",IF(VALUE(MID(A737,2,10))&lt;10,"B00"&amp;VALUE(MID(A737,2,10)),IF(VALUE(MID(A737,2,10))&lt;100,"B0"&amp;VALUE(MID(A737,2,10)),IF(VALUE(MID(A737,2,10))&lt;1000,"B"&amp;VALUE(MID(A737,2,10))))),A737)),"_",IF(NOT(OR(C737=1000,C737&gt;1000)),MID(TEXT((C737+1000)*1000,0),2,6),"keine Meter in Spalte km!!!"),IF(VALUE(I737)=1,CONCATENATE("_",VLOOKUP(IF(V737&gt;0,V737,J737),[1]Grundlage!$A$20:$B$181,2,0)),CONCATENATE("_",B737))))</f>
        <v/>
      </c>
      <c r="F737" s="2" t="s">
        <v>669</v>
      </c>
      <c r="G737" s="167">
        <f t="shared" si="141"/>
        <v>35969</v>
      </c>
      <c r="H737">
        <f t="shared" si="142"/>
        <v>89</v>
      </c>
      <c r="I737" s="2">
        <f t="shared" si="145"/>
        <v>0</v>
      </c>
      <c r="J737" s="2">
        <f t="shared" si="146"/>
        <v>0</v>
      </c>
      <c r="L737" s="2">
        <f t="shared" si="147"/>
        <v>20</v>
      </c>
      <c r="M737" s="2" t="str">
        <f t="shared" si="148"/>
        <v/>
      </c>
      <c r="N737" s="2" t="str">
        <f t="shared" si="149"/>
        <v/>
      </c>
      <c r="P737" s="168" t="str">
        <f t="shared" si="150"/>
        <v/>
      </c>
      <c r="AI737" s="48"/>
      <c r="AJ737" s="49" t="s">
        <v>17</v>
      </c>
      <c r="AK737" s="49" t="s">
        <v>61</v>
      </c>
      <c r="AL737" s="49"/>
      <c r="AM737" s="49"/>
      <c r="AN737" s="49"/>
      <c r="AO737" s="49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1"/>
      <c r="BD737" s="51"/>
      <c r="BE737" s="50"/>
    </row>
    <row r="738" spans="1:58" ht="15" thickTop="1" x14ac:dyDescent="0.2">
      <c r="A738" t="str">
        <f t="shared" si="143"/>
        <v>Pentling</v>
      </c>
      <c r="C738">
        <f t="shared" si="144"/>
        <v>72.284999999999997</v>
      </c>
      <c r="D738" t="str">
        <f t="shared" si="151"/>
        <v/>
      </c>
      <c r="E738" s="169" t="str">
        <f>IF(OR(A738="",B738="",C738=""),"",CONCATENATE(VLOOKUP(VALUE(I738),[1]Grundlage!$A$1:$B$14,2,0),IF(LEFT(A738,1)="A",IF(VALUE(MID(A738,2,10))&lt;10,"A00"&amp;VALUE(MID(A738,2,10)),IF(VALUE(MID(A738,2,10))&lt;100,"A0"&amp;VALUE(MID(A738,2,10)),IF(VALUE(MID(A738,2,10))&lt;1000,"A"&amp;VALUE(MID(A738,2,10))))),IF(LEFT(A738,1)="B",IF(VALUE(MID(A738,2,10))&lt;10,"B00"&amp;VALUE(MID(A738,2,10)),IF(VALUE(MID(A738,2,10))&lt;100,"B0"&amp;VALUE(MID(A738,2,10)),IF(VALUE(MID(A738,2,10))&lt;1000,"B"&amp;VALUE(MID(A738,2,10))))),A738)),"_",IF(NOT(OR(C738=1000,C738&gt;1000)),MID(TEXT((C738+1000)*1000,0),2,6),"keine Meter in Spalte km!!!"),IF(VALUE(I738)=1,CONCATENATE("_",VLOOKUP(IF(V738&gt;0,V738,J738),[1]Grundlage!$A$20:$B$181,2,0)),CONCATENATE("_",B738))))</f>
        <v/>
      </c>
      <c r="F738" s="2" t="s">
        <v>669</v>
      </c>
      <c r="G738" s="167">
        <f t="shared" si="141"/>
        <v>35969</v>
      </c>
      <c r="H738">
        <f t="shared" si="142"/>
        <v>89</v>
      </c>
      <c r="I738" s="2">
        <f t="shared" si="145"/>
        <v>0</v>
      </c>
      <c r="J738" s="2">
        <f t="shared" si="146"/>
        <v>0</v>
      </c>
      <c r="L738" s="2">
        <f t="shared" si="147"/>
        <v>20</v>
      </c>
      <c r="M738" s="2" t="str">
        <f t="shared" si="148"/>
        <v/>
      </c>
      <c r="N738" s="2" t="str">
        <f t="shared" si="149"/>
        <v/>
      </c>
      <c r="P738" s="168" t="str">
        <f t="shared" si="150"/>
        <v/>
      </c>
    </row>
    <row r="739" spans="1:58" s="152" customFormat="1" ht="14.25" x14ac:dyDescent="0.2">
      <c r="A739" s="160" t="str">
        <f t="shared" si="143"/>
        <v>A3</v>
      </c>
      <c r="B739" s="152" t="s">
        <v>656</v>
      </c>
      <c r="C739" s="160">
        <f t="shared" si="144"/>
        <v>473.8</v>
      </c>
      <c r="D739" s="160"/>
      <c r="E739" s="170" t="str">
        <f>IF(OR(A739="",B739="",C739=""),"eine der Spalten BAB, FR, km leer?",CONCATENATE(VLOOKUP(VALUE(I739),[1]Grundlage!$A$1:$B$14,2,0),IF(LEFT(A739,1)="A",IF(VALUE(MID(A739,2,10))&lt;10,"A00"&amp;VALUE(MID(A739,2,10)),IF(VALUE(MID(A739,2,10))&lt;100,"A0"&amp;VALUE(MID(A739,2,10)),IF(VALUE(MID(A739,2,10))&lt;1000,"A"&amp;VALUE(MID(A739,2,10))))),IF(LEFT(A739,1)="B",IF(VALUE(MID(A739,2,10))&lt;10,"B00"&amp;VALUE(MID(A739,2,10)),IF(VALUE(MID(A739,2,10))&lt;100,"B0"&amp;VALUE(MID(A739,2,10)),IF(VALUE(MID(A739,2,10))&lt;1000,"B"&amp;VALUE(MID(A739,2,10))))),A739)),"_",IF(NOT(OR(C739=1000,C739&gt;1000)),MID(TEXT((C739+1000)*1000,0),2,6),"keine Meter in Spalte km!!!"),IF(VALUE(I739)=1,CONCATENATE("_",VLOOKUP(IF(V739&gt;0,V739,J739),[1]Grundlage!$A$20:$B$181,2,0)),CONCATENATE("_",B739))))</f>
        <v>SSt_A003_473800_N</v>
      </c>
      <c r="F739" s="152" t="s">
        <v>67</v>
      </c>
      <c r="G739" s="171">
        <f t="shared" si="141"/>
        <v>1236</v>
      </c>
      <c r="H739" s="160">
        <f t="shared" si="142"/>
        <v>18</v>
      </c>
      <c r="I739" s="152">
        <f t="shared" si="145"/>
        <v>0</v>
      </c>
      <c r="J739" s="152">
        <f t="shared" si="146"/>
        <v>0</v>
      </c>
      <c r="K739" s="152">
        <f t="shared" si="147"/>
        <v>201</v>
      </c>
      <c r="L739" s="152">
        <f t="shared" si="147"/>
        <v>3</v>
      </c>
      <c r="M739" s="152">
        <f t="shared" si="148"/>
        <v>3</v>
      </c>
      <c r="N739" s="152" t="str">
        <f t="shared" si="149"/>
        <v/>
      </c>
      <c r="P739" s="172" t="str">
        <f t="shared" si="150"/>
        <v/>
      </c>
      <c r="AI739" s="173">
        <v>473.8</v>
      </c>
      <c r="AJ739" s="148" t="s">
        <v>19</v>
      </c>
      <c r="AK739" s="148" t="s">
        <v>62</v>
      </c>
      <c r="AL739" s="148"/>
      <c r="AM739" s="148"/>
      <c r="AN739" s="148"/>
      <c r="AO739" s="148"/>
      <c r="AP739" s="147">
        <v>316434</v>
      </c>
      <c r="AQ739" s="182" t="s">
        <v>234</v>
      </c>
      <c r="AR739" s="147" t="s">
        <v>250</v>
      </c>
      <c r="AS739" s="147">
        <v>12</v>
      </c>
      <c r="AT739" s="148"/>
      <c r="AU739" s="148"/>
      <c r="AV739" s="148"/>
      <c r="AW739" s="148">
        <v>201</v>
      </c>
      <c r="AX739" s="148">
        <v>3</v>
      </c>
      <c r="AY739" s="148">
        <v>3</v>
      </c>
      <c r="AZ739" s="148"/>
      <c r="BA739" s="148"/>
      <c r="BB739" s="149" t="s">
        <v>67</v>
      </c>
      <c r="BC739" s="150"/>
      <c r="BD739" s="158" t="s">
        <v>163</v>
      </c>
      <c r="BE739" s="152" t="s">
        <v>68</v>
      </c>
      <c r="BF739" s="152" t="s">
        <v>564</v>
      </c>
    </row>
    <row r="740" spans="1:58" s="152" customFormat="1" ht="14.25" x14ac:dyDescent="0.2">
      <c r="A740" s="160" t="str">
        <f t="shared" si="143"/>
        <v>A3</v>
      </c>
      <c r="B740" s="152" t="s">
        <v>656</v>
      </c>
      <c r="C740" s="160">
        <f t="shared" si="144"/>
        <v>473.8</v>
      </c>
      <c r="D740" s="160"/>
      <c r="E740" s="170" t="str">
        <f>IF(OR(A740="",B740="",C740=""),"eine der Spalten BAB, FR, km leer?",CONCATENATE(VLOOKUP(VALUE(I740),[1]Grundlage!$A$1:$B$14,2,0),IF(LEFT(A740,1)="A",IF(VALUE(MID(A740,2,10))&lt;10,"A00"&amp;VALUE(MID(A740,2,10)),IF(VALUE(MID(A740,2,10))&lt;100,"A0"&amp;VALUE(MID(A740,2,10)),IF(VALUE(MID(A740,2,10))&lt;1000,"A"&amp;VALUE(MID(A740,2,10))))),IF(LEFT(A740,1)="B",IF(VALUE(MID(A740,2,10))&lt;10,"B00"&amp;VALUE(MID(A740,2,10)),IF(VALUE(MID(A740,2,10))&lt;100,"B0"&amp;VALUE(MID(A740,2,10)),IF(VALUE(MID(A740,2,10))&lt;1000,"B"&amp;VALUE(MID(A740,2,10))))),A740)),"_",IF(NOT(OR(C740=1000,C740&gt;1000)),MID(TEXT((C740+1000)*1000,0),2,6),"keine Meter in Spalte km!!!"),IF(VALUE(I740)=1,CONCATENATE("_",VLOOKUP(IF(V740&gt;0,V740,J740),[1]Grundlage!$A$20:$B$181,2,0)),CONCATENATE("_",B740))))</f>
        <v>UQ_A003_473800_N</v>
      </c>
      <c r="F740" s="152" t="s">
        <v>269</v>
      </c>
      <c r="G740" s="171">
        <f t="shared" si="141"/>
        <v>1236</v>
      </c>
      <c r="H740" s="160">
        <f t="shared" si="142"/>
        <v>18</v>
      </c>
      <c r="I740" s="152">
        <f t="shared" si="145"/>
        <v>3</v>
      </c>
      <c r="J740" s="152">
        <f t="shared" si="146"/>
        <v>6</v>
      </c>
      <c r="K740" s="152">
        <f t="shared" si="147"/>
        <v>201</v>
      </c>
      <c r="L740" s="152">
        <f t="shared" si="147"/>
        <v>3</v>
      </c>
      <c r="M740" s="152">
        <f t="shared" si="148"/>
        <v>1</v>
      </c>
      <c r="N740" s="152">
        <f t="shared" si="149"/>
        <v>1</v>
      </c>
      <c r="P740" s="172">
        <f t="shared" si="150"/>
        <v>71</v>
      </c>
      <c r="AI740" s="154"/>
      <c r="AP740" s="147"/>
      <c r="AQ740" s="147"/>
      <c r="AR740" s="147"/>
      <c r="AS740" s="147"/>
      <c r="AT740" s="148">
        <v>3</v>
      </c>
      <c r="AU740" s="155">
        <v>6</v>
      </c>
      <c r="AV740" s="156">
        <v>6</v>
      </c>
      <c r="AW740" s="148"/>
      <c r="AX740" s="148"/>
      <c r="AY740" s="148">
        <v>1</v>
      </c>
      <c r="AZ740" s="155">
        <v>1</v>
      </c>
      <c r="BA740" s="178">
        <v>1</v>
      </c>
      <c r="BB740" s="159" t="s">
        <v>269</v>
      </c>
      <c r="BC740" s="150"/>
      <c r="BD740" s="150"/>
      <c r="BF740" s="152" t="s">
        <v>440</v>
      </c>
    </row>
    <row r="741" spans="1:58" s="152" customFormat="1" ht="14.25" x14ac:dyDescent="0.2">
      <c r="A741" s="160" t="str">
        <f t="shared" si="143"/>
        <v>A3</v>
      </c>
      <c r="B741" s="152" t="s">
        <v>656</v>
      </c>
      <c r="C741" s="160">
        <f t="shared" si="144"/>
        <v>473.8</v>
      </c>
      <c r="D741" s="160"/>
      <c r="E741" s="170" t="str">
        <f>IF(OR(A741="",B741="",C741=""),"eine der Spalten BAB, FR, km leer?",CONCATENATE(VLOOKUP(VALUE(I741),[1]Grundlage!$A$1:$B$14,2,0),IF(LEFT(A741,1)="A",IF(VALUE(MID(A741,2,10))&lt;10,"A00"&amp;VALUE(MID(A741,2,10)),IF(VALUE(MID(A741,2,10))&lt;100,"A0"&amp;VALUE(MID(A741,2,10)),IF(VALUE(MID(A741,2,10))&lt;1000,"A"&amp;VALUE(MID(A741,2,10))))),IF(LEFT(A741,1)="B",IF(VALUE(MID(A741,2,10))&lt;10,"B00"&amp;VALUE(MID(A741,2,10)),IF(VALUE(MID(A741,2,10))&lt;100,"B0"&amp;VALUE(MID(A741,2,10)),IF(VALUE(MID(A741,2,10))&lt;1000,"B"&amp;VALUE(MID(A741,2,10))))),A741)),"_",IF(NOT(OR(C741=1000,C741&gt;1000)),MID(TEXT((C741+1000)*1000,0),2,6),"keine Meter in Spalte km!!!"),IF(VALUE(I741)=1,CONCATENATE("_",VLOOKUP(IF(V741&gt;0,V741,J741),[1]Grundlage!$A$20:$B$181,2,0)),CONCATENATE("_",B741))))</f>
        <v>UQ_A003_473800_N</v>
      </c>
      <c r="F741" s="152" t="s">
        <v>270</v>
      </c>
      <c r="G741" s="171">
        <f t="shared" si="141"/>
        <v>1236</v>
      </c>
      <c r="H741" s="160">
        <f t="shared" si="142"/>
        <v>18</v>
      </c>
      <c r="I741" s="152">
        <f t="shared" si="145"/>
        <v>3</v>
      </c>
      <c r="J741" s="152">
        <f t="shared" si="146"/>
        <v>11</v>
      </c>
      <c r="K741" s="152">
        <f t="shared" si="147"/>
        <v>201</v>
      </c>
      <c r="L741" s="152">
        <f t="shared" si="147"/>
        <v>3</v>
      </c>
      <c r="M741" s="152">
        <f t="shared" si="148"/>
        <v>1</v>
      </c>
      <c r="N741" s="152">
        <f t="shared" si="149"/>
        <v>2</v>
      </c>
      <c r="P741" s="172">
        <f t="shared" si="150"/>
        <v>70</v>
      </c>
      <c r="AI741" s="154"/>
      <c r="AT741" s="148">
        <v>3</v>
      </c>
      <c r="AU741" s="155">
        <v>11</v>
      </c>
      <c r="AV741" s="155" t="s">
        <v>78</v>
      </c>
      <c r="AY741" s="148">
        <v>1</v>
      </c>
      <c r="AZ741" s="155">
        <v>2</v>
      </c>
      <c r="BA741" s="155">
        <v>2</v>
      </c>
      <c r="BB741" s="159" t="s">
        <v>270</v>
      </c>
      <c r="BC741" s="150"/>
      <c r="BD741" s="150"/>
      <c r="BF741" s="152" t="s">
        <v>565</v>
      </c>
    </row>
    <row r="742" spans="1:58" s="152" customFormat="1" ht="14.25" x14ac:dyDescent="0.2">
      <c r="A742" s="160" t="str">
        <f t="shared" si="143"/>
        <v>A3</v>
      </c>
      <c r="B742" s="152" t="s">
        <v>656</v>
      </c>
      <c r="C742" s="160">
        <f t="shared" si="144"/>
        <v>473.8</v>
      </c>
      <c r="D742" s="160"/>
      <c r="E742" s="170" t="str">
        <f>IF(OR(A742="",B742="",C742=""),"eine der Spalten BAB, FR, km leer?",CONCATENATE(VLOOKUP(VALUE(I742),[1]Grundlage!$A$1:$B$14,2,0),IF(LEFT(A742,1)="A",IF(VALUE(MID(A742,2,10))&lt;10,"A00"&amp;VALUE(MID(A742,2,10)),IF(VALUE(MID(A742,2,10))&lt;100,"A0"&amp;VALUE(MID(A742,2,10)),IF(VALUE(MID(A742,2,10))&lt;1000,"A"&amp;VALUE(MID(A742,2,10))))),IF(LEFT(A742,1)="B",IF(VALUE(MID(A742,2,10))&lt;10,"B00"&amp;VALUE(MID(A742,2,10)),IF(VALUE(MID(A742,2,10))&lt;100,"B0"&amp;VALUE(MID(A742,2,10)),IF(VALUE(MID(A742,2,10))&lt;1000,"B"&amp;VALUE(MID(A742,2,10))))),A742)),"_",IF(NOT(OR(C742=1000,C742&gt;1000)),MID(TEXT((C742+1000)*1000,0),2,6),"keine Meter in Spalte km!!!"),IF(VALUE(I742)=1,CONCATENATE("_",VLOOKUP(IF(V742&gt;0,V742,J742),[1]Grundlage!$A$20:$B$181,2,0)),CONCATENATE("_",B742))))</f>
        <v>UQ_A003_473800_N</v>
      </c>
      <c r="F742" s="152" t="s">
        <v>25</v>
      </c>
      <c r="G742" s="171">
        <f t="shared" si="141"/>
        <v>1236</v>
      </c>
      <c r="H742" s="160">
        <f t="shared" si="142"/>
        <v>18</v>
      </c>
      <c r="I742" s="152">
        <f t="shared" si="145"/>
        <v>3</v>
      </c>
      <c r="J742" s="152">
        <f t="shared" si="146"/>
        <v>12</v>
      </c>
      <c r="K742" s="152">
        <f t="shared" si="147"/>
        <v>201</v>
      </c>
      <c r="L742" s="152">
        <f t="shared" si="147"/>
        <v>3</v>
      </c>
      <c r="M742" s="152">
        <f t="shared" si="148"/>
        <v>1</v>
      </c>
      <c r="N742" s="152">
        <f t="shared" si="149"/>
        <v>3</v>
      </c>
      <c r="P742" s="172">
        <f t="shared" si="150"/>
        <v>48</v>
      </c>
      <c r="AI742" s="154"/>
      <c r="AT742" s="148">
        <v>3</v>
      </c>
      <c r="AU742" s="155">
        <v>12</v>
      </c>
      <c r="AV742" s="155" t="s">
        <v>79</v>
      </c>
      <c r="AY742" s="148">
        <v>1</v>
      </c>
      <c r="AZ742" s="155">
        <v>3</v>
      </c>
      <c r="BA742" s="155">
        <v>3</v>
      </c>
      <c r="BB742" s="152" t="s">
        <v>25</v>
      </c>
      <c r="BC742" s="150"/>
      <c r="BD742" s="150"/>
      <c r="BF742" s="152" t="s">
        <v>441</v>
      </c>
    </row>
    <row r="743" spans="1:58" s="152" customFormat="1" ht="14.25" x14ac:dyDescent="0.2">
      <c r="A743" s="160" t="str">
        <f t="shared" si="143"/>
        <v>A3</v>
      </c>
      <c r="B743" s="152" t="s">
        <v>656</v>
      </c>
      <c r="C743" s="160">
        <f t="shared" si="144"/>
        <v>473.8</v>
      </c>
      <c r="D743" s="160"/>
      <c r="E743" s="170" t="str">
        <f>IF(OR(A743="",B743="",C743=""),"eine der Spalten BAB, FR, km leer?",CONCATENATE(VLOOKUP(VALUE(I743),[1]Grundlage!$A$1:$B$14,2,0),IF(LEFT(A743,1)="A",IF(VALUE(MID(A743,2,10))&lt;10,"A00"&amp;VALUE(MID(A743,2,10)),IF(VALUE(MID(A743,2,10))&lt;100,"A0"&amp;VALUE(MID(A743,2,10)),IF(VALUE(MID(A743,2,10))&lt;1000,"A"&amp;VALUE(MID(A743,2,10))))),IF(LEFT(A743,1)="B",IF(VALUE(MID(A743,2,10))&lt;10,"B00"&amp;VALUE(MID(A743,2,10)),IF(VALUE(MID(A743,2,10))&lt;100,"B0"&amp;VALUE(MID(A743,2,10)),IF(VALUE(MID(A743,2,10))&lt;1000,"B"&amp;VALUE(MID(A743,2,10))))),A743)),"_",IF(NOT(OR(C743=1000,C743&gt;1000)),MID(TEXT((C743+1000)*1000,0),2,6),"keine Meter in Spalte km!!!"),IF(VALUE(I743)=1,CONCATENATE("_",VLOOKUP(IF(V743&gt;0,V743,J743),[1]Grundlage!$A$20:$B$181,2,0)),CONCATENATE("_",B743))))</f>
        <v>UQ_A003_473800_N</v>
      </c>
      <c r="F743" s="152" t="s">
        <v>26</v>
      </c>
      <c r="G743" s="171">
        <f t="shared" ref="G743:G806" si="152">IF(ISBLANK(AP743),G742,INT(AP743/256))</f>
        <v>1236</v>
      </c>
      <c r="H743" s="160">
        <f t="shared" ref="H743:H806" si="153">IF(ISBLANK(AP743),H742,MOD(AP743,256))</f>
        <v>18</v>
      </c>
      <c r="I743" s="152">
        <f t="shared" si="145"/>
        <v>3</v>
      </c>
      <c r="J743" s="152">
        <f t="shared" si="146"/>
        <v>13</v>
      </c>
      <c r="K743" s="152">
        <f t="shared" si="147"/>
        <v>201</v>
      </c>
      <c r="L743" s="152">
        <f t="shared" si="147"/>
        <v>3</v>
      </c>
      <c r="M743" s="152">
        <f t="shared" si="148"/>
        <v>1</v>
      </c>
      <c r="N743" s="152">
        <f t="shared" si="149"/>
        <v>4</v>
      </c>
      <c r="P743" s="172">
        <f t="shared" si="150"/>
        <v>55</v>
      </c>
      <c r="AI743" s="154"/>
      <c r="AT743" s="148">
        <v>3</v>
      </c>
      <c r="AU743" s="155">
        <v>13</v>
      </c>
      <c r="AV743" s="155" t="s">
        <v>80</v>
      </c>
      <c r="AY743" s="148">
        <v>1</v>
      </c>
      <c r="AZ743" s="155">
        <v>4</v>
      </c>
      <c r="BA743" s="155">
        <v>4</v>
      </c>
      <c r="BB743" s="152" t="s">
        <v>26</v>
      </c>
      <c r="BC743" s="150"/>
      <c r="BD743" s="150"/>
      <c r="BF743" s="152" t="s">
        <v>442</v>
      </c>
    </row>
    <row r="744" spans="1:58" s="152" customFormat="1" ht="14.25" x14ac:dyDescent="0.2">
      <c r="A744" s="160" t="str">
        <f t="shared" si="143"/>
        <v>A3</v>
      </c>
      <c r="B744" s="152" t="s">
        <v>656</v>
      </c>
      <c r="C744" s="160">
        <f t="shared" si="144"/>
        <v>473.8</v>
      </c>
      <c r="D744" s="160"/>
      <c r="E744" s="170" t="str">
        <f>IF(OR(A744="",B744="",C744=""),"eine der Spalten BAB, FR, km leer?",CONCATENATE(VLOOKUP(VALUE(I744),[1]Grundlage!$A$1:$B$14,2,0),IF(LEFT(A744,1)="A",IF(VALUE(MID(A744,2,10))&lt;10,"A00"&amp;VALUE(MID(A744,2,10)),IF(VALUE(MID(A744,2,10))&lt;100,"A0"&amp;VALUE(MID(A744,2,10)),IF(VALUE(MID(A744,2,10))&lt;1000,"A"&amp;VALUE(MID(A744,2,10))))),IF(LEFT(A744,1)="B",IF(VALUE(MID(A744,2,10))&lt;10,"B00"&amp;VALUE(MID(A744,2,10)),IF(VALUE(MID(A744,2,10))&lt;100,"B0"&amp;VALUE(MID(A744,2,10)),IF(VALUE(MID(A744,2,10))&lt;1000,"B"&amp;VALUE(MID(A744,2,10))))),A744)),"_",IF(NOT(OR(C744=1000,C744&gt;1000)),MID(TEXT((C744+1000)*1000,0),2,6),"keine Meter in Spalte km!!!"),IF(VALUE(I744)=1,CONCATENATE("_",VLOOKUP(IF(V744&gt;0,V744,J744),[1]Grundlage!$A$20:$B$181,2,0)),CONCATENATE("_",B744))))</f>
        <v>UQ_A003_473800_N</v>
      </c>
      <c r="F744" s="152" t="s">
        <v>27</v>
      </c>
      <c r="G744" s="171">
        <f t="shared" si="152"/>
        <v>1236</v>
      </c>
      <c r="H744" s="160">
        <f t="shared" si="153"/>
        <v>18</v>
      </c>
      <c r="I744" s="152">
        <f t="shared" si="145"/>
        <v>3</v>
      </c>
      <c r="J744" s="152">
        <f t="shared" si="146"/>
        <v>14</v>
      </c>
      <c r="K744" s="152">
        <f t="shared" si="147"/>
        <v>201</v>
      </c>
      <c r="L744" s="152">
        <f t="shared" si="147"/>
        <v>3</v>
      </c>
      <c r="M744" s="152">
        <f t="shared" si="148"/>
        <v>1</v>
      </c>
      <c r="N744" s="152">
        <f t="shared" si="149"/>
        <v>5</v>
      </c>
      <c r="P744" s="172">
        <f t="shared" si="150"/>
        <v>66</v>
      </c>
      <c r="AI744" s="154"/>
      <c r="AT744" s="148">
        <v>3</v>
      </c>
      <c r="AU744" s="155">
        <v>14</v>
      </c>
      <c r="AV744" s="155" t="s">
        <v>81</v>
      </c>
      <c r="AY744" s="148">
        <v>1</v>
      </c>
      <c r="AZ744" s="155">
        <v>5</v>
      </c>
      <c r="BA744" s="155">
        <v>5</v>
      </c>
      <c r="BB744" s="152" t="s">
        <v>27</v>
      </c>
      <c r="BC744" s="150"/>
      <c r="BD744" s="150"/>
      <c r="BF744" s="152" t="s">
        <v>443</v>
      </c>
    </row>
    <row r="745" spans="1:58" s="152" customFormat="1" ht="14.25" x14ac:dyDescent="0.2">
      <c r="A745" s="160" t="str">
        <f t="shared" si="143"/>
        <v>A3</v>
      </c>
      <c r="B745" s="152" t="s">
        <v>656</v>
      </c>
      <c r="C745" s="160">
        <f t="shared" si="144"/>
        <v>473.8</v>
      </c>
      <c r="D745" s="160"/>
      <c r="E745" s="170" t="str">
        <f>IF(OR(A745="",B745="",C745=""),"eine der Spalten BAB, FR, km leer?",CONCATENATE(VLOOKUP(VALUE(I745),[1]Grundlage!$A$1:$B$14,2,0),IF(LEFT(A745,1)="A",IF(VALUE(MID(A745,2,10))&lt;10,"A00"&amp;VALUE(MID(A745,2,10)),IF(VALUE(MID(A745,2,10))&lt;100,"A0"&amp;VALUE(MID(A745,2,10)),IF(VALUE(MID(A745,2,10))&lt;1000,"A"&amp;VALUE(MID(A745,2,10))))),IF(LEFT(A745,1)="B",IF(VALUE(MID(A745,2,10))&lt;10,"B00"&amp;VALUE(MID(A745,2,10)),IF(VALUE(MID(A745,2,10))&lt;100,"B0"&amp;VALUE(MID(A745,2,10)),IF(VALUE(MID(A745,2,10))&lt;1000,"B"&amp;VALUE(MID(A745,2,10))))),A745)),"_",IF(NOT(OR(C745=1000,C745&gt;1000)),MID(TEXT((C745+1000)*1000,0),2,6),"keine Meter in Spalte km!!!"),IF(VALUE(I745)=1,CONCATENATE("_",VLOOKUP(IF(V745&gt;0,V745,J745),[1]Grundlage!$A$20:$B$181,2,0)),CONCATENATE("_",B745))))</f>
        <v>UQ_A003_473800_N</v>
      </c>
      <c r="F745" s="152" t="s">
        <v>28</v>
      </c>
      <c r="G745" s="171">
        <f t="shared" si="152"/>
        <v>1236</v>
      </c>
      <c r="H745" s="160">
        <f t="shared" si="153"/>
        <v>18</v>
      </c>
      <c r="I745" s="152">
        <f t="shared" si="145"/>
        <v>3</v>
      </c>
      <c r="J745" s="152">
        <f t="shared" si="146"/>
        <v>15</v>
      </c>
      <c r="K745" s="152">
        <f t="shared" si="147"/>
        <v>201</v>
      </c>
      <c r="L745" s="152">
        <f t="shared" si="147"/>
        <v>3</v>
      </c>
      <c r="M745" s="152">
        <f t="shared" si="148"/>
        <v>1</v>
      </c>
      <c r="N745" s="152">
        <f t="shared" si="149"/>
        <v>6</v>
      </c>
      <c r="P745" s="172">
        <f t="shared" si="150"/>
        <v>65</v>
      </c>
      <c r="AI745" s="154"/>
      <c r="AT745" s="148">
        <v>3</v>
      </c>
      <c r="AU745" s="155">
        <v>15</v>
      </c>
      <c r="AV745" s="155" t="s">
        <v>82</v>
      </c>
      <c r="AY745" s="148">
        <v>1</v>
      </c>
      <c r="AZ745" s="155">
        <v>6</v>
      </c>
      <c r="BA745" s="155">
        <v>6</v>
      </c>
      <c r="BB745" s="152" t="s">
        <v>28</v>
      </c>
      <c r="BC745" s="150"/>
      <c r="BD745" s="150"/>
      <c r="BF745" s="152" t="s">
        <v>566</v>
      </c>
    </row>
    <row r="746" spans="1:58" s="152" customFormat="1" ht="14.25" x14ac:dyDescent="0.2">
      <c r="A746" s="160" t="str">
        <f t="shared" si="143"/>
        <v>A3</v>
      </c>
      <c r="B746" s="152" t="s">
        <v>656</v>
      </c>
      <c r="C746" s="160">
        <f t="shared" si="144"/>
        <v>473.8</v>
      </c>
      <c r="D746" s="160"/>
      <c r="E746" s="170" t="str">
        <f>IF(OR(A746="",B746="",C746=""),"eine der Spalten BAB, FR, km leer?",CONCATENATE(VLOOKUP(VALUE(I746),[1]Grundlage!$A$1:$B$14,2,0),IF(LEFT(A746,1)="A",IF(VALUE(MID(A746,2,10))&lt;10,"A00"&amp;VALUE(MID(A746,2,10)),IF(VALUE(MID(A746,2,10))&lt;100,"A0"&amp;VALUE(MID(A746,2,10)),IF(VALUE(MID(A746,2,10))&lt;1000,"A"&amp;VALUE(MID(A746,2,10))))),IF(LEFT(A746,1)="B",IF(VALUE(MID(A746,2,10))&lt;10,"B00"&amp;VALUE(MID(A746,2,10)),IF(VALUE(MID(A746,2,10))&lt;100,"B0"&amp;VALUE(MID(A746,2,10)),IF(VALUE(MID(A746,2,10))&lt;1000,"B"&amp;VALUE(MID(A746,2,10))))),A746)),"_",IF(NOT(OR(C746=1000,C746&gt;1000)),MID(TEXT((C746+1000)*1000,0),2,6),"keine Meter in Spalte km!!!"),IF(VALUE(I746)=1,CONCATENATE("_",VLOOKUP(IF(V746&gt;0,V746,J746),[1]Grundlage!$A$20:$B$181,2,0)),CONCATENATE("_",B746))))</f>
        <v>UQ_A003_473800_N</v>
      </c>
      <c r="F746" s="152" t="s">
        <v>29</v>
      </c>
      <c r="G746" s="171">
        <f t="shared" si="152"/>
        <v>1236</v>
      </c>
      <c r="H746" s="160">
        <f t="shared" si="153"/>
        <v>18</v>
      </c>
      <c r="I746" s="152">
        <f t="shared" si="145"/>
        <v>3</v>
      </c>
      <c r="J746" s="152">
        <f t="shared" si="146"/>
        <v>19</v>
      </c>
      <c r="K746" s="152">
        <f t="shared" si="147"/>
        <v>201</v>
      </c>
      <c r="L746" s="152">
        <f t="shared" si="147"/>
        <v>3</v>
      </c>
      <c r="M746" s="152">
        <f t="shared" si="148"/>
        <v>1</v>
      </c>
      <c r="N746" s="152">
        <f t="shared" si="149"/>
        <v>7</v>
      </c>
      <c r="P746" s="172">
        <f t="shared" si="150"/>
        <v>49</v>
      </c>
      <c r="AI746" s="154"/>
      <c r="AT746" s="148">
        <v>3</v>
      </c>
      <c r="AU746" s="155">
        <v>19</v>
      </c>
      <c r="AV746" s="155">
        <v>13</v>
      </c>
      <c r="AY746" s="148">
        <v>1</v>
      </c>
      <c r="AZ746" s="155">
        <v>7</v>
      </c>
      <c r="BA746" s="155">
        <v>7</v>
      </c>
      <c r="BB746" s="152" t="s">
        <v>29</v>
      </c>
      <c r="BC746" s="150"/>
      <c r="BD746" s="150"/>
      <c r="BF746" s="152" t="s">
        <v>567</v>
      </c>
    </row>
    <row r="747" spans="1:58" s="152" customFormat="1" ht="14.25" x14ac:dyDescent="0.2">
      <c r="A747" s="160" t="str">
        <f t="shared" si="143"/>
        <v>A3</v>
      </c>
      <c r="B747" s="152" t="s">
        <v>656</v>
      </c>
      <c r="C747" s="160">
        <f t="shared" si="144"/>
        <v>473.8</v>
      </c>
      <c r="D747" s="160"/>
      <c r="E747" s="170" t="str">
        <f>IF(OR(A747="",B747="",C747=""),"eine der Spalten BAB, FR, km leer?",CONCATENATE(VLOOKUP(VALUE(I747),[1]Grundlage!$A$1:$B$14,2,0),IF(LEFT(A747,1)="A",IF(VALUE(MID(A747,2,10))&lt;10,"A00"&amp;VALUE(MID(A747,2,10)),IF(VALUE(MID(A747,2,10))&lt;100,"A0"&amp;VALUE(MID(A747,2,10)),IF(VALUE(MID(A747,2,10))&lt;1000,"A"&amp;VALUE(MID(A747,2,10))))),IF(LEFT(A747,1)="B",IF(VALUE(MID(A747,2,10))&lt;10,"B00"&amp;VALUE(MID(A747,2,10)),IF(VALUE(MID(A747,2,10))&lt;100,"B0"&amp;VALUE(MID(A747,2,10)),IF(VALUE(MID(A747,2,10))&lt;1000,"B"&amp;VALUE(MID(A747,2,10))))),A747)),"_",IF(NOT(OR(C747=1000,C747&gt;1000)),MID(TEXT((C747+1000)*1000,0),2,6),"keine Meter in Spalte km!!!"),IF(VALUE(I747)=1,CONCATENATE("_",VLOOKUP(IF(V747&gt;0,V747,J747),[1]Grundlage!$A$20:$B$181,2,0)),CONCATENATE("_",B747))))</f>
        <v>UQ_A003_473800_N</v>
      </c>
      <c r="F747" s="152" t="s">
        <v>30</v>
      </c>
      <c r="G747" s="171">
        <f t="shared" si="152"/>
        <v>1236</v>
      </c>
      <c r="H747" s="160">
        <f t="shared" si="153"/>
        <v>18</v>
      </c>
      <c r="I747" s="152">
        <f t="shared" si="145"/>
        <v>3</v>
      </c>
      <c r="J747" s="152">
        <f t="shared" si="146"/>
        <v>21</v>
      </c>
      <c r="K747" s="152">
        <f t="shared" si="147"/>
        <v>201</v>
      </c>
      <c r="L747" s="152">
        <f t="shared" si="147"/>
        <v>3</v>
      </c>
      <c r="M747" s="152">
        <f t="shared" si="148"/>
        <v>1</v>
      </c>
      <c r="N747" s="152">
        <f t="shared" si="149"/>
        <v>8</v>
      </c>
      <c r="P747" s="172">
        <f t="shared" si="150"/>
        <v>67</v>
      </c>
      <c r="AI747" s="154"/>
      <c r="AT747" s="148">
        <v>3</v>
      </c>
      <c r="AU747" s="155">
        <v>21</v>
      </c>
      <c r="AV747" s="155">
        <v>15</v>
      </c>
      <c r="AY747" s="148">
        <v>1</v>
      </c>
      <c r="AZ747" s="155">
        <v>8</v>
      </c>
      <c r="BA747" s="155">
        <v>8</v>
      </c>
      <c r="BB747" s="152" t="s">
        <v>30</v>
      </c>
      <c r="BC747" s="150"/>
      <c r="BD747" s="150"/>
      <c r="BF747" s="152" t="s">
        <v>568</v>
      </c>
    </row>
    <row r="748" spans="1:58" s="152" customFormat="1" ht="14.25" x14ac:dyDescent="0.2">
      <c r="A748" s="160" t="str">
        <f t="shared" si="143"/>
        <v>A3</v>
      </c>
      <c r="B748" s="152" t="s">
        <v>656</v>
      </c>
      <c r="C748" s="160">
        <f t="shared" si="144"/>
        <v>473.8</v>
      </c>
      <c r="D748" s="160"/>
      <c r="E748" s="170" t="str">
        <f>IF(OR(A748="",B748="",C748=""),"eine der Spalten BAB, FR, km leer?",CONCATENATE(VLOOKUP(VALUE(I748),[1]Grundlage!$A$1:$B$14,2,0),IF(LEFT(A748,1)="A",IF(VALUE(MID(A748,2,10))&lt;10,"A00"&amp;VALUE(MID(A748,2,10)),IF(VALUE(MID(A748,2,10))&lt;100,"A0"&amp;VALUE(MID(A748,2,10)),IF(VALUE(MID(A748,2,10))&lt;1000,"A"&amp;VALUE(MID(A748,2,10))))),IF(LEFT(A748,1)="B",IF(VALUE(MID(A748,2,10))&lt;10,"B00"&amp;VALUE(MID(A748,2,10)),IF(VALUE(MID(A748,2,10))&lt;100,"B0"&amp;VALUE(MID(A748,2,10)),IF(VALUE(MID(A748,2,10))&lt;1000,"B"&amp;VALUE(MID(A748,2,10))))),A748)),"_",IF(NOT(OR(C748=1000,C748&gt;1000)),MID(TEXT((C748+1000)*1000,0),2,6),"keine Meter in Spalte km!!!"),IF(VALUE(I748)=1,CONCATENATE("_",VLOOKUP(IF(V748&gt;0,V748,J748),[1]Grundlage!$A$20:$B$181,2,0)),CONCATENATE("_",B748))))</f>
        <v>UQ_A003_473800_N</v>
      </c>
      <c r="F748" s="152" t="s">
        <v>40</v>
      </c>
      <c r="G748" s="171">
        <f t="shared" si="152"/>
        <v>1236</v>
      </c>
      <c r="H748" s="160">
        <f t="shared" si="153"/>
        <v>18</v>
      </c>
      <c r="I748" s="152">
        <f t="shared" si="145"/>
        <v>3</v>
      </c>
      <c r="J748" s="152">
        <f t="shared" si="146"/>
        <v>23</v>
      </c>
      <c r="K748" s="152">
        <f t="shared" si="147"/>
        <v>201</v>
      </c>
      <c r="L748" s="152">
        <f t="shared" si="147"/>
        <v>3</v>
      </c>
      <c r="M748" s="152">
        <f t="shared" si="148"/>
        <v>1</v>
      </c>
      <c r="N748" s="152">
        <f t="shared" si="149"/>
        <v>9</v>
      </c>
      <c r="P748" s="172">
        <f t="shared" si="150"/>
        <v>68</v>
      </c>
      <c r="AI748" s="154"/>
      <c r="AT748" s="183">
        <v>3</v>
      </c>
      <c r="AU748" s="184">
        <v>23</v>
      </c>
      <c r="AV748" s="184">
        <v>17</v>
      </c>
      <c r="AW748" s="185"/>
      <c r="AX748" s="185"/>
      <c r="AY748" s="183">
        <v>1</v>
      </c>
      <c r="AZ748" s="184">
        <v>9</v>
      </c>
      <c r="BA748" s="184" t="s">
        <v>86</v>
      </c>
      <c r="BB748" s="185" t="s">
        <v>40</v>
      </c>
      <c r="BC748" s="150"/>
      <c r="BD748" s="150"/>
    </row>
    <row r="749" spans="1:58" s="152" customFormat="1" ht="14.25" x14ac:dyDescent="0.2">
      <c r="A749" s="160" t="str">
        <f t="shared" si="143"/>
        <v>A3</v>
      </c>
      <c r="B749" s="152" t="s">
        <v>656</v>
      </c>
      <c r="C749" s="160">
        <f t="shared" si="144"/>
        <v>473.8</v>
      </c>
      <c r="D749" s="160"/>
      <c r="E749" s="170" t="str">
        <f>IF(OR(A749="",B749="",C749=""),"eine der Spalten BAB, FR, km leer?",CONCATENATE(VLOOKUP(VALUE(I749),[1]Grundlage!$A$1:$B$14,2,0),IF(LEFT(A749,1)="A",IF(VALUE(MID(A749,2,10))&lt;10,"A00"&amp;VALUE(MID(A749,2,10)),IF(VALUE(MID(A749,2,10))&lt;100,"A0"&amp;VALUE(MID(A749,2,10)),IF(VALUE(MID(A749,2,10))&lt;1000,"A"&amp;VALUE(MID(A749,2,10))))),IF(LEFT(A749,1)="B",IF(VALUE(MID(A749,2,10))&lt;10,"B00"&amp;VALUE(MID(A749,2,10)),IF(VALUE(MID(A749,2,10))&lt;100,"B0"&amp;VALUE(MID(A749,2,10)),IF(VALUE(MID(A749,2,10))&lt;1000,"B"&amp;VALUE(MID(A749,2,10))))),A749)),"_",IF(NOT(OR(C749=1000,C749&gt;1000)),MID(TEXT((C749+1000)*1000,0),2,6),"keine Meter in Spalte km!!!"),IF(VALUE(I749)=1,CONCATENATE("_",VLOOKUP(IF(V749&gt;0,V749,J749),[1]Grundlage!$A$20:$B$181,2,0)),CONCATENATE("_",B749))))</f>
        <v>UQ_A003_473800_N</v>
      </c>
      <c r="F749" s="152" t="s">
        <v>41</v>
      </c>
      <c r="G749" s="171">
        <f t="shared" si="152"/>
        <v>1236</v>
      </c>
      <c r="H749" s="160">
        <f t="shared" si="153"/>
        <v>18</v>
      </c>
      <c r="I749" s="152">
        <f t="shared" si="145"/>
        <v>3</v>
      </c>
      <c r="J749" s="152">
        <f t="shared" si="146"/>
        <v>24</v>
      </c>
      <c r="K749" s="152">
        <f t="shared" si="147"/>
        <v>201</v>
      </c>
      <c r="L749" s="152">
        <f t="shared" si="147"/>
        <v>3</v>
      </c>
      <c r="M749" s="152">
        <f t="shared" si="148"/>
        <v>1</v>
      </c>
      <c r="N749" s="152">
        <f t="shared" si="149"/>
        <v>9</v>
      </c>
      <c r="P749" s="172">
        <f t="shared" si="150"/>
        <v>69</v>
      </c>
      <c r="AI749" s="154"/>
      <c r="AT749" s="148">
        <v>3</v>
      </c>
      <c r="AU749" s="155">
        <v>24</v>
      </c>
      <c r="AV749" s="155">
        <v>18</v>
      </c>
      <c r="AY749" s="148">
        <v>1</v>
      </c>
      <c r="AZ749" s="155">
        <v>9</v>
      </c>
      <c r="BA749" s="155">
        <v>9</v>
      </c>
      <c r="BB749" s="152" t="s">
        <v>41</v>
      </c>
      <c r="BC749" s="150"/>
      <c r="BD749" s="150"/>
      <c r="BF749" s="152" t="s">
        <v>563</v>
      </c>
    </row>
    <row r="750" spans="1:58" s="152" customFormat="1" ht="14.25" x14ac:dyDescent="0.2">
      <c r="A750" s="160" t="str">
        <f t="shared" si="143"/>
        <v>A3</v>
      </c>
      <c r="B750" s="152" t="s">
        <v>656</v>
      </c>
      <c r="C750" s="160">
        <f t="shared" si="144"/>
        <v>473.8</v>
      </c>
      <c r="D750" s="160"/>
      <c r="E750" s="170" t="str">
        <f>IF(OR(A750="",B750="",C750=""),"eine der Spalten BAB, FR, km leer?",CONCATENATE(VLOOKUP(VALUE(I750),[1]Grundlage!$A$1:$B$14,2,0),IF(LEFT(A750,1)="A",IF(VALUE(MID(A750,2,10))&lt;10,"A00"&amp;VALUE(MID(A750,2,10)),IF(VALUE(MID(A750,2,10))&lt;100,"A0"&amp;VALUE(MID(A750,2,10)),IF(VALUE(MID(A750,2,10))&lt;1000,"A"&amp;VALUE(MID(A750,2,10))))),IF(LEFT(A750,1)="B",IF(VALUE(MID(A750,2,10))&lt;10,"B00"&amp;VALUE(MID(A750,2,10)),IF(VALUE(MID(A750,2,10))&lt;100,"B0"&amp;VALUE(MID(A750,2,10)),IF(VALUE(MID(A750,2,10))&lt;1000,"B"&amp;VALUE(MID(A750,2,10))))),A750)),"_",IF(NOT(OR(C750=1000,C750&gt;1000)),MID(TEXT((C750+1000)*1000,0),2,6),"keine Meter in Spalte km!!!"),IF(VALUE(I750)=1,CONCATENATE("_",VLOOKUP(IF(V750&gt;0,V750,J750),[1]Grundlage!$A$20:$B$181,2,0)),CONCATENATE("_",B750))))</f>
        <v>UQ_A003_473800_N</v>
      </c>
      <c r="F750" s="152" t="s">
        <v>42</v>
      </c>
      <c r="G750" s="171">
        <f t="shared" si="152"/>
        <v>1236</v>
      </c>
      <c r="H750" s="160">
        <f t="shared" si="153"/>
        <v>18</v>
      </c>
      <c r="I750" s="152">
        <f t="shared" si="145"/>
        <v>3</v>
      </c>
      <c r="J750" s="152">
        <f t="shared" si="146"/>
        <v>25</v>
      </c>
      <c r="K750" s="152">
        <f t="shared" si="147"/>
        <v>201</v>
      </c>
      <c r="L750" s="152">
        <f t="shared" si="147"/>
        <v>3</v>
      </c>
      <c r="M750" s="152">
        <f t="shared" si="148"/>
        <v>1</v>
      </c>
      <c r="N750" s="152">
        <f t="shared" si="149"/>
        <v>10</v>
      </c>
      <c r="P750" s="172">
        <f>IF(AT750&lt;&gt;3,"",IF(BB750="Helligkeitssensor",61,IF(BB750="Helligkeit",61,IF(BB751="Lichtsensor",61,IF(BB750="Lufttemperatur",48,IF(BB750="Niederschlagsart",71,IF(BB750="Niederschlagsintensität",53,IF(BB750="relative Luftfeuchte RLF",55,IF(BB750="Sichtweite",60,IF(BB750="Sichtweite 1",60,IF(BB750="Zustand der Fahrbahnoberfläche FBZ",79,IF(BB750="Wasserfilmdicke WFD",72,IF(BB750="Clusterkanal FG3","",IF(BB750="Gefriertemperatur GT",65,IF(BB750="Fahrbahnoberflächentemperatur FBT",49,IF(BB750="Windrichtung  Typ 56 ",56,VALUE(RIGHT(BB750,2))))))))))))))))))</f>
        <v>56</v>
      </c>
      <c r="AI750" s="154"/>
      <c r="AT750" s="148">
        <v>3</v>
      </c>
      <c r="AU750" s="155">
        <v>25</v>
      </c>
      <c r="AV750" s="155">
        <v>19</v>
      </c>
      <c r="AY750" s="148">
        <v>1</v>
      </c>
      <c r="AZ750" s="155">
        <v>10</v>
      </c>
      <c r="BA750" s="174" t="s">
        <v>95</v>
      </c>
      <c r="BB750" s="152" t="s">
        <v>42</v>
      </c>
      <c r="BC750" s="150"/>
      <c r="BD750" s="150"/>
      <c r="BF750" s="152" t="s">
        <v>515</v>
      </c>
    </row>
    <row r="751" spans="1:58" s="152" customFormat="1" ht="14.25" x14ac:dyDescent="0.2">
      <c r="A751" s="160" t="str">
        <f t="shared" si="143"/>
        <v>A3</v>
      </c>
      <c r="B751" s="152" t="s">
        <v>656</v>
      </c>
      <c r="C751" s="160">
        <f t="shared" si="144"/>
        <v>473.8</v>
      </c>
      <c r="D751" s="160"/>
      <c r="E751" s="170" t="str">
        <f>IF(OR(A751="",B751="",C751=""),"eine der Spalten BAB, FR, km leer?",CONCATENATE(VLOOKUP(VALUE(I751),[1]Grundlage!$A$1:$B$14,2,0),IF(LEFT(A751,1)="A",IF(VALUE(MID(A751,2,10))&lt;10,"A00"&amp;VALUE(MID(A751,2,10)),IF(VALUE(MID(A751,2,10))&lt;100,"A0"&amp;VALUE(MID(A751,2,10)),IF(VALUE(MID(A751,2,10))&lt;1000,"A"&amp;VALUE(MID(A751,2,10))))),IF(LEFT(A751,1)="B",IF(VALUE(MID(A751,2,10))&lt;10,"B00"&amp;VALUE(MID(A751,2,10)),IF(VALUE(MID(A751,2,10))&lt;100,"B0"&amp;VALUE(MID(A751,2,10)),IF(VALUE(MID(A751,2,10))&lt;1000,"B"&amp;VALUE(MID(A751,2,10))))),A751)),"_",IF(NOT(OR(C751=1000,C751&gt;1000)),MID(TEXT((C751+1000)*1000,0),2,6),"keine Meter in Spalte km!!!"),IF(VALUE(I751)=1,CONCATENATE("_",VLOOKUP(IF(V751&gt;0,V751,J751),[1]Grundlage!$A$20:$B$181,2,0)),CONCATENATE("_",B751))))</f>
        <v>UQ_A003_473800_N</v>
      </c>
      <c r="F751" s="152" t="s">
        <v>43</v>
      </c>
      <c r="G751" s="171">
        <f t="shared" si="152"/>
        <v>1236</v>
      </c>
      <c r="H751" s="160">
        <f t="shared" si="153"/>
        <v>18</v>
      </c>
      <c r="I751" s="152">
        <f t="shared" si="145"/>
        <v>3</v>
      </c>
      <c r="J751" s="152">
        <f t="shared" si="146"/>
        <v>26</v>
      </c>
      <c r="K751" s="152">
        <f t="shared" si="147"/>
        <v>201</v>
      </c>
      <c r="L751" s="152">
        <f t="shared" si="147"/>
        <v>3</v>
      </c>
      <c r="M751" s="152">
        <f t="shared" si="148"/>
        <v>1</v>
      </c>
      <c r="N751" s="152">
        <f t="shared" si="149"/>
        <v>11</v>
      </c>
      <c r="P751" s="172">
        <f t="shared" si="150"/>
        <v>57</v>
      </c>
      <c r="AI751" s="154"/>
      <c r="AT751" s="148">
        <v>3</v>
      </c>
      <c r="AU751" s="155">
        <v>26</v>
      </c>
      <c r="AV751" s="155" t="s">
        <v>86</v>
      </c>
      <c r="AY751" s="148">
        <v>1</v>
      </c>
      <c r="AZ751" s="155">
        <v>11</v>
      </c>
      <c r="BA751" s="174" t="s">
        <v>78</v>
      </c>
      <c r="BB751" s="152" t="s">
        <v>43</v>
      </c>
      <c r="BC751" s="150"/>
      <c r="BD751" s="150"/>
      <c r="BF751" s="152" t="s">
        <v>446</v>
      </c>
    </row>
    <row r="752" spans="1:58" s="152" customFormat="1" ht="14.25" x14ac:dyDescent="0.2">
      <c r="A752" s="160" t="str">
        <f t="shared" si="143"/>
        <v>A3</v>
      </c>
      <c r="B752" s="152" t="s">
        <v>656</v>
      </c>
      <c r="C752" s="160">
        <f t="shared" si="144"/>
        <v>473.8</v>
      </c>
      <c r="D752" s="160"/>
      <c r="E752" s="170" t="str">
        <f>IF(OR(A752="",B752="",C752=""),"eine der Spalten BAB, FR, km leer?",CONCATENATE(VLOOKUP(VALUE(I752),[1]Grundlage!$A$1:$B$14,2,0),IF(LEFT(A752,1)="A",IF(VALUE(MID(A752,2,10))&lt;10,"A00"&amp;VALUE(MID(A752,2,10)),IF(VALUE(MID(A752,2,10))&lt;100,"A0"&amp;VALUE(MID(A752,2,10)),IF(VALUE(MID(A752,2,10))&lt;1000,"A"&amp;VALUE(MID(A752,2,10))))),IF(LEFT(A752,1)="B",IF(VALUE(MID(A752,2,10))&lt;10,"B00"&amp;VALUE(MID(A752,2,10)),IF(VALUE(MID(A752,2,10))&lt;100,"B0"&amp;VALUE(MID(A752,2,10)),IF(VALUE(MID(A752,2,10))&lt;1000,"B"&amp;VALUE(MID(A752,2,10))))),A752)),"_",IF(NOT(OR(C752=1000,C752&gt;1000)),MID(TEXT((C752+1000)*1000,0),2,6),"keine Meter in Spalte km!!!"),IF(VALUE(I752)=1,CONCATENATE("_",VLOOKUP(IF(V752&gt;0,V752,J752),[1]Grundlage!$A$20:$B$181,2,0)),CONCATENATE("_",B752))))</f>
        <v>UQ_A003_473800_N</v>
      </c>
      <c r="F752" s="152" t="s">
        <v>271</v>
      </c>
      <c r="G752" s="171">
        <f t="shared" si="152"/>
        <v>1236</v>
      </c>
      <c r="H752" s="160">
        <f t="shared" si="153"/>
        <v>18</v>
      </c>
      <c r="I752" s="152">
        <f t="shared" si="145"/>
        <v>3</v>
      </c>
      <c r="J752" s="152">
        <f t="shared" si="146"/>
        <v>67</v>
      </c>
      <c r="K752" s="152">
        <f t="shared" si="147"/>
        <v>201</v>
      </c>
      <c r="L752" s="152">
        <f t="shared" si="147"/>
        <v>3</v>
      </c>
      <c r="M752" s="152">
        <f t="shared" si="148"/>
        <v>1</v>
      </c>
      <c r="N752" s="152">
        <f t="shared" si="149"/>
        <v>12</v>
      </c>
      <c r="P752" s="172">
        <f t="shared" si="150"/>
        <v>53</v>
      </c>
      <c r="AI752" s="154"/>
      <c r="AT752" s="148">
        <v>3</v>
      </c>
      <c r="AU752" s="155">
        <v>67</v>
      </c>
      <c r="AV752" s="155">
        <v>43</v>
      </c>
      <c r="AY752" s="148">
        <v>1</v>
      </c>
      <c r="AZ752" s="155">
        <v>12</v>
      </c>
      <c r="BA752" s="174" t="s">
        <v>79</v>
      </c>
      <c r="BB752" s="152" t="s">
        <v>271</v>
      </c>
      <c r="BC752" s="150"/>
      <c r="BD752" s="150"/>
      <c r="BF752" s="152" t="s">
        <v>444</v>
      </c>
    </row>
    <row r="753" spans="1:58" s="152" customFormat="1" ht="14.25" x14ac:dyDescent="0.2">
      <c r="A753" s="160" t="str">
        <f t="shared" si="143"/>
        <v>A3</v>
      </c>
      <c r="B753" s="152" t="s">
        <v>656</v>
      </c>
      <c r="C753" s="160">
        <f t="shared" si="144"/>
        <v>473.8</v>
      </c>
      <c r="D753" s="160"/>
      <c r="E753" s="170" t="str">
        <f>IF(OR(A753="",B753="",C753=""),"eine der Spalten BAB, FR, km leer?",CONCATENATE(VLOOKUP(VALUE(I753),[1]Grundlage!$A$1:$B$14,2,0),IF(LEFT(A753,1)="A",IF(VALUE(MID(A753,2,10))&lt;10,"A00"&amp;VALUE(MID(A753,2,10)),IF(VALUE(MID(A753,2,10))&lt;100,"A0"&amp;VALUE(MID(A753,2,10)),IF(VALUE(MID(A753,2,10))&lt;1000,"A"&amp;VALUE(MID(A753,2,10))))),IF(LEFT(A753,1)="B",IF(VALUE(MID(A753,2,10))&lt;10,"B00"&amp;VALUE(MID(A753,2,10)),IF(VALUE(MID(A753,2,10))&lt;100,"B0"&amp;VALUE(MID(A753,2,10)),IF(VALUE(MID(A753,2,10))&lt;1000,"B"&amp;VALUE(MID(A753,2,10))))),A753)),"_",IF(NOT(OR(C753=1000,C753&gt;1000)),MID(TEXT((C753+1000)*1000,0),2,6),"keine Meter in Spalte km!!!"),IF(VALUE(I753)=1,CONCATENATE("_",VLOOKUP(IF(V753&gt;0,V753,J753),[1]Grundlage!$A$20:$B$181,2,0)),CONCATENATE("_",B753))))</f>
        <v>UQ_A003_473800_N</v>
      </c>
      <c r="F753" s="152" t="s">
        <v>272</v>
      </c>
      <c r="G753" s="171">
        <f t="shared" si="152"/>
        <v>1236</v>
      </c>
      <c r="H753" s="160">
        <f t="shared" si="153"/>
        <v>18</v>
      </c>
      <c r="I753" s="152">
        <f t="shared" si="145"/>
        <v>3</v>
      </c>
      <c r="J753" s="152">
        <f t="shared" si="146"/>
        <v>82</v>
      </c>
      <c r="K753" s="152">
        <f t="shared" si="147"/>
        <v>201</v>
      </c>
      <c r="L753" s="152">
        <f t="shared" si="147"/>
        <v>3</v>
      </c>
      <c r="M753" s="152">
        <f t="shared" si="148"/>
        <v>1</v>
      </c>
      <c r="N753" s="152">
        <f t="shared" si="149"/>
        <v>13</v>
      </c>
      <c r="P753" s="172">
        <f t="shared" si="150"/>
        <v>72</v>
      </c>
      <c r="AI753" s="154"/>
      <c r="AT753" s="148">
        <v>3</v>
      </c>
      <c r="AU753" s="155">
        <v>82</v>
      </c>
      <c r="AV753" s="155">
        <v>52</v>
      </c>
      <c r="AY753" s="148">
        <v>1</v>
      </c>
      <c r="AZ753" s="155">
        <v>13</v>
      </c>
      <c r="BA753" s="174" t="s">
        <v>80</v>
      </c>
      <c r="BB753" s="152" t="s">
        <v>272</v>
      </c>
      <c r="BC753" s="150"/>
      <c r="BD753" s="150"/>
      <c r="BF753" s="152" t="s">
        <v>569</v>
      </c>
    </row>
    <row r="754" spans="1:58" ht="14.25" x14ac:dyDescent="0.2">
      <c r="A754" t="str">
        <f t="shared" si="143"/>
        <v>A3</v>
      </c>
      <c r="C754">
        <f t="shared" si="144"/>
        <v>473.8</v>
      </c>
      <c r="D754" t="str">
        <f t="shared" si="151"/>
        <v/>
      </c>
      <c r="E754" s="169" t="str">
        <f>IF(OR(A754="",B754="",C754=""),"",CONCATENATE(VLOOKUP(VALUE(I754),[1]Grundlage!$A$1:$B$14,2,0),IF(LEFT(A754,1)="A",IF(VALUE(MID(A754,2,10))&lt;10,"A00"&amp;VALUE(MID(A754,2,10)),IF(VALUE(MID(A754,2,10))&lt;100,"A0"&amp;VALUE(MID(A754,2,10)),IF(VALUE(MID(A754,2,10))&lt;1000,"A"&amp;VALUE(MID(A754,2,10))))),IF(LEFT(A754,1)="B",IF(VALUE(MID(A754,2,10))&lt;10,"B00"&amp;VALUE(MID(A754,2,10)),IF(VALUE(MID(A754,2,10))&lt;100,"B0"&amp;VALUE(MID(A754,2,10)),IF(VALUE(MID(A754,2,10))&lt;1000,"B"&amp;VALUE(MID(A754,2,10))))),A754)),"_",IF(NOT(OR(C754=1000,C754&gt;1000)),MID(TEXT((C754+1000)*1000,0),2,6),"keine Meter in Spalte km!!!"),IF(VALUE(I754)=1,CONCATENATE("_",VLOOKUP(IF(V754&gt;0,V754,J754),[1]Grundlage!$A$20:$B$181,2,0)),CONCATENATE("_",B754))))</f>
        <v/>
      </c>
      <c r="F754" s="2" t="s">
        <v>669</v>
      </c>
      <c r="G754" s="167">
        <f t="shared" si="152"/>
        <v>1236</v>
      </c>
      <c r="H754">
        <f t="shared" si="153"/>
        <v>18</v>
      </c>
      <c r="I754" s="2">
        <f t="shared" si="145"/>
        <v>0</v>
      </c>
      <c r="J754" s="2">
        <f t="shared" si="146"/>
        <v>0</v>
      </c>
      <c r="K754" s="2">
        <f t="shared" si="147"/>
        <v>201</v>
      </c>
      <c r="L754" s="2">
        <f t="shared" si="147"/>
        <v>3</v>
      </c>
      <c r="M754" s="2" t="str">
        <f t="shared" si="148"/>
        <v/>
      </c>
      <c r="N754" s="2" t="str">
        <f t="shared" si="149"/>
        <v/>
      </c>
      <c r="P754" s="168" t="str">
        <f t="shared" si="150"/>
        <v/>
      </c>
    </row>
    <row r="755" spans="1:58" s="152" customFormat="1" ht="14.25" x14ac:dyDescent="0.2">
      <c r="A755" s="160" t="str">
        <f t="shared" si="143"/>
        <v>A93</v>
      </c>
      <c r="B755" s="152" t="s">
        <v>655</v>
      </c>
      <c r="C755" s="160">
        <f t="shared" si="144"/>
        <v>223.15</v>
      </c>
      <c r="D755" s="160"/>
      <c r="E755" s="170" t="str">
        <f>IF(OR(A755="",B755="",C755=""),"eine der Spalten BAB, FR, km leer?",CONCATENATE(VLOOKUP(VALUE(I755),[1]Grundlage!$A$1:$B$14,2,0),IF(LEFT(A755,1)="A",IF(VALUE(MID(A755,2,10))&lt;10,"A00"&amp;VALUE(MID(A755,2,10)),IF(VALUE(MID(A755,2,10))&lt;100,"A0"&amp;VALUE(MID(A755,2,10)),IF(VALUE(MID(A755,2,10))&lt;1000,"A"&amp;VALUE(MID(A755,2,10))))),IF(LEFT(A755,1)="B",IF(VALUE(MID(A755,2,10))&lt;10,"B00"&amp;VALUE(MID(A755,2,10)),IF(VALUE(MID(A755,2,10))&lt;100,"B0"&amp;VALUE(MID(A755,2,10)),IF(VALUE(MID(A755,2,10))&lt;1000,"B"&amp;VALUE(MID(A755,2,10))))),A755)),"_",IF(NOT(OR(C755=1000,C755&gt;1000)),MID(TEXT((C755+1000)*1000,0),2,6),"keine Meter in Spalte km!!!"),IF(VALUE(I755)=1,CONCATENATE("_",VLOOKUP(IF(V755&gt;0,V755,J755),[1]Grundlage!$A$20:$B$181,2,0)),CONCATENATE("_",B755))))</f>
        <v>SSt_A093_223150_S</v>
      </c>
      <c r="F755" s="152" t="s">
        <v>69</v>
      </c>
      <c r="G755" s="171">
        <f t="shared" si="152"/>
        <v>36396</v>
      </c>
      <c r="H755" s="160">
        <f t="shared" si="153"/>
        <v>173</v>
      </c>
      <c r="I755" s="152">
        <f t="shared" si="145"/>
        <v>0</v>
      </c>
      <c r="J755" s="152">
        <f t="shared" si="146"/>
        <v>0</v>
      </c>
      <c r="K755" s="152">
        <f t="shared" si="147"/>
        <v>201</v>
      </c>
      <c r="L755" s="152">
        <f t="shared" si="147"/>
        <v>4</v>
      </c>
      <c r="M755" s="152">
        <f t="shared" si="148"/>
        <v>4</v>
      </c>
      <c r="N755" s="152" t="str">
        <f t="shared" si="149"/>
        <v/>
      </c>
      <c r="P755" s="172" t="str">
        <f t="shared" si="150"/>
        <v/>
      </c>
      <c r="AI755" s="173">
        <v>223.15</v>
      </c>
      <c r="AJ755" s="148" t="s">
        <v>19</v>
      </c>
      <c r="AK755" s="148" t="s">
        <v>58</v>
      </c>
      <c r="AL755" s="148"/>
      <c r="AM755" s="148"/>
      <c r="AN755" s="148"/>
      <c r="AO755" s="148"/>
      <c r="AP755" s="147">
        <v>9317549</v>
      </c>
      <c r="AQ755" s="147" t="s">
        <v>239</v>
      </c>
      <c r="AR755" s="147" t="s">
        <v>252</v>
      </c>
      <c r="AS755" s="147" t="s">
        <v>251</v>
      </c>
      <c r="AT755" s="148"/>
      <c r="AU755" s="148"/>
      <c r="AV755" s="148"/>
      <c r="AW755" s="148">
        <v>201</v>
      </c>
      <c r="AX755" s="148">
        <v>4</v>
      </c>
      <c r="AY755" s="148">
        <v>4</v>
      </c>
      <c r="AZ755" s="148"/>
      <c r="BA755" s="148"/>
      <c r="BB755" s="149" t="s">
        <v>69</v>
      </c>
      <c r="BC755" s="150"/>
      <c r="BD755" s="158" t="s">
        <v>163</v>
      </c>
      <c r="BE755" s="152" t="s">
        <v>61</v>
      </c>
      <c r="BF755" s="152" t="s">
        <v>451</v>
      </c>
    </row>
    <row r="756" spans="1:58" s="152" customFormat="1" ht="14.25" x14ac:dyDescent="0.2">
      <c r="A756" s="160" t="str">
        <f t="shared" si="143"/>
        <v>A93</v>
      </c>
      <c r="B756" s="152" t="s">
        <v>655</v>
      </c>
      <c r="C756" s="160">
        <f t="shared" si="144"/>
        <v>223.15</v>
      </c>
      <c r="D756" s="160"/>
      <c r="E756" s="170" t="str">
        <f>IF(OR(A756="",B756="",C756=""),"eine der Spalten BAB, FR, km leer?",CONCATENATE(VLOOKUP(VALUE(I756),[1]Grundlage!$A$1:$B$14,2,0),IF(LEFT(A756,1)="A",IF(VALUE(MID(A756,2,10))&lt;10,"A00"&amp;VALUE(MID(A756,2,10)),IF(VALUE(MID(A756,2,10))&lt;100,"A0"&amp;VALUE(MID(A756,2,10)),IF(VALUE(MID(A756,2,10))&lt;1000,"A"&amp;VALUE(MID(A756,2,10))))),IF(LEFT(A756,1)="B",IF(VALUE(MID(A756,2,10))&lt;10,"B00"&amp;VALUE(MID(A756,2,10)),IF(VALUE(MID(A756,2,10))&lt;100,"B0"&amp;VALUE(MID(A756,2,10)),IF(VALUE(MID(A756,2,10))&lt;1000,"B"&amp;VALUE(MID(A756,2,10))))),A756)),"_",IF(NOT(OR(C756=1000,C756&gt;1000)),MID(TEXT((C756+1000)*1000,0),2,6),"keine Meter in Spalte km!!!"),IF(VALUE(I756)=1,CONCATENATE("_",VLOOKUP(IF(V756&gt;0,V756,J756),[1]Grundlage!$A$20:$B$181,2,0)),CONCATENATE("_",B756))))</f>
        <v>UQ_A093_223150_S</v>
      </c>
      <c r="F756" s="152" t="s">
        <v>269</v>
      </c>
      <c r="G756" s="171">
        <f t="shared" si="152"/>
        <v>36396</v>
      </c>
      <c r="H756" s="160">
        <f t="shared" si="153"/>
        <v>173</v>
      </c>
      <c r="I756" s="152">
        <f t="shared" si="145"/>
        <v>3</v>
      </c>
      <c r="J756" s="152">
        <f t="shared" si="146"/>
        <v>6</v>
      </c>
      <c r="K756" s="152">
        <f t="shared" si="147"/>
        <v>201</v>
      </c>
      <c r="L756" s="152">
        <f t="shared" si="147"/>
        <v>4</v>
      </c>
      <c r="M756" s="152">
        <f t="shared" si="148"/>
        <v>1</v>
      </c>
      <c r="N756" s="152">
        <f t="shared" si="149"/>
        <v>1</v>
      </c>
      <c r="P756" s="172">
        <f t="shared" si="150"/>
        <v>71</v>
      </c>
      <c r="AI756" s="154"/>
      <c r="AP756" s="147"/>
      <c r="AQ756" s="147">
        <v>142</v>
      </c>
      <c r="AR756" s="147">
        <v>44</v>
      </c>
      <c r="AS756" s="147">
        <v>173</v>
      </c>
      <c r="AT756" s="148">
        <v>3</v>
      </c>
      <c r="AU756" s="155">
        <v>6</v>
      </c>
      <c r="AV756" s="156">
        <v>6</v>
      </c>
      <c r="AW756" s="148"/>
      <c r="AX756" s="148"/>
      <c r="AY756" s="148">
        <v>1</v>
      </c>
      <c r="AZ756" s="155">
        <v>1</v>
      </c>
      <c r="BA756" s="178">
        <v>1</v>
      </c>
      <c r="BB756" s="159" t="s">
        <v>269</v>
      </c>
      <c r="BC756" s="150"/>
      <c r="BD756" s="150"/>
      <c r="BF756" s="152" t="s">
        <v>440</v>
      </c>
    </row>
    <row r="757" spans="1:58" s="152" customFormat="1" ht="14.25" x14ac:dyDescent="0.2">
      <c r="A757" s="160" t="str">
        <f t="shared" si="143"/>
        <v>A93</v>
      </c>
      <c r="B757" s="152" t="s">
        <v>655</v>
      </c>
      <c r="C757" s="160">
        <f t="shared" si="144"/>
        <v>223.15</v>
      </c>
      <c r="D757" s="160"/>
      <c r="E757" s="170" t="str">
        <f>IF(OR(A757="",B757="",C757=""),"eine der Spalten BAB, FR, km leer?",CONCATENATE(VLOOKUP(VALUE(I757),[1]Grundlage!$A$1:$B$14,2,0),IF(LEFT(A757,1)="A",IF(VALUE(MID(A757,2,10))&lt;10,"A00"&amp;VALUE(MID(A757,2,10)),IF(VALUE(MID(A757,2,10))&lt;100,"A0"&amp;VALUE(MID(A757,2,10)),IF(VALUE(MID(A757,2,10))&lt;1000,"A"&amp;VALUE(MID(A757,2,10))))),IF(LEFT(A757,1)="B",IF(VALUE(MID(A757,2,10))&lt;10,"B00"&amp;VALUE(MID(A757,2,10)),IF(VALUE(MID(A757,2,10))&lt;100,"B0"&amp;VALUE(MID(A757,2,10)),IF(VALUE(MID(A757,2,10))&lt;1000,"B"&amp;VALUE(MID(A757,2,10))))),A757)),"_",IF(NOT(OR(C757=1000,C757&gt;1000)),MID(TEXT((C757+1000)*1000,0),2,6),"keine Meter in Spalte km!!!"),IF(VALUE(I757)=1,CONCATENATE("_",VLOOKUP(IF(V757&gt;0,V757,J757),[1]Grundlage!$A$20:$B$181,2,0)),CONCATENATE("_",B757))))</f>
        <v>UQ_A093_223150_S</v>
      </c>
      <c r="F757" s="152" t="s">
        <v>270</v>
      </c>
      <c r="G757" s="171">
        <f t="shared" si="152"/>
        <v>36396</v>
      </c>
      <c r="H757" s="160">
        <f t="shared" si="153"/>
        <v>173</v>
      </c>
      <c r="I757" s="152">
        <f t="shared" si="145"/>
        <v>3</v>
      </c>
      <c r="J757" s="152">
        <f t="shared" si="146"/>
        <v>11</v>
      </c>
      <c r="K757" s="152">
        <f t="shared" si="147"/>
        <v>201</v>
      </c>
      <c r="L757" s="152">
        <f t="shared" si="147"/>
        <v>4</v>
      </c>
      <c r="M757" s="152">
        <f t="shared" si="148"/>
        <v>1</v>
      </c>
      <c r="N757" s="152">
        <f t="shared" si="149"/>
        <v>2</v>
      </c>
      <c r="P757" s="172">
        <f t="shared" si="150"/>
        <v>70</v>
      </c>
      <c r="AI757" s="154"/>
      <c r="AT757" s="148">
        <v>3</v>
      </c>
      <c r="AU757" s="155">
        <v>11</v>
      </c>
      <c r="AV757" s="155" t="s">
        <v>78</v>
      </c>
      <c r="AY757" s="148">
        <v>1</v>
      </c>
      <c r="AZ757" s="155">
        <v>2</v>
      </c>
      <c r="BA757" s="155">
        <v>2</v>
      </c>
      <c r="BB757" s="159" t="s">
        <v>270</v>
      </c>
      <c r="BC757" s="150"/>
      <c r="BD757" s="150"/>
      <c r="BF757" s="152" t="s">
        <v>478</v>
      </c>
    </row>
    <row r="758" spans="1:58" s="152" customFormat="1" ht="14.25" x14ac:dyDescent="0.2">
      <c r="A758" s="160" t="str">
        <f t="shared" si="143"/>
        <v>A93</v>
      </c>
      <c r="B758" s="152" t="s">
        <v>655</v>
      </c>
      <c r="C758" s="160">
        <f t="shared" si="144"/>
        <v>223.15</v>
      </c>
      <c r="D758" s="160"/>
      <c r="E758" s="170" t="str">
        <f>IF(OR(A758="",B758="",C758=""),"eine der Spalten BAB, FR, km leer?",CONCATENATE(VLOOKUP(VALUE(I758),[1]Grundlage!$A$1:$B$14,2,0),IF(LEFT(A758,1)="A",IF(VALUE(MID(A758,2,10))&lt;10,"A00"&amp;VALUE(MID(A758,2,10)),IF(VALUE(MID(A758,2,10))&lt;100,"A0"&amp;VALUE(MID(A758,2,10)),IF(VALUE(MID(A758,2,10))&lt;1000,"A"&amp;VALUE(MID(A758,2,10))))),IF(LEFT(A758,1)="B",IF(VALUE(MID(A758,2,10))&lt;10,"B00"&amp;VALUE(MID(A758,2,10)),IF(VALUE(MID(A758,2,10))&lt;100,"B0"&amp;VALUE(MID(A758,2,10)),IF(VALUE(MID(A758,2,10))&lt;1000,"B"&amp;VALUE(MID(A758,2,10))))),A758)),"_",IF(NOT(OR(C758=1000,C758&gt;1000)),MID(TEXT((C758+1000)*1000,0),2,6),"keine Meter in Spalte km!!!"),IF(VALUE(I758)=1,CONCATENATE("_",VLOOKUP(IF(V758&gt;0,V758,J758),[1]Grundlage!$A$20:$B$181,2,0)),CONCATENATE("_",B758))))</f>
        <v>UQ_A093_223150_S</v>
      </c>
      <c r="F758" s="152" t="s">
        <v>25</v>
      </c>
      <c r="G758" s="171">
        <f t="shared" si="152"/>
        <v>36396</v>
      </c>
      <c r="H758" s="160">
        <f t="shared" si="153"/>
        <v>173</v>
      </c>
      <c r="I758" s="152">
        <f t="shared" si="145"/>
        <v>3</v>
      </c>
      <c r="J758" s="152">
        <f t="shared" si="146"/>
        <v>12</v>
      </c>
      <c r="K758" s="152">
        <f t="shared" si="147"/>
        <v>201</v>
      </c>
      <c r="L758" s="152">
        <f t="shared" si="147"/>
        <v>4</v>
      </c>
      <c r="M758" s="152">
        <f t="shared" si="148"/>
        <v>1</v>
      </c>
      <c r="N758" s="152">
        <f t="shared" si="149"/>
        <v>3</v>
      </c>
      <c r="P758" s="172">
        <f t="shared" si="150"/>
        <v>48</v>
      </c>
      <c r="AI758" s="154"/>
      <c r="AT758" s="148">
        <v>3</v>
      </c>
      <c r="AU758" s="155">
        <v>12</v>
      </c>
      <c r="AV758" s="155" t="s">
        <v>79</v>
      </c>
      <c r="AY758" s="148">
        <v>1</v>
      </c>
      <c r="AZ758" s="155">
        <v>3</v>
      </c>
      <c r="BA758" s="155">
        <v>3</v>
      </c>
      <c r="BB758" s="152" t="s">
        <v>25</v>
      </c>
      <c r="BC758" s="150"/>
      <c r="BD758" s="150"/>
      <c r="BF758" s="152" t="s">
        <v>441</v>
      </c>
    </row>
    <row r="759" spans="1:58" s="152" customFormat="1" ht="14.25" x14ac:dyDescent="0.2">
      <c r="A759" s="160" t="str">
        <f t="shared" si="143"/>
        <v>A93</v>
      </c>
      <c r="B759" s="152" t="s">
        <v>655</v>
      </c>
      <c r="C759" s="160">
        <f t="shared" si="144"/>
        <v>223.15</v>
      </c>
      <c r="D759" s="160"/>
      <c r="E759" s="170" t="str">
        <f>IF(OR(A759="",B759="",C759=""),"eine der Spalten BAB, FR, km leer?",CONCATENATE(VLOOKUP(VALUE(I759),[1]Grundlage!$A$1:$B$14,2,0),IF(LEFT(A759,1)="A",IF(VALUE(MID(A759,2,10))&lt;10,"A00"&amp;VALUE(MID(A759,2,10)),IF(VALUE(MID(A759,2,10))&lt;100,"A0"&amp;VALUE(MID(A759,2,10)),IF(VALUE(MID(A759,2,10))&lt;1000,"A"&amp;VALUE(MID(A759,2,10))))),IF(LEFT(A759,1)="B",IF(VALUE(MID(A759,2,10))&lt;10,"B00"&amp;VALUE(MID(A759,2,10)),IF(VALUE(MID(A759,2,10))&lt;100,"B0"&amp;VALUE(MID(A759,2,10)),IF(VALUE(MID(A759,2,10))&lt;1000,"B"&amp;VALUE(MID(A759,2,10))))),A759)),"_",IF(NOT(OR(C759=1000,C759&gt;1000)),MID(TEXT((C759+1000)*1000,0),2,6),"keine Meter in Spalte km!!!"),IF(VALUE(I759)=1,CONCATENATE("_",VLOOKUP(IF(V759&gt;0,V759,J759),[1]Grundlage!$A$20:$B$181,2,0)),CONCATENATE("_",B759))))</f>
        <v>UQ_A093_223150_S</v>
      </c>
      <c r="F759" s="152" t="s">
        <v>26</v>
      </c>
      <c r="G759" s="171">
        <f t="shared" si="152"/>
        <v>36396</v>
      </c>
      <c r="H759" s="160">
        <f t="shared" si="153"/>
        <v>173</v>
      </c>
      <c r="I759" s="152">
        <f t="shared" si="145"/>
        <v>3</v>
      </c>
      <c r="J759" s="152">
        <f t="shared" si="146"/>
        <v>13</v>
      </c>
      <c r="K759" s="152">
        <f t="shared" si="147"/>
        <v>201</v>
      </c>
      <c r="L759" s="152">
        <f t="shared" si="147"/>
        <v>4</v>
      </c>
      <c r="M759" s="152">
        <f t="shared" si="148"/>
        <v>1</v>
      </c>
      <c r="N759" s="152">
        <f t="shared" si="149"/>
        <v>4</v>
      </c>
      <c r="P759" s="172">
        <f t="shared" si="150"/>
        <v>55</v>
      </c>
      <c r="AI759" s="154"/>
      <c r="AT759" s="148">
        <v>3</v>
      </c>
      <c r="AU759" s="155">
        <v>13</v>
      </c>
      <c r="AV759" s="155" t="s">
        <v>80</v>
      </c>
      <c r="AY759" s="148">
        <v>1</v>
      </c>
      <c r="AZ759" s="155">
        <v>4</v>
      </c>
      <c r="BA759" s="155">
        <v>4</v>
      </c>
      <c r="BB759" s="152" t="s">
        <v>26</v>
      </c>
      <c r="BC759" s="150"/>
      <c r="BD759" s="150"/>
      <c r="BF759" s="152" t="s">
        <v>442</v>
      </c>
    </row>
    <row r="760" spans="1:58" s="152" customFormat="1" ht="14.25" x14ac:dyDescent="0.2">
      <c r="A760" s="160" t="str">
        <f t="shared" si="143"/>
        <v>A93</v>
      </c>
      <c r="B760" s="152" t="s">
        <v>655</v>
      </c>
      <c r="C760" s="160">
        <f t="shared" si="144"/>
        <v>223.15</v>
      </c>
      <c r="D760" s="160"/>
      <c r="E760" s="170" t="str">
        <f>IF(OR(A760="",B760="",C760=""),"eine der Spalten BAB, FR, km leer?",CONCATENATE(VLOOKUP(VALUE(I760),[1]Grundlage!$A$1:$B$14,2,0),IF(LEFT(A760,1)="A",IF(VALUE(MID(A760,2,10))&lt;10,"A00"&amp;VALUE(MID(A760,2,10)),IF(VALUE(MID(A760,2,10))&lt;100,"A0"&amp;VALUE(MID(A760,2,10)),IF(VALUE(MID(A760,2,10))&lt;1000,"A"&amp;VALUE(MID(A760,2,10))))),IF(LEFT(A760,1)="B",IF(VALUE(MID(A760,2,10))&lt;10,"B00"&amp;VALUE(MID(A760,2,10)),IF(VALUE(MID(A760,2,10))&lt;100,"B0"&amp;VALUE(MID(A760,2,10)),IF(VALUE(MID(A760,2,10))&lt;1000,"B"&amp;VALUE(MID(A760,2,10))))),A760)),"_",IF(NOT(OR(C760=1000,C760&gt;1000)),MID(TEXT((C760+1000)*1000,0),2,6),"keine Meter in Spalte km!!!"),IF(VALUE(I760)=1,CONCATENATE("_",VLOOKUP(IF(V760&gt;0,V760,J760),[1]Grundlage!$A$20:$B$181,2,0)),CONCATENATE("_",B760))))</f>
        <v>UQ_A093_223150_S</v>
      </c>
      <c r="F760" s="152" t="s">
        <v>27</v>
      </c>
      <c r="G760" s="171">
        <f t="shared" si="152"/>
        <v>36396</v>
      </c>
      <c r="H760" s="160">
        <f t="shared" si="153"/>
        <v>173</v>
      </c>
      <c r="I760" s="152">
        <f t="shared" si="145"/>
        <v>3</v>
      </c>
      <c r="J760" s="152">
        <f t="shared" si="146"/>
        <v>14</v>
      </c>
      <c r="K760" s="152">
        <f t="shared" si="147"/>
        <v>201</v>
      </c>
      <c r="L760" s="152">
        <f t="shared" si="147"/>
        <v>4</v>
      </c>
      <c r="M760" s="152">
        <f t="shared" si="148"/>
        <v>1</v>
      </c>
      <c r="N760" s="152">
        <f t="shared" si="149"/>
        <v>5</v>
      </c>
      <c r="P760" s="172">
        <f t="shared" si="150"/>
        <v>66</v>
      </c>
      <c r="AI760" s="154"/>
      <c r="AT760" s="148">
        <v>3</v>
      </c>
      <c r="AU760" s="155">
        <v>14</v>
      </c>
      <c r="AV760" s="155" t="s">
        <v>81</v>
      </c>
      <c r="AY760" s="148">
        <v>1</v>
      </c>
      <c r="AZ760" s="155">
        <v>5</v>
      </c>
      <c r="BA760" s="155">
        <v>5</v>
      </c>
      <c r="BB760" s="152" t="s">
        <v>27</v>
      </c>
      <c r="BC760" s="150"/>
      <c r="BD760" s="150"/>
      <c r="BF760" s="152" t="s">
        <v>443</v>
      </c>
    </row>
    <row r="761" spans="1:58" s="152" customFormat="1" ht="14.25" x14ac:dyDescent="0.2">
      <c r="A761" s="160" t="str">
        <f t="shared" si="143"/>
        <v>A93</v>
      </c>
      <c r="B761" s="152" t="s">
        <v>655</v>
      </c>
      <c r="C761" s="160">
        <f t="shared" si="144"/>
        <v>223.15</v>
      </c>
      <c r="D761" s="160"/>
      <c r="E761" s="170" t="str">
        <f>IF(OR(A761="",B761="",C761=""),"eine der Spalten BAB, FR, km leer?",CONCATENATE(VLOOKUP(VALUE(I761),[1]Grundlage!$A$1:$B$14,2,0),IF(LEFT(A761,1)="A",IF(VALUE(MID(A761,2,10))&lt;10,"A00"&amp;VALUE(MID(A761,2,10)),IF(VALUE(MID(A761,2,10))&lt;100,"A0"&amp;VALUE(MID(A761,2,10)),IF(VALUE(MID(A761,2,10))&lt;1000,"A"&amp;VALUE(MID(A761,2,10))))),IF(LEFT(A761,1)="B",IF(VALUE(MID(A761,2,10))&lt;10,"B00"&amp;VALUE(MID(A761,2,10)),IF(VALUE(MID(A761,2,10))&lt;100,"B0"&amp;VALUE(MID(A761,2,10)),IF(VALUE(MID(A761,2,10))&lt;1000,"B"&amp;VALUE(MID(A761,2,10))))),A761)),"_",IF(NOT(OR(C761=1000,C761&gt;1000)),MID(TEXT((C761+1000)*1000,0),2,6),"keine Meter in Spalte km!!!"),IF(VALUE(I761)=1,CONCATENATE("_",VLOOKUP(IF(V761&gt;0,V761,J761),[1]Grundlage!$A$20:$B$181,2,0)),CONCATENATE("_",B761))))</f>
        <v>UQ_A093_223150_S</v>
      </c>
      <c r="F761" s="152" t="s">
        <v>28</v>
      </c>
      <c r="G761" s="171">
        <f t="shared" si="152"/>
        <v>36396</v>
      </c>
      <c r="H761" s="160">
        <f t="shared" si="153"/>
        <v>173</v>
      </c>
      <c r="I761" s="152">
        <f t="shared" si="145"/>
        <v>3</v>
      </c>
      <c r="J761" s="152">
        <f t="shared" si="146"/>
        <v>15</v>
      </c>
      <c r="K761" s="152">
        <f t="shared" si="147"/>
        <v>201</v>
      </c>
      <c r="L761" s="152">
        <f t="shared" si="147"/>
        <v>4</v>
      </c>
      <c r="M761" s="152">
        <f t="shared" si="148"/>
        <v>1</v>
      </c>
      <c r="N761" s="152">
        <f t="shared" si="149"/>
        <v>6</v>
      </c>
      <c r="P761" s="172">
        <f t="shared" si="150"/>
        <v>65</v>
      </c>
      <c r="AI761" s="154"/>
      <c r="AT761" s="148">
        <v>3</v>
      </c>
      <c r="AU761" s="155">
        <v>15</v>
      </c>
      <c r="AV761" s="155" t="s">
        <v>82</v>
      </c>
      <c r="AY761" s="148">
        <v>1</v>
      </c>
      <c r="AZ761" s="155">
        <v>6</v>
      </c>
      <c r="BA761" s="155">
        <v>6</v>
      </c>
      <c r="BB761" s="152" t="s">
        <v>28</v>
      </c>
      <c r="BC761" s="150"/>
      <c r="BD761" s="150"/>
      <c r="BF761" s="152" t="s">
        <v>482</v>
      </c>
    </row>
    <row r="762" spans="1:58" s="152" customFormat="1" ht="14.25" x14ac:dyDescent="0.2">
      <c r="A762" s="160" t="str">
        <f t="shared" si="143"/>
        <v>A93</v>
      </c>
      <c r="B762" s="152" t="s">
        <v>655</v>
      </c>
      <c r="C762" s="160">
        <f t="shared" si="144"/>
        <v>223.15</v>
      </c>
      <c r="D762" s="160"/>
      <c r="E762" s="170" t="str">
        <f>IF(OR(A762="",B762="",C762=""),"eine der Spalten BAB, FR, km leer?",CONCATENATE(VLOOKUP(VALUE(I762),[1]Grundlage!$A$1:$B$14,2,0),IF(LEFT(A762,1)="A",IF(VALUE(MID(A762,2,10))&lt;10,"A00"&amp;VALUE(MID(A762,2,10)),IF(VALUE(MID(A762,2,10))&lt;100,"A0"&amp;VALUE(MID(A762,2,10)),IF(VALUE(MID(A762,2,10))&lt;1000,"A"&amp;VALUE(MID(A762,2,10))))),IF(LEFT(A762,1)="B",IF(VALUE(MID(A762,2,10))&lt;10,"B00"&amp;VALUE(MID(A762,2,10)),IF(VALUE(MID(A762,2,10))&lt;100,"B0"&amp;VALUE(MID(A762,2,10)),IF(VALUE(MID(A762,2,10))&lt;1000,"B"&amp;VALUE(MID(A762,2,10))))),A762)),"_",IF(NOT(OR(C762=1000,C762&gt;1000)),MID(TEXT((C762+1000)*1000,0),2,6),"keine Meter in Spalte km!!!"),IF(VALUE(I762)=1,CONCATENATE("_",VLOOKUP(IF(V762&gt;0,V762,J762),[1]Grundlage!$A$20:$B$181,2,0)),CONCATENATE("_",B762))))</f>
        <v>UQ_A093_223150_S</v>
      </c>
      <c r="F762" s="152" t="s">
        <v>29</v>
      </c>
      <c r="G762" s="171">
        <f t="shared" si="152"/>
        <v>36396</v>
      </c>
      <c r="H762" s="160">
        <f t="shared" si="153"/>
        <v>173</v>
      </c>
      <c r="I762" s="152">
        <f t="shared" si="145"/>
        <v>3</v>
      </c>
      <c r="J762" s="152">
        <f t="shared" si="146"/>
        <v>19</v>
      </c>
      <c r="K762" s="152">
        <f t="shared" si="147"/>
        <v>201</v>
      </c>
      <c r="L762" s="152">
        <f t="shared" si="147"/>
        <v>4</v>
      </c>
      <c r="M762" s="152">
        <f t="shared" si="148"/>
        <v>1</v>
      </c>
      <c r="N762" s="152">
        <f t="shared" si="149"/>
        <v>7</v>
      </c>
      <c r="P762" s="172">
        <f t="shared" si="150"/>
        <v>49</v>
      </c>
      <c r="AI762" s="154"/>
      <c r="AT762" s="148">
        <v>3</v>
      </c>
      <c r="AU762" s="155">
        <v>19</v>
      </c>
      <c r="AV762" s="155">
        <v>13</v>
      </c>
      <c r="AY762" s="148">
        <v>1</v>
      </c>
      <c r="AZ762" s="155">
        <v>7</v>
      </c>
      <c r="BA762" s="155">
        <v>7</v>
      </c>
      <c r="BB762" s="152" t="s">
        <v>29</v>
      </c>
      <c r="BC762" s="150"/>
      <c r="BD762" s="150"/>
      <c r="BF762" s="152" t="s">
        <v>479</v>
      </c>
    </row>
    <row r="763" spans="1:58" s="152" customFormat="1" ht="14.25" x14ac:dyDescent="0.2">
      <c r="A763" s="160" t="str">
        <f t="shared" si="143"/>
        <v>A93</v>
      </c>
      <c r="B763" s="152" t="s">
        <v>655</v>
      </c>
      <c r="C763" s="160">
        <f t="shared" si="144"/>
        <v>223.15</v>
      </c>
      <c r="D763" s="160"/>
      <c r="E763" s="170" t="str">
        <f>IF(OR(A763="",B763="",C763=""),"eine der Spalten BAB, FR, km leer?",CONCATENATE(VLOOKUP(VALUE(I763),[1]Grundlage!$A$1:$B$14,2,0),IF(LEFT(A763,1)="A",IF(VALUE(MID(A763,2,10))&lt;10,"A00"&amp;VALUE(MID(A763,2,10)),IF(VALUE(MID(A763,2,10))&lt;100,"A0"&amp;VALUE(MID(A763,2,10)),IF(VALUE(MID(A763,2,10))&lt;1000,"A"&amp;VALUE(MID(A763,2,10))))),IF(LEFT(A763,1)="B",IF(VALUE(MID(A763,2,10))&lt;10,"B00"&amp;VALUE(MID(A763,2,10)),IF(VALUE(MID(A763,2,10))&lt;100,"B0"&amp;VALUE(MID(A763,2,10)),IF(VALUE(MID(A763,2,10))&lt;1000,"B"&amp;VALUE(MID(A763,2,10))))),A763)),"_",IF(NOT(OR(C763=1000,C763&gt;1000)),MID(TEXT((C763+1000)*1000,0),2,6),"keine Meter in Spalte km!!!"),IF(VALUE(I763)=1,CONCATENATE("_",VLOOKUP(IF(V763&gt;0,V763,J763),[1]Grundlage!$A$20:$B$181,2,0)),CONCATENATE("_",B763))))</f>
        <v>UQ_A093_223150_S</v>
      </c>
      <c r="F763" s="152" t="s">
        <v>30</v>
      </c>
      <c r="G763" s="171">
        <f t="shared" si="152"/>
        <v>36396</v>
      </c>
      <c r="H763" s="160">
        <f t="shared" si="153"/>
        <v>173</v>
      </c>
      <c r="I763" s="152">
        <f t="shared" si="145"/>
        <v>3</v>
      </c>
      <c r="J763" s="152">
        <f t="shared" si="146"/>
        <v>21</v>
      </c>
      <c r="K763" s="152">
        <f t="shared" si="147"/>
        <v>201</v>
      </c>
      <c r="L763" s="152">
        <f t="shared" si="147"/>
        <v>4</v>
      </c>
      <c r="M763" s="152">
        <f t="shared" si="148"/>
        <v>1</v>
      </c>
      <c r="N763" s="152">
        <f t="shared" si="149"/>
        <v>8</v>
      </c>
      <c r="P763" s="172">
        <f t="shared" si="150"/>
        <v>67</v>
      </c>
      <c r="AI763" s="154"/>
      <c r="AT763" s="148">
        <v>3</v>
      </c>
      <c r="AU763" s="155">
        <v>21</v>
      </c>
      <c r="AV763" s="155">
        <v>15</v>
      </c>
      <c r="AY763" s="148">
        <v>1</v>
      </c>
      <c r="AZ763" s="155">
        <v>8</v>
      </c>
      <c r="BA763" s="155">
        <v>8</v>
      </c>
      <c r="BB763" s="152" t="s">
        <v>30</v>
      </c>
      <c r="BC763" s="150"/>
      <c r="BD763" s="150"/>
      <c r="BF763" s="152" t="s">
        <v>480</v>
      </c>
    </row>
    <row r="764" spans="1:58" s="152" customFormat="1" ht="14.25" x14ac:dyDescent="0.2">
      <c r="A764" s="160" t="str">
        <f t="shared" si="143"/>
        <v>A93</v>
      </c>
      <c r="B764" s="152" t="s">
        <v>655</v>
      </c>
      <c r="C764" s="160">
        <f t="shared" si="144"/>
        <v>223.15</v>
      </c>
      <c r="D764" s="160"/>
      <c r="E764" s="170" t="str">
        <f>IF(OR(A764="",B764="",C764=""),"eine der Spalten BAB, FR, km leer?",CONCATENATE(VLOOKUP(VALUE(I764),[1]Grundlage!$A$1:$B$14,2,0),IF(LEFT(A764,1)="A",IF(VALUE(MID(A764,2,10))&lt;10,"A00"&amp;VALUE(MID(A764,2,10)),IF(VALUE(MID(A764,2,10))&lt;100,"A0"&amp;VALUE(MID(A764,2,10)),IF(VALUE(MID(A764,2,10))&lt;1000,"A"&amp;VALUE(MID(A764,2,10))))),IF(LEFT(A764,1)="B",IF(VALUE(MID(A764,2,10))&lt;10,"B00"&amp;VALUE(MID(A764,2,10)),IF(VALUE(MID(A764,2,10))&lt;100,"B0"&amp;VALUE(MID(A764,2,10)),IF(VALUE(MID(A764,2,10))&lt;1000,"B"&amp;VALUE(MID(A764,2,10))))),A764)),"_",IF(NOT(OR(C764=1000,C764&gt;1000)),MID(TEXT((C764+1000)*1000,0),2,6),"keine Meter in Spalte km!!!"),IF(VALUE(I764)=1,CONCATENATE("_",VLOOKUP(IF(V764&gt;0,V764,J764),[1]Grundlage!$A$20:$B$181,2,0)),CONCATENATE("_",B764))))</f>
        <v>UQ_A093_223150_S</v>
      </c>
      <c r="F764" s="152" t="s">
        <v>41</v>
      </c>
      <c r="G764" s="171">
        <f t="shared" si="152"/>
        <v>36396</v>
      </c>
      <c r="H764" s="160">
        <f t="shared" si="153"/>
        <v>173</v>
      </c>
      <c r="I764" s="152">
        <f t="shared" si="145"/>
        <v>3</v>
      </c>
      <c r="J764" s="152">
        <f t="shared" si="146"/>
        <v>24</v>
      </c>
      <c r="K764" s="152">
        <f t="shared" si="147"/>
        <v>201</v>
      </c>
      <c r="L764" s="152">
        <f t="shared" si="147"/>
        <v>4</v>
      </c>
      <c r="M764" s="152">
        <f t="shared" si="148"/>
        <v>1</v>
      </c>
      <c r="N764" s="152">
        <f t="shared" si="149"/>
        <v>9</v>
      </c>
      <c r="P764" s="172">
        <f t="shared" si="150"/>
        <v>69</v>
      </c>
      <c r="AI764" s="154"/>
      <c r="AT764" s="148">
        <v>3</v>
      </c>
      <c r="AU764" s="155">
        <v>24</v>
      </c>
      <c r="AV764" s="155">
        <v>18</v>
      </c>
      <c r="AY764" s="148">
        <v>1</v>
      </c>
      <c r="AZ764" s="160">
        <v>9</v>
      </c>
      <c r="BA764" s="155">
        <v>9</v>
      </c>
      <c r="BB764" s="152" t="s">
        <v>41</v>
      </c>
      <c r="BC764" s="150"/>
      <c r="BD764" s="150"/>
      <c r="BF764" s="152" t="s">
        <v>465</v>
      </c>
    </row>
    <row r="765" spans="1:58" s="152" customFormat="1" ht="14.25" x14ac:dyDescent="0.2">
      <c r="A765" s="160" t="str">
        <f t="shared" si="143"/>
        <v>A93</v>
      </c>
      <c r="B765" s="152" t="s">
        <v>655</v>
      </c>
      <c r="C765" s="160">
        <f t="shared" si="144"/>
        <v>223.15</v>
      </c>
      <c r="D765" s="160"/>
      <c r="E765" s="170" t="str">
        <f>IF(OR(A765="",B765="",C765=""),"eine der Spalten BAB, FR, km leer?",CONCATENATE(VLOOKUP(VALUE(I765),[1]Grundlage!$A$1:$B$14,2,0),IF(LEFT(A765,1)="A",IF(VALUE(MID(A765,2,10))&lt;10,"A00"&amp;VALUE(MID(A765,2,10)),IF(VALUE(MID(A765,2,10))&lt;100,"A0"&amp;VALUE(MID(A765,2,10)),IF(VALUE(MID(A765,2,10))&lt;1000,"A"&amp;VALUE(MID(A765,2,10))))),IF(LEFT(A765,1)="B",IF(VALUE(MID(A765,2,10))&lt;10,"B00"&amp;VALUE(MID(A765,2,10)),IF(VALUE(MID(A765,2,10))&lt;100,"B0"&amp;VALUE(MID(A765,2,10)),IF(VALUE(MID(A765,2,10))&lt;1000,"B"&amp;VALUE(MID(A765,2,10))))),A765)),"_",IF(NOT(OR(C765=1000,C765&gt;1000)),MID(TEXT((C765+1000)*1000,0),2,6),"keine Meter in Spalte km!!!"),IF(VALUE(I765)=1,CONCATENATE("_",VLOOKUP(IF(V765&gt;0,V765,J765),[1]Grundlage!$A$20:$B$181,2,0)),CONCATENATE("_",B765))))</f>
        <v>UQ_A093_223150_S</v>
      </c>
      <c r="F765" s="152" t="s">
        <v>42</v>
      </c>
      <c r="G765" s="171">
        <f t="shared" si="152"/>
        <v>36396</v>
      </c>
      <c r="H765" s="160">
        <f t="shared" si="153"/>
        <v>173</v>
      </c>
      <c r="I765" s="152">
        <f t="shared" si="145"/>
        <v>3</v>
      </c>
      <c r="J765" s="152">
        <f t="shared" si="146"/>
        <v>25</v>
      </c>
      <c r="K765" s="152">
        <f t="shared" si="147"/>
        <v>201</v>
      </c>
      <c r="L765" s="152">
        <f t="shared" si="147"/>
        <v>4</v>
      </c>
      <c r="M765" s="152">
        <f t="shared" si="148"/>
        <v>1</v>
      </c>
      <c r="N765" s="152">
        <f t="shared" si="149"/>
        <v>10</v>
      </c>
      <c r="P765" s="172">
        <f>IF(AT765&lt;&gt;3,"",IF(BB765="Helligkeitssensor",61,IF(BB765="Helligkeit",61,IF(BB766="Lichtsensor",61,IF(BB765="Lufttemperatur",48,IF(BB765="Niederschlagsart",71,IF(BB765="Niederschlagsintensität",53,IF(BB765="relative Luftfeuchte RLF",55,IF(BB765="Sichtweite",60,IF(BB765="Sichtweite 1",60,IF(BB765="Zustand der Fahrbahnoberfläche FBZ",79,IF(BB765="Wasserfilmdicke WFD",72,IF(BB765="Clusterkanal FG3","",IF(BB765="Gefriertemperatur GT",65,IF(BB765="Fahrbahnoberflächentemperatur FBT",49,IF(BB765="Windrichtung  Typ 56 ",56,VALUE(RIGHT(BB765,2))))))))))))))))))</f>
        <v>56</v>
      </c>
      <c r="AI765" s="154"/>
      <c r="AT765" s="148">
        <v>3</v>
      </c>
      <c r="AU765" s="155">
        <v>25</v>
      </c>
      <c r="AV765" s="155">
        <v>19</v>
      </c>
      <c r="AY765" s="148">
        <v>1</v>
      </c>
      <c r="AZ765" s="155">
        <v>10</v>
      </c>
      <c r="BA765" s="174" t="s">
        <v>95</v>
      </c>
      <c r="BB765" s="152" t="s">
        <v>42</v>
      </c>
      <c r="BC765" s="150"/>
      <c r="BD765" s="150"/>
      <c r="BF765" s="152" t="s">
        <v>515</v>
      </c>
    </row>
    <row r="766" spans="1:58" s="152" customFormat="1" ht="14.25" x14ac:dyDescent="0.2">
      <c r="A766" s="160" t="str">
        <f t="shared" si="143"/>
        <v>A93</v>
      </c>
      <c r="B766" s="152" t="s">
        <v>655</v>
      </c>
      <c r="C766" s="160">
        <f t="shared" si="144"/>
        <v>223.15</v>
      </c>
      <c r="D766" s="160"/>
      <c r="E766" s="170" t="str">
        <f>IF(OR(A766="",B766="",C766=""),"eine der Spalten BAB, FR, km leer?",CONCATENATE(VLOOKUP(VALUE(I766),[1]Grundlage!$A$1:$B$14,2,0),IF(LEFT(A766,1)="A",IF(VALUE(MID(A766,2,10))&lt;10,"A00"&amp;VALUE(MID(A766,2,10)),IF(VALUE(MID(A766,2,10))&lt;100,"A0"&amp;VALUE(MID(A766,2,10)),IF(VALUE(MID(A766,2,10))&lt;1000,"A"&amp;VALUE(MID(A766,2,10))))),IF(LEFT(A766,1)="B",IF(VALUE(MID(A766,2,10))&lt;10,"B00"&amp;VALUE(MID(A766,2,10)),IF(VALUE(MID(A766,2,10))&lt;100,"B0"&amp;VALUE(MID(A766,2,10)),IF(VALUE(MID(A766,2,10))&lt;1000,"B"&amp;VALUE(MID(A766,2,10))))),A766)),"_",IF(NOT(OR(C766=1000,C766&gt;1000)),MID(TEXT((C766+1000)*1000,0),2,6),"keine Meter in Spalte km!!!"),IF(VALUE(I766)=1,CONCATENATE("_",VLOOKUP(IF(V766&gt;0,V766,J766),[1]Grundlage!$A$20:$B$181,2,0)),CONCATENATE("_",B766))))</f>
        <v>UQ_A093_223150_S</v>
      </c>
      <c r="F766" s="152" t="s">
        <v>43</v>
      </c>
      <c r="G766" s="171">
        <f t="shared" si="152"/>
        <v>36396</v>
      </c>
      <c r="H766" s="160">
        <f t="shared" si="153"/>
        <v>173</v>
      </c>
      <c r="I766" s="152">
        <f t="shared" si="145"/>
        <v>3</v>
      </c>
      <c r="J766" s="152">
        <f t="shared" si="146"/>
        <v>26</v>
      </c>
      <c r="K766" s="152">
        <f t="shared" si="147"/>
        <v>201</v>
      </c>
      <c r="L766" s="152">
        <f t="shared" si="147"/>
        <v>4</v>
      </c>
      <c r="M766" s="152">
        <f t="shared" si="148"/>
        <v>1</v>
      </c>
      <c r="N766" s="152">
        <f t="shared" si="149"/>
        <v>11</v>
      </c>
      <c r="P766" s="172">
        <f t="shared" si="150"/>
        <v>57</v>
      </c>
      <c r="AI766" s="154"/>
      <c r="AT766" s="148">
        <v>3</v>
      </c>
      <c r="AU766" s="155">
        <v>26</v>
      </c>
      <c r="AV766" s="155" t="s">
        <v>86</v>
      </c>
      <c r="AY766" s="148">
        <v>1</v>
      </c>
      <c r="AZ766" s="155">
        <v>11</v>
      </c>
      <c r="BA766" s="174" t="s">
        <v>78</v>
      </c>
      <c r="BB766" s="152" t="s">
        <v>43</v>
      </c>
      <c r="BC766" s="150"/>
      <c r="BD766" s="150"/>
      <c r="BF766" s="152" t="s">
        <v>446</v>
      </c>
    </row>
    <row r="767" spans="1:58" s="152" customFormat="1" ht="14.25" x14ac:dyDescent="0.2">
      <c r="A767" s="160" t="str">
        <f t="shared" si="143"/>
        <v>A93</v>
      </c>
      <c r="B767" s="152" t="s">
        <v>655</v>
      </c>
      <c r="C767" s="160">
        <f t="shared" si="144"/>
        <v>223.15</v>
      </c>
      <c r="D767" s="160"/>
      <c r="E767" s="170" t="str">
        <f>IF(OR(A767="",B767="",C767=""),"eine der Spalten BAB, FR, km leer?",CONCATENATE(VLOOKUP(VALUE(I767),[1]Grundlage!$A$1:$B$14,2,0),IF(LEFT(A767,1)="A",IF(VALUE(MID(A767,2,10))&lt;10,"A00"&amp;VALUE(MID(A767,2,10)),IF(VALUE(MID(A767,2,10))&lt;100,"A0"&amp;VALUE(MID(A767,2,10)),IF(VALUE(MID(A767,2,10))&lt;1000,"A"&amp;VALUE(MID(A767,2,10))))),IF(LEFT(A767,1)="B",IF(VALUE(MID(A767,2,10))&lt;10,"B00"&amp;VALUE(MID(A767,2,10)),IF(VALUE(MID(A767,2,10))&lt;100,"B0"&amp;VALUE(MID(A767,2,10)),IF(VALUE(MID(A767,2,10))&lt;1000,"B"&amp;VALUE(MID(A767,2,10))))),A767)),"_",IF(NOT(OR(C767=1000,C767&gt;1000)),MID(TEXT((C767+1000)*1000,0),2,6),"keine Meter in Spalte km!!!"),IF(VALUE(I767)=1,CONCATENATE("_",VLOOKUP(IF(V767&gt;0,V767,J767),[1]Grundlage!$A$20:$B$181,2,0)),CONCATENATE("_",B767))))</f>
        <v>UQ_A093_223150_S</v>
      </c>
      <c r="F767" s="152" t="s">
        <v>271</v>
      </c>
      <c r="G767" s="171">
        <f t="shared" si="152"/>
        <v>36396</v>
      </c>
      <c r="H767" s="160">
        <f t="shared" si="153"/>
        <v>173</v>
      </c>
      <c r="I767" s="152">
        <f t="shared" si="145"/>
        <v>3</v>
      </c>
      <c r="J767" s="152">
        <f t="shared" si="146"/>
        <v>67</v>
      </c>
      <c r="K767" s="152">
        <f t="shared" si="147"/>
        <v>201</v>
      </c>
      <c r="L767" s="152">
        <f t="shared" si="147"/>
        <v>4</v>
      </c>
      <c r="M767" s="152">
        <f t="shared" si="148"/>
        <v>1</v>
      </c>
      <c r="N767" s="152">
        <f t="shared" si="149"/>
        <v>12</v>
      </c>
      <c r="P767" s="172">
        <f t="shared" si="150"/>
        <v>53</v>
      </c>
      <c r="AI767" s="154"/>
      <c r="AT767" s="148">
        <v>3</v>
      </c>
      <c r="AU767" s="155">
        <v>67</v>
      </c>
      <c r="AV767" s="155">
        <v>43</v>
      </c>
      <c r="AY767" s="148">
        <v>1</v>
      </c>
      <c r="AZ767" s="155">
        <v>12</v>
      </c>
      <c r="BA767" s="174" t="s">
        <v>79</v>
      </c>
      <c r="BB767" s="152" t="s">
        <v>271</v>
      </c>
      <c r="BC767" s="150"/>
      <c r="BD767" s="150"/>
      <c r="BF767" s="152" t="s">
        <v>444</v>
      </c>
    </row>
    <row r="768" spans="1:58" s="152" customFormat="1" ht="14.25" x14ac:dyDescent="0.2">
      <c r="A768" s="160" t="str">
        <f t="shared" si="143"/>
        <v>A93</v>
      </c>
      <c r="B768" s="152" t="s">
        <v>655</v>
      </c>
      <c r="C768" s="160">
        <f t="shared" si="144"/>
        <v>223.15</v>
      </c>
      <c r="D768" s="160"/>
      <c r="E768" s="170" t="str">
        <f>IF(OR(A768="",B768="",C768=""),"eine der Spalten BAB, FR, km leer?",CONCATENATE(VLOOKUP(VALUE(I768),[1]Grundlage!$A$1:$B$14,2,0),IF(LEFT(A768,1)="A",IF(VALUE(MID(A768,2,10))&lt;10,"A00"&amp;VALUE(MID(A768,2,10)),IF(VALUE(MID(A768,2,10))&lt;100,"A0"&amp;VALUE(MID(A768,2,10)),IF(VALUE(MID(A768,2,10))&lt;1000,"A"&amp;VALUE(MID(A768,2,10))))),IF(LEFT(A768,1)="B",IF(VALUE(MID(A768,2,10))&lt;10,"B00"&amp;VALUE(MID(A768,2,10)),IF(VALUE(MID(A768,2,10))&lt;100,"B0"&amp;VALUE(MID(A768,2,10)),IF(VALUE(MID(A768,2,10))&lt;1000,"B"&amp;VALUE(MID(A768,2,10))))),A768)),"_",IF(NOT(OR(C768=1000,C768&gt;1000)),MID(TEXT((C768+1000)*1000,0),2,6),"keine Meter in Spalte km!!!"),IF(VALUE(I768)=1,CONCATENATE("_",VLOOKUP(IF(V768&gt;0,V768,J768),[1]Grundlage!$A$20:$B$181,2,0)),CONCATENATE("_",B768))))</f>
        <v>UQ_A093_223150_S</v>
      </c>
      <c r="F768" s="152" t="s">
        <v>272</v>
      </c>
      <c r="G768" s="171">
        <f t="shared" si="152"/>
        <v>36396</v>
      </c>
      <c r="H768" s="160">
        <f t="shared" si="153"/>
        <v>173</v>
      </c>
      <c r="I768" s="152">
        <f t="shared" si="145"/>
        <v>3</v>
      </c>
      <c r="J768" s="152">
        <f t="shared" si="146"/>
        <v>82</v>
      </c>
      <c r="K768" s="152">
        <f t="shared" si="147"/>
        <v>201</v>
      </c>
      <c r="L768" s="152">
        <f t="shared" si="147"/>
        <v>4</v>
      </c>
      <c r="M768" s="152">
        <f t="shared" si="148"/>
        <v>1</v>
      </c>
      <c r="N768" s="152">
        <f t="shared" si="149"/>
        <v>13</v>
      </c>
      <c r="P768" s="172">
        <f t="shared" si="150"/>
        <v>72</v>
      </c>
      <c r="AI768" s="154"/>
      <c r="AT768" s="148">
        <v>3</v>
      </c>
      <c r="AU768" s="155">
        <v>82</v>
      </c>
      <c r="AV768" s="155">
        <v>52</v>
      </c>
      <c r="AY768" s="148">
        <v>1</v>
      </c>
      <c r="AZ768" s="155">
        <v>13</v>
      </c>
      <c r="BA768" s="174" t="s">
        <v>80</v>
      </c>
      <c r="BB768" s="152" t="s">
        <v>272</v>
      </c>
      <c r="BC768" s="150"/>
      <c r="BD768" s="150"/>
      <c r="BF768" s="152" t="s">
        <v>481</v>
      </c>
    </row>
    <row r="769" spans="1:58" ht="14.25" x14ac:dyDescent="0.2">
      <c r="A769" t="str">
        <f t="shared" si="143"/>
        <v>A93</v>
      </c>
      <c r="C769">
        <f t="shared" si="144"/>
        <v>223.15</v>
      </c>
      <c r="D769" t="str">
        <f t="shared" si="151"/>
        <v/>
      </c>
      <c r="E769" s="169" t="str">
        <f>IF(OR(A769="",B769="",C769=""),"",CONCATENATE(VLOOKUP(VALUE(I769),[1]Grundlage!$A$1:$B$14,2,0),IF(LEFT(A769,1)="A",IF(VALUE(MID(A769,2,10))&lt;10,"A00"&amp;VALUE(MID(A769,2,10)),IF(VALUE(MID(A769,2,10))&lt;100,"A0"&amp;VALUE(MID(A769,2,10)),IF(VALUE(MID(A769,2,10))&lt;1000,"A"&amp;VALUE(MID(A769,2,10))))),IF(LEFT(A769,1)="B",IF(VALUE(MID(A769,2,10))&lt;10,"B00"&amp;VALUE(MID(A769,2,10)),IF(VALUE(MID(A769,2,10))&lt;100,"B0"&amp;VALUE(MID(A769,2,10)),IF(VALUE(MID(A769,2,10))&lt;1000,"B"&amp;VALUE(MID(A769,2,10))))),A769)),"_",IF(NOT(OR(C769=1000,C769&gt;1000)),MID(TEXT((C769+1000)*1000,0),2,6),"keine Meter in Spalte km!!!"),IF(VALUE(I769)=1,CONCATENATE("_",VLOOKUP(IF(V769&gt;0,V769,J769),[1]Grundlage!$A$20:$B$181,2,0)),CONCATENATE("_",B769))))</f>
        <v/>
      </c>
      <c r="F769" s="2" t="s">
        <v>669</v>
      </c>
      <c r="G769" s="167">
        <f t="shared" si="152"/>
        <v>36396</v>
      </c>
      <c r="H769">
        <f t="shared" si="153"/>
        <v>173</v>
      </c>
      <c r="I769" s="2">
        <f t="shared" si="145"/>
        <v>0</v>
      </c>
      <c r="J769" s="2">
        <f t="shared" si="146"/>
        <v>0</v>
      </c>
      <c r="K769" s="2">
        <f t="shared" si="147"/>
        <v>201</v>
      </c>
      <c r="L769" s="2">
        <f t="shared" si="147"/>
        <v>4</v>
      </c>
      <c r="M769" s="2" t="str">
        <f t="shared" si="148"/>
        <v/>
      </c>
      <c r="N769" s="2" t="str">
        <f t="shared" si="149"/>
        <v/>
      </c>
      <c r="P769" s="168" t="str">
        <f t="shared" si="150"/>
        <v/>
      </c>
      <c r="AT769" s="1"/>
      <c r="AU769" s="11"/>
      <c r="AV769" s="11"/>
      <c r="AY769" s="19"/>
      <c r="AZ769" s="11"/>
      <c r="BA769" s="11"/>
      <c r="BF769" s="13"/>
    </row>
    <row r="770" spans="1:58" s="152" customFormat="1" ht="14.25" x14ac:dyDescent="0.2">
      <c r="A770" s="160" t="str">
        <f t="shared" si="143"/>
        <v>A3</v>
      </c>
      <c r="B770" s="152" t="s">
        <v>656</v>
      </c>
      <c r="C770" s="160">
        <f t="shared" si="144"/>
        <v>512.75</v>
      </c>
      <c r="D770" s="160"/>
      <c r="E770" s="170" t="str">
        <f>IF(OR(A770="",B770="",C770=""),"eine der Spalten BAB, FR, km leer?",CONCATENATE(VLOOKUP(VALUE(I770),[1]Grundlage!$A$1:$B$14,2,0),IF(LEFT(A770,1)="A",IF(VALUE(MID(A770,2,10))&lt;10,"A00"&amp;VALUE(MID(A770,2,10)),IF(VALUE(MID(A770,2,10))&lt;100,"A0"&amp;VALUE(MID(A770,2,10)),IF(VALUE(MID(A770,2,10))&lt;1000,"A"&amp;VALUE(MID(A770,2,10))))),IF(LEFT(A770,1)="B",IF(VALUE(MID(A770,2,10))&lt;10,"B00"&amp;VALUE(MID(A770,2,10)),IF(VALUE(MID(A770,2,10))&lt;100,"B0"&amp;VALUE(MID(A770,2,10)),IF(VALUE(MID(A770,2,10))&lt;1000,"B"&amp;VALUE(MID(A770,2,10))))),A770)),"_",IF(NOT(OR(C770=1000,C770&gt;1000)),MID(TEXT((C770+1000)*1000,0),2,6),"keine Meter in Spalte km!!!"),IF(VALUE(I770)=1,CONCATENATE("_",VLOOKUP(IF(V770&gt;0,V770,J770),[1]Grundlage!$A$20:$B$181,2,0)),CONCATENATE("_",B770))))</f>
        <v>SSt_A003_512750_N</v>
      </c>
      <c r="F770" s="152" t="s">
        <v>128</v>
      </c>
      <c r="G770" s="171">
        <f t="shared" si="152"/>
        <v>1197</v>
      </c>
      <c r="H770" s="160">
        <f t="shared" si="153"/>
        <v>232</v>
      </c>
      <c r="I770" s="152">
        <f t="shared" si="145"/>
        <v>0</v>
      </c>
      <c r="J770" s="152">
        <f t="shared" si="146"/>
        <v>0</v>
      </c>
      <c r="K770" s="152">
        <f t="shared" si="147"/>
        <v>201</v>
      </c>
      <c r="L770" s="152">
        <f t="shared" si="147"/>
        <v>7</v>
      </c>
      <c r="M770" s="152">
        <f t="shared" si="148"/>
        <v>7</v>
      </c>
      <c r="N770" s="152" t="str">
        <f t="shared" si="149"/>
        <v/>
      </c>
      <c r="P770" s="172" t="str">
        <f t="shared" si="150"/>
        <v/>
      </c>
      <c r="AI770" s="173">
        <v>512.75</v>
      </c>
      <c r="AJ770" s="148" t="s">
        <v>19</v>
      </c>
      <c r="AK770" s="148" t="s">
        <v>62</v>
      </c>
      <c r="AL770" s="148"/>
      <c r="AM770" s="148"/>
      <c r="AN770" s="148"/>
      <c r="AO770" s="148"/>
      <c r="AP770" s="148">
        <v>306664</v>
      </c>
      <c r="AQ770" s="177">
        <v>4</v>
      </c>
      <c r="AR770" s="158" t="s">
        <v>251</v>
      </c>
      <c r="AS770" s="158" t="s">
        <v>253</v>
      </c>
      <c r="AT770" s="148"/>
      <c r="AU770" s="148"/>
      <c r="AV770" s="148"/>
      <c r="AW770" s="148">
        <v>201</v>
      </c>
      <c r="AX770" s="148">
        <v>7</v>
      </c>
      <c r="AY770" s="148">
        <v>7</v>
      </c>
      <c r="AZ770" s="148"/>
      <c r="BA770" s="148"/>
      <c r="BB770" s="149" t="s">
        <v>128</v>
      </c>
      <c r="BC770" s="150"/>
      <c r="BD770" s="158" t="s">
        <v>293</v>
      </c>
      <c r="BE770" s="152" t="s">
        <v>127</v>
      </c>
      <c r="BF770" s="152" t="s">
        <v>564</v>
      </c>
    </row>
    <row r="771" spans="1:58" s="152" customFormat="1" ht="14.25" x14ac:dyDescent="0.2">
      <c r="A771" s="160" t="str">
        <f t="shared" si="143"/>
        <v>A3</v>
      </c>
      <c r="B771" s="152" t="s">
        <v>656</v>
      </c>
      <c r="C771" s="160">
        <f t="shared" si="144"/>
        <v>512.75</v>
      </c>
      <c r="D771" s="160"/>
      <c r="E771" s="170" t="str">
        <f>IF(OR(A771="",B771="",C771=""),"eine der Spalten BAB, FR, km leer?",CONCATENATE(VLOOKUP(VALUE(I771),[1]Grundlage!$A$1:$B$14,2,0),IF(LEFT(A771,1)="A",IF(VALUE(MID(A771,2,10))&lt;10,"A00"&amp;VALUE(MID(A771,2,10)),IF(VALUE(MID(A771,2,10))&lt;100,"A0"&amp;VALUE(MID(A771,2,10)),IF(VALUE(MID(A771,2,10))&lt;1000,"A"&amp;VALUE(MID(A771,2,10))))),IF(LEFT(A771,1)="B",IF(VALUE(MID(A771,2,10))&lt;10,"B00"&amp;VALUE(MID(A771,2,10)),IF(VALUE(MID(A771,2,10))&lt;100,"B0"&amp;VALUE(MID(A771,2,10)),IF(VALUE(MID(A771,2,10))&lt;1000,"B"&amp;VALUE(MID(A771,2,10))))),A771)),"_",IF(NOT(OR(C771=1000,C771&gt;1000)),MID(TEXT((C771+1000)*1000,0),2,6),"keine Meter in Spalte km!!!"),IF(VALUE(I771)=1,CONCATENATE("_",VLOOKUP(IF(V771&gt;0,V771,J771),[1]Grundlage!$A$20:$B$181,2,0)),CONCATENATE("_",B771))))</f>
        <v>UQ_A003_512750_N</v>
      </c>
      <c r="F771" s="152" t="s">
        <v>269</v>
      </c>
      <c r="G771" s="171">
        <f t="shared" si="152"/>
        <v>1197</v>
      </c>
      <c r="H771" s="160">
        <f t="shared" si="153"/>
        <v>232</v>
      </c>
      <c r="I771" s="152">
        <f t="shared" si="145"/>
        <v>3</v>
      </c>
      <c r="J771" s="152">
        <f t="shared" si="146"/>
        <v>6</v>
      </c>
      <c r="K771" s="152">
        <f t="shared" si="147"/>
        <v>201</v>
      </c>
      <c r="L771" s="152">
        <f t="shared" si="147"/>
        <v>7</v>
      </c>
      <c r="M771" s="152">
        <f t="shared" si="148"/>
        <v>1</v>
      </c>
      <c r="N771" s="152">
        <f t="shared" si="149"/>
        <v>1</v>
      </c>
      <c r="P771" s="172">
        <f t="shared" si="150"/>
        <v>71</v>
      </c>
      <c r="AI771" s="154"/>
      <c r="AT771" s="148">
        <v>3</v>
      </c>
      <c r="AU771" s="155">
        <v>6</v>
      </c>
      <c r="AV771" s="156">
        <v>6</v>
      </c>
      <c r="AW771" s="148"/>
      <c r="AX771" s="148"/>
      <c r="AY771" s="148">
        <v>1</v>
      </c>
      <c r="AZ771" s="155">
        <v>1</v>
      </c>
      <c r="BA771" s="156">
        <v>1</v>
      </c>
      <c r="BB771" s="152" t="s">
        <v>269</v>
      </c>
      <c r="BC771" s="150"/>
      <c r="BD771" s="150"/>
      <c r="BF771" s="152" t="s">
        <v>440</v>
      </c>
    </row>
    <row r="772" spans="1:58" s="152" customFormat="1" ht="14.25" x14ac:dyDescent="0.2">
      <c r="A772" s="160" t="str">
        <f t="shared" si="143"/>
        <v>A3</v>
      </c>
      <c r="B772" s="152" t="s">
        <v>656</v>
      </c>
      <c r="C772" s="160">
        <f t="shared" si="144"/>
        <v>512.75</v>
      </c>
      <c r="D772" s="160"/>
      <c r="E772" s="170" t="str">
        <f>IF(OR(A772="",B772="",C772=""),"eine der Spalten BAB, FR, km leer?",CONCATENATE(VLOOKUP(VALUE(I772),[1]Grundlage!$A$1:$B$14,2,0),IF(LEFT(A772,1)="A",IF(VALUE(MID(A772,2,10))&lt;10,"A00"&amp;VALUE(MID(A772,2,10)),IF(VALUE(MID(A772,2,10))&lt;100,"A0"&amp;VALUE(MID(A772,2,10)),IF(VALUE(MID(A772,2,10))&lt;1000,"A"&amp;VALUE(MID(A772,2,10))))),IF(LEFT(A772,1)="B",IF(VALUE(MID(A772,2,10))&lt;10,"B00"&amp;VALUE(MID(A772,2,10)),IF(VALUE(MID(A772,2,10))&lt;100,"B0"&amp;VALUE(MID(A772,2,10)),IF(VALUE(MID(A772,2,10))&lt;1000,"B"&amp;VALUE(MID(A772,2,10))))),A772)),"_",IF(NOT(OR(C772=1000,C772&gt;1000)),MID(TEXT((C772+1000)*1000,0),2,6),"keine Meter in Spalte km!!!"),IF(VALUE(I772)=1,CONCATENATE("_",VLOOKUP(IF(V772&gt;0,V772,J772),[1]Grundlage!$A$20:$B$181,2,0)),CONCATENATE("_",B772))))</f>
        <v>UQ_A003_512750_N</v>
      </c>
      <c r="F772" s="152" t="s">
        <v>270</v>
      </c>
      <c r="G772" s="171">
        <f t="shared" si="152"/>
        <v>1197</v>
      </c>
      <c r="H772" s="160">
        <f t="shared" si="153"/>
        <v>232</v>
      </c>
      <c r="I772" s="152">
        <f t="shared" si="145"/>
        <v>3</v>
      </c>
      <c r="J772" s="152">
        <f t="shared" si="146"/>
        <v>11</v>
      </c>
      <c r="K772" s="152">
        <f t="shared" si="147"/>
        <v>201</v>
      </c>
      <c r="L772" s="152">
        <f t="shared" si="147"/>
        <v>7</v>
      </c>
      <c r="M772" s="152">
        <f t="shared" si="148"/>
        <v>1</v>
      </c>
      <c r="N772" s="152">
        <f t="shared" si="149"/>
        <v>2</v>
      </c>
      <c r="P772" s="172">
        <f t="shared" si="150"/>
        <v>70</v>
      </c>
      <c r="AI772" s="154"/>
      <c r="AT772" s="148">
        <v>3</v>
      </c>
      <c r="AU772" s="155">
        <v>11</v>
      </c>
      <c r="AV772" s="155" t="s">
        <v>78</v>
      </c>
      <c r="AY772" s="148">
        <v>1</v>
      </c>
      <c r="AZ772" s="155">
        <v>2</v>
      </c>
      <c r="BA772" s="155">
        <v>2</v>
      </c>
      <c r="BB772" s="152" t="s">
        <v>270</v>
      </c>
      <c r="BC772" s="150"/>
      <c r="BD772" s="150"/>
      <c r="BF772" s="152" t="s">
        <v>565</v>
      </c>
    </row>
    <row r="773" spans="1:58" s="152" customFormat="1" ht="14.25" x14ac:dyDescent="0.2">
      <c r="A773" s="160" t="str">
        <f t="shared" si="143"/>
        <v>A3</v>
      </c>
      <c r="B773" s="152" t="s">
        <v>656</v>
      </c>
      <c r="C773" s="160">
        <f t="shared" si="144"/>
        <v>512.75</v>
      </c>
      <c r="D773" s="160"/>
      <c r="E773" s="170" t="str">
        <f>IF(OR(A773="",B773="",C773=""),"eine der Spalten BAB, FR, km leer?",CONCATENATE(VLOOKUP(VALUE(I773),[1]Grundlage!$A$1:$B$14,2,0),IF(LEFT(A773,1)="A",IF(VALUE(MID(A773,2,10))&lt;10,"A00"&amp;VALUE(MID(A773,2,10)),IF(VALUE(MID(A773,2,10))&lt;100,"A0"&amp;VALUE(MID(A773,2,10)),IF(VALUE(MID(A773,2,10))&lt;1000,"A"&amp;VALUE(MID(A773,2,10))))),IF(LEFT(A773,1)="B",IF(VALUE(MID(A773,2,10))&lt;10,"B00"&amp;VALUE(MID(A773,2,10)),IF(VALUE(MID(A773,2,10))&lt;100,"B0"&amp;VALUE(MID(A773,2,10)),IF(VALUE(MID(A773,2,10))&lt;1000,"B"&amp;VALUE(MID(A773,2,10))))),A773)),"_",IF(NOT(OR(C773=1000,C773&gt;1000)),MID(TEXT((C773+1000)*1000,0),2,6),"keine Meter in Spalte km!!!"),IF(VALUE(I773)=1,CONCATENATE("_",VLOOKUP(IF(V773&gt;0,V773,J773),[1]Grundlage!$A$20:$B$181,2,0)),CONCATENATE("_",B773))))</f>
        <v>UQ_A003_512750_N</v>
      </c>
      <c r="F773" s="152" t="s">
        <v>25</v>
      </c>
      <c r="G773" s="171">
        <f t="shared" si="152"/>
        <v>1197</v>
      </c>
      <c r="H773" s="160">
        <f t="shared" si="153"/>
        <v>232</v>
      </c>
      <c r="I773" s="152">
        <f t="shared" si="145"/>
        <v>3</v>
      </c>
      <c r="J773" s="152">
        <f t="shared" si="146"/>
        <v>12</v>
      </c>
      <c r="K773" s="152">
        <f t="shared" si="147"/>
        <v>201</v>
      </c>
      <c r="L773" s="152">
        <f t="shared" si="147"/>
        <v>7</v>
      </c>
      <c r="M773" s="152">
        <f t="shared" si="148"/>
        <v>1</v>
      </c>
      <c r="N773" s="152">
        <f t="shared" si="149"/>
        <v>3</v>
      </c>
      <c r="P773" s="172">
        <f t="shared" si="150"/>
        <v>48</v>
      </c>
      <c r="AI773" s="154"/>
      <c r="AT773" s="148">
        <v>3</v>
      </c>
      <c r="AU773" s="155">
        <v>12</v>
      </c>
      <c r="AV773" s="155" t="s">
        <v>79</v>
      </c>
      <c r="AY773" s="148">
        <v>1</v>
      </c>
      <c r="AZ773" s="155">
        <v>3</v>
      </c>
      <c r="BA773" s="155">
        <v>3</v>
      </c>
      <c r="BB773" s="152" t="s">
        <v>25</v>
      </c>
      <c r="BC773" s="150"/>
      <c r="BD773" s="150"/>
      <c r="BF773" s="152" t="s">
        <v>441</v>
      </c>
    </row>
    <row r="774" spans="1:58" s="152" customFormat="1" ht="14.25" x14ac:dyDescent="0.2">
      <c r="A774" s="160" t="str">
        <f t="shared" si="143"/>
        <v>A3</v>
      </c>
      <c r="B774" s="152" t="s">
        <v>656</v>
      </c>
      <c r="C774" s="160">
        <f t="shared" si="144"/>
        <v>512.75</v>
      </c>
      <c r="D774" s="160"/>
      <c r="E774" s="170" t="str">
        <f>IF(OR(A774="",B774="",C774=""),"eine der Spalten BAB, FR, km leer?",CONCATENATE(VLOOKUP(VALUE(I774),[1]Grundlage!$A$1:$B$14,2,0),IF(LEFT(A774,1)="A",IF(VALUE(MID(A774,2,10))&lt;10,"A00"&amp;VALUE(MID(A774,2,10)),IF(VALUE(MID(A774,2,10))&lt;100,"A0"&amp;VALUE(MID(A774,2,10)),IF(VALUE(MID(A774,2,10))&lt;1000,"A"&amp;VALUE(MID(A774,2,10))))),IF(LEFT(A774,1)="B",IF(VALUE(MID(A774,2,10))&lt;10,"B00"&amp;VALUE(MID(A774,2,10)),IF(VALUE(MID(A774,2,10))&lt;100,"B0"&amp;VALUE(MID(A774,2,10)),IF(VALUE(MID(A774,2,10))&lt;1000,"B"&amp;VALUE(MID(A774,2,10))))),A774)),"_",IF(NOT(OR(C774=1000,C774&gt;1000)),MID(TEXT((C774+1000)*1000,0),2,6),"keine Meter in Spalte km!!!"),IF(VALUE(I774)=1,CONCATENATE("_",VLOOKUP(IF(V774&gt;0,V774,J774),[1]Grundlage!$A$20:$B$181,2,0)),CONCATENATE("_",B774))))</f>
        <v>UQ_A003_512750_N</v>
      </c>
      <c r="F774" s="152" t="s">
        <v>26</v>
      </c>
      <c r="G774" s="171">
        <f t="shared" si="152"/>
        <v>1197</v>
      </c>
      <c r="H774" s="160">
        <f t="shared" si="153"/>
        <v>232</v>
      </c>
      <c r="I774" s="152">
        <f t="shared" si="145"/>
        <v>3</v>
      </c>
      <c r="J774" s="152">
        <f t="shared" si="146"/>
        <v>13</v>
      </c>
      <c r="K774" s="152">
        <f t="shared" si="147"/>
        <v>201</v>
      </c>
      <c r="L774" s="152">
        <f t="shared" si="147"/>
        <v>7</v>
      </c>
      <c r="M774" s="152">
        <f t="shared" si="148"/>
        <v>1</v>
      </c>
      <c r="N774" s="152">
        <f t="shared" si="149"/>
        <v>4</v>
      </c>
      <c r="P774" s="172">
        <f t="shared" si="150"/>
        <v>55</v>
      </c>
      <c r="AI774" s="154"/>
      <c r="AT774" s="148">
        <v>3</v>
      </c>
      <c r="AU774" s="155">
        <v>13</v>
      </c>
      <c r="AV774" s="155" t="s">
        <v>80</v>
      </c>
      <c r="AY774" s="148">
        <v>1</v>
      </c>
      <c r="AZ774" s="155">
        <v>4</v>
      </c>
      <c r="BA774" s="155">
        <v>4</v>
      </c>
      <c r="BB774" s="152" t="s">
        <v>26</v>
      </c>
      <c r="BC774" s="150"/>
      <c r="BD774" s="150"/>
      <c r="BF774" s="152" t="s">
        <v>442</v>
      </c>
    </row>
    <row r="775" spans="1:58" s="152" customFormat="1" ht="14.25" x14ac:dyDescent="0.2">
      <c r="A775" s="160" t="str">
        <f t="shared" si="143"/>
        <v>A3</v>
      </c>
      <c r="B775" s="152" t="s">
        <v>656</v>
      </c>
      <c r="C775" s="160">
        <f t="shared" si="144"/>
        <v>512.75</v>
      </c>
      <c r="D775" s="160"/>
      <c r="E775" s="170" t="str">
        <f>IF(OR(A775="",B775="",C775=""),"eine der Spalten BAB, FR, km leer?",CONCATENATE(VLOOKUP(VALUE(I775),[1]Grundlage!$A$1:$B$14,2,0),IF(LEFT(A775,1)="A",IF(VALUE(MID(A775,2,10))&lt;10,"A00"&amp;VALUE(MID(A775,2,10)),IF(VALUE(MID(A775,2,10))&lt;100,"A0"&amp;VALUE(MID(A775,2,10)),IF(VALUE(MID(A775,2,10))&lt;1000,"A"&amp;VALUE(MID(A775,2,10))))),IF(LEFT(A775,1)="B",IF(VALUE(MID(A775,2,10))&lt;10,"B00"&amp;VALUE(MID(A775,2,10)),IF(VALUE(MID(A775,2,10))&lt;100,"B0"&amp;VALUE(MID(A775,2,10)),IF(VALUE(MID(A775,2,10))&lt;1000,"B"&amp;VALUE(MID(A775,2,10))))),A775)),"_",IF(NOT(OR(C775=1000,C775&gt;1000)),MID(TEXT((C775+1000)*1000,0),2,6),"keine Meter in Spalte km!!!"),IF(VALUE(I775)=1,CONCATENATE("_",VLOOKUP(IF(V775&gt;0,V775,J775),[1]Grundlage!$A$20:$B$181,2,0)),CONCATENATE("_",B775))))</f>
        <v>UQ_A003_512750_N</v>
      </c>
      <c r="F775" s="152" t="s">
        <v>27</v>
      </c>
      <c r="G775" s="171">
        <f t="shared" si="152"/>
        <v>1197</v>
      </c>
      <c r="H775" s="160">
        <f t="shared" si="153"/>
        <v>232</v>
      </c>
      <c r="I775" s="152">
        <f t="shared" si="145"/>
        <v>3</v>
      </c>
      <c r="J775" s="152">
        <f t="shared" si="146"/>
        <v>14</v>
      </c>
      <c r="K775" s="152">
        <f t="shared" si="147"/>
        <v>201</v>
      </c>
      <c r="L775" s="152">
        <f t="shared" si="147"/>
        <v>7</v>
      </c>
      <c r="M775" s="152">
        <f t="shared" si="148"/>
        <v>1</v>
      </c>
      <c r="N775" s="152">
        <f t="shared" si="149"/>
        <v>5</v>
      </c>
      <c r="P775" s="172">
        <f t="shared" si="150"/>
        <v>66</v>
      </c>
      <c r="AI775" s="154"/>
      <c r="AT775" s="148">
        <v>3</v>
      </c>
      <c r="AU775" s="155">
        <v>14</v>
      </c>
      <c r="AV775" s="155" t="s">
        <v>81</v>
      </c>
      <c r="AY775" s="148">
        <v>1</v>
      </c>
      <c r="AZ775" s="155">
        <v>5</v>
      </c>
      <c r="BA775" s="155">
        <v>5</v>
      </c>
      <c r="BB775" s="152" t="s">
        <v>27</v>
      </c>
      <c r="BC775" s="150"/>
      <c r="BD775" s="150"/>
      <c r="BF775" s="152" t="s">
        <v>443</v>
      </c>
    </row>
    <row r="776" spans="1:58" s="152" customFormat="1" ht="14.25" x14ac:dyDescent="0.2">
      <c r="A776" s="160" t="str">
        <f t="shared" si="143"/>
        <v>A3</v>
      </c>
      <c r="B776" s="152" t="s">
        <v>656</v>
      </c>
      <c r="C776" s="160">
        <f t="shared" si="144"/>
        <v>512.75</v>
      </c>
      <c r="D776" s="160"/>
      <c r="E776" s="170" t="str">
        <f>IF(OR(A776="",B776="",C776=""),"eine der Spalten BAB, FR, km leer?",CONCATENATE(VLOOKUP(VALUE(I776),[1]Grundlage!$A$1:$B$14,2,0),IF(LEFT(A776,1)="A",IF(VALUE(MID(A776,2,10))&lt;10,"A00"&amp;VALUE(MID(A776,2,10)),IF(VALUE(MID(A776,2,10))&lt;100,"A0"&amp;VALUE(MID(A776,2,10)),IF(VALUE(MID(A776,2,10))&lt;1000,"A"&amp;VALUE(MID(A776,2,10))))),IF(LEFT(A776,1)="B",IF(VALUE(MID(A776,2,10))&lt;10,"B00"&amp;VALUE(MID(A776,2,10)),IF(VALUE(MID(A776,2,10))&lt;100,"B0"&amp;VALUE(MID(A776,2,10)),IF(VALUE(MID(A776,2,10))&lt;1000,"B"&amp;VALUE(MID(A776,2,10))))),A776)),"_",IF(NOT(OR(C776=1000,C776&gt;1000)),MID(TEXT((C776+1000)*1000,0),2,6),"keine Meter in Spalte km!!!"),IF(VALUE(I776)=1,CONCATENATE("_",VLOOKUP(IF(V776&gt;0,V776,J776),[1]Grundlage!$A$20:$B$181,2,0)),CONCATENATE("_",B776))))</f>
        <v>UQ_A003_512750_N</v>
      </c>
      <c r="F776" s="152" t="s">
        <v>28</v>
      </c>
      <c r="G776" s="171">
        <f t="shared" si="152"/>
        <v>1197</v>
      </c>
      <c r="H776" s="160">
        <f t="shared" si="153"/>
        <v>232</v>
      </c>
      <c r="I776" s="152">
        <f t="shared" si="145"/>
        <v>3</v>
      </c>
      <c r="J776" s="152">
        <f t="shared" si="146"/>
        <v>15</v>
      </c>
      <c r="K776" s="152">
        <f t="shared" si="147"/>
        <v>201</v>
      </c>
      <c r="L776" s="152">
        <f t="shared" si="147"/>
        <v>7</v>
      </c>
      <c r="M776" s="152">
        <f t="shared" si="148"/>
        <v>1</v>
      </c>
      <c r="N776" s="152">
        <f t="shared" si="149"/>
        <v>6</v>
      </c>
      <c r="P776" s="172">
        <f t="shared" si="150"/>
        <v>65</v>
      </c>
      <c r="AI776" s="154"/>
      <c r="AT776" s="148">
        <v>3</v>
      </c>
      <c r="AU776" s="155">
        <v>15</v>
      </c>
      <c r="AV776" s="155" t="s">
        <v>82</v>
      </c>
      <c r="AY776" s="148">
        <v>1</v>
      </c>
      <c r="AZ776" s="155">
        <v>6</v>
      </c>
      <c r="BA776" s="155">
        <v>6</v>
      </c>
      <c r="BB776" s="152" t="s">
        <v>28</v>
      </c>
      <c r="BC776" s="150"/>
      <c r="BD776" s="150"/>
      <c r="BF776" s="152" t="s">
        <v>566</v>
      </c>
    </row>
    <row r="777" spans="1:58" s="152" customFormat="1" ht="14.25" x14ac:dyDescent="0.2">
      <c r="A777" s="160" t="str">
        <f t="shared" si="143"/>
        <v>A3</v>
      </c>
      <c r="B777" s="152" t="s">
        <v>656</v>
      </c>
      <c r="C777" s="160">
        <f t="shared" si="144"/>
        <v>512.75</v>
      </c>
      <c r="D777" s="160"/>
      <c r="E777" s="170" t="str">
        <f>IF(OR(A777="",B777="",C777=""),"eine der Spalten BAB, FR, km leer?",CONCATENATE(VLOOKUP(VALUE(I777),[1]Grundlage!$A$1:$B$14,2,0),IF(LEFT(A777,1)="A",IF(VALUE(MID(A777,2,10))&lt;10,"A00"&amp;VALUE(MID(A777,2,10)),IF(VALUE(MID(A777,2,10))&lt;100,"A0"&amp;VALUE(MID(A777,2,10)),IF(VALUE(MID(A777,2,10))&lt;1000,"A"&amp;VALUE(MID(A777,2,10))))),IF(LEFT(A777,1)="B",IF(VALUE(MID(A777,2,10))&lt;10,"B00"&amp;VALUE(MID(A777,2,10)),IF(VALUE(MID(A777,2,10))&lt;100,"B0"&amp;VALUE(MID(A777,2,10)),IF(VALUE(MID(A777,2,10))&lt;1000,"B"&amp;VALUE(MID(A777,2,10))))),A777)),"_",IF(NOT(OR(C777=1000,C777&gt;1000)),MID(TEXT((C777+1000)*1000,0),2,6),"keine Meter in Spalte km!!!"),IF(VALUE(I777)=1,CONCATENATE("_",VLOOKUP(IF(V777&gt;0,V777,J777),[1]Grundlage!$A$20:$B$181,2,0)),CONCATENATE("_",B777))))</f>
        <v>UQ_A003_512750_N</v>
      </c>
      <c r="F777" s="152" t="s">
        <v>29</v>
      </c>
      <c r="G777" s="171">
        <f t="shared" si="152"/>
        <v>1197</v>
      </c>
      <c r="H777" s="160">
        <f t="shared" si="153"/>
        <v>232</v>
      </c>
      <c r="I777" s="152">
        <f t="shared" si="145"/>
        <v>3</v>
      </c>
      <c r="J777" s="152">
        <f t="shared" si="146"/>
        <v>19</v>
      </c>
      <c r="K777" s="152">
        <f t="shared" si="147"/>
        <v>201</v>
      </c>
      <c r="L777" s="152">
        <f t="shared" si="147"/>
        <v>7</v>
      </c>
      <c r="M777" s="152">
        <f t="shared" si="148"/>
        <v>1</v>
      </c>
      <c r="N777" s="152">
        <f t="shared" si="149"/>
        <v>7</v>
      </c>
      <c r="P777" s="172">
        <f t="shared" si="150"/>
        <v>49</v>
      </c>
      <c r="AI777" s="154"/>
      <c r="AT777" s="148">
        <v>3</v>
      </c>
      <c r="AU777" s="155">
        <v>19</v>
      </c>
      <c r="AV777" s="155">
        <v>13</v>
      </c>
      <c r="AY777" s="148">
        <v>1</v>
      </c>
      <c r="AZ777" s="155">
        <v>7</v>
      </c>
      <c r="BA777" s="155">
        <v>7</v>
      </c>
      <c r="BB777" s="152" t="s">
        <v>29</v>
      </c>
      <c r="BC777" s="150"/>
      <c r="BD777" s="150"/>
      <c r="BF777" s="152" t="s">
        <v>567</v>
      </c>
    </row>
    <row r="778" spans="1:58" s="152" customFormat="1" ht="14.25" x14ac:dyDescent="0.2">
      <c r="A778" s="160" t="str">
        <f t="shared" ref="A778:A841" si="154">IF(ISBLANK(AK778),A777,AK778)</f>
        <v>A3</v>
      </c>
      <c r="B778" s="152" t="s">
        <v>656</v>
      </c>
      <c r="C778" s="160">
        <f t="shared" ref="C778:C841" si="155">IF(ISBLANK(AI778),C777,AI778)</f>
        <v>512.75</v>
      </c>
      <c r="D778" s="160"/>
      <c r="E778" s="170" t="str">
        <f>IF(OR(A778="",B778="",C778=""),"eine der Spalten BAB, FR, km leer?",CONCATENATE(VLOOKUP(VALUE(I778),[1]Grundlage!$A$1:$B$14,2,0),IF(LEFT(A778,1)="A",IF(VALUE(MID(A778,2,10))&lt;10,"A00"&amp;VALUE(MID(A778,2,10)),IF(VALUE(MID(A778,2,10))&lt;100,"A0"&amp;VALUE(MID(A778,2,10)),IF(VALUE(MID(A778,2,10))&lt;1000,"A"&amp;VALUE(MID(A778,2,10))))),IF(LEFT(A778,1)="B",IF(VALUE(MID(A778,2,10))&lt;10,"B00"&amp;VALUE(MID(A778,2,10)),IF(VALUE(MID(A778,2,10))&lt;100,"B0"&amp;VALUE(MID(A778,2,10)),IF(VALUE(MID(A778,2,10))&lt;1000,"B"&amp;VALUE(MID(A778,2,10))))),A778)),"_",IF(NOT(OR(C778=1000,C778&gt;1000)),MID(TEXT((C778+1000)*1000,0),2,6),"keine Meter in Spalte km!!!"),IF(VALUE(I778)=1,CONCATENATE("_",VLOOKUP(IF(V778&gt;0,V778,J778),[1]Grundlage!$A$20:$B$181,2,0)),CONCATENATE("_",B778))))</f>
        <v>UQ_A003_512750_N</v>
      </c>
      <c r="F778" s="152" t="s">
        <v>30</v>
      </c>
      <c r="G778" s="171">
        <f t="shared" si="152"/>
        <v>1197</v>
      </c>
      <c r="H778" s="160">
        <f t="shared" si="153"/>
        <v>232</v>
      </c>
      <c r="I778" s="152">
        <f t="shared" ref="I778:I841" si="156">IF(D778="SS",254,AT778)</f>
        <v>3</v>
      </c>
      <c r="J778" s="152">
        <f t="shared" ref="J778:J841" si="157">IF(D778="SS",0,AU778)</f>
        <v>21</v>
      </c>
      <c r="K778" s="152">
        <f t="shared" ref="K778:K841" si="158">IF(ISBLANK(AW778),K777,AW778)</f>
        <v>201</v>
      </c>
      <c r="L778" s="152">
        <f t="shared" ref="L778:L841" si="159">IF(ISBLANK(AX778),L777,AX778)</f>
        <v>7</v>
      </c>
      <c r="M778" s="152">
        <f t="shared" ref="M778:M841" si="160">IF(ISBLANK(AY778),"",AY778)</f>
        <v>1</v>
      </c>
      <c r="N778" s="152">
        <f t="shared" ref="N778:N841" si="161">IF(ISBLANK(AZ778),"",AZ778)</f>
        <v>8</v>
      </c>
      <c r="P778" s="172">
        <f t="shared" si="150"/>
        <v>67</v>
      </c>
      <c r="AI778" s="154"/>
      <c r="AT778" s="148">
        <v>3</v>
      </c>
      <c r="AU778" s="155">
        <v>21</v>
      </c>
      <c r="AV778" s="155">
        <v>15</v>
      </c>
      <c r="AY778" s="148">
        <v>1</v>
      </c>
      <c r="AZ778" s="155">
        <v>8</v>
      </c>
      <c r="BA778" s="155">
        <v>8</v>
      </c>
      <c r="BB778" s="152" t="s">
        <v>30</v>
      </c>
      <c r="BC778" s="150"/>
      <c r="BD778" s="150"/>
      <c r="BF778" s="152" t="s">
        <v>568</v>
      </c>
    </row>
    <row r="779" spans="1:58" s="152" customFormat="1" ht="14.25" x14ac:dyDescent="0.2">
      <c r="A779" s="160" t="str">
        <f t="shared" si="154"/>
        <v>A3</v>
      </c>
      <c r="B779" s="152" t="s">
        <v>656</v>
      </c>
      <c r="C779" s="160">
        <f t="shared" si="155"/>
        <v>512.75</v>
      </c>
      <c r="D779" s="160"/>
      <c r="E779" s="170" t="str">
        <f>IF(OR(A779="",B779="",C779=""),"eine der Spalten BAB, FR, km leer?",CONCATENATE(VLOOKUP(VALUE(I779),[1]Grundlage!$A$1:$B$14,2,0),IF(LEFT(A779,1)="A",IF(VALUE(MID(A779,2,10))&lt;10,"A00"&amp;VALUE(MID(A779,2,10)),IF(VALUE(MID(A779,2,10))&lt;100,"A0"&amp;VALUE(MID(A779,2,10)),IF(VALUE(MID(A779,2,10))&lt;1000,"A"&amp;VALUE(MID(A779,2,10))))),IF(LEFT(A779,1)="B",IF(VALUE(MID(A779,2,10))&lt;10,"B00"&amp;VALUE(MID(A779,2,10)),IF(VALUE(MID(A779,2,10))&lt;100,"B0"&amp;VALUE(MID(A779,2,10)),IF(VALUE(MID(A779,2,10))&lt;1000,"B"&amp;VALUE(MID(A779,2,10))))),A779)),"_",IF(NOT(OR(C779=1000,C779&gt;1000)),MID(TEXT((C779+1000)*1000,0),2,6),"keine Meter in Spalte km!!!"),IF(VALUE(I779)=1,CONCATENATE("_",VLOOKUP(IF(V779&gt;0,V779,J779),[1]Grundlage!$A$20:$B$181,2,0)),CONCATENATE("_",B779))))</f>
        <v>UQ_A003_512750_N</v>
      </c>
      <c r="F779" s="152" t="s">
        <v>271</v>
      </c>
      <c r="G779" s="171">
        <f t="shared" si="152"/>
        <v>1197</v>
      </c>
      <c r="H779" s="160">
        <f t="shared" si="153"/>
        <v>232</v>
      </c>
      <c r="I779" s="152">
        <f t="shared" si="156"/>
        <v>3</v>
      </c>
      <c r="J779" s="152">
        <f t="shared" si="157"/>
        <v>67</v>
      </c>
      <c r="K779" s="152">
        <f t="shared" si="158"/>
        <v>201</v>
      </c>
      <c r="L779" s="152">
        <f t="shared" si="159"/>
        <v>7</v>
      </c>
      <c r="M779" s="152">
        <f t="shared" si="160"/>
        <v>1</v>
      </c>
      <c r="N779" s="152">
        <f t="shared" si="161"/>
        <v>9</v>
      </c>
      <c r="P779" s="172">
        <f t="shared" ref="P779:P842" si="162">IF(AT779&lt;&gt;3,"",IF(BB779="Helligkeitssensor",61,IF(BB779="Helligkeit",61,IF(BB780="Lichtsensor",61,IF(BB779="Lufttemperatur",48,IF(BB779="Niederschlagsart",71,IF(BB779="Niederschlagsintensität",53,IF(BB779="relative Luftfeuchte RLF",55,IF(BB779="Sichtweite",60,IF(BB779="Sichtweite 1",60,IF(BB779="Zustand der Fahrbahnoberfläche FBZ",79,IF(BB779="Wasserfilmdicke WFD",72,IF(BB779="Clusterkanal FG3","",IF(BB779="Gefriertemperatur GT",65,IF(BB779="Fahrbahnoberflächentemperatur FBT",49,VALUE(RIGHT(BB779,2)))))))))))))))))</f>
        <v>53</v>
      </c>
      <c r="AI779" s="154"/>
      <c r="AT779" s="148">
        <v>3</v>
      </c>
      <c r="AU779" s="155">
        <v>67</v>
      </c>
      <c r="AV779" s="155">
        <v>43</v>
      </c>
      <c r="AY779" s="148">
        <v>1</v>
      </c>
      <c r="AZ779" s="155">
        <v>9</v>
      </c>
      <c r="BA779" s="155">
        <v>9</v>
      </c>
      <c r="BB779" s="152" t="s">
        <v>271</v>
      </c>
      <c r="BC779" s="150"/>
      <c r="BD779" s="150"/>
      <c r="BF779" s="152" t="s">
        <v>444</v>
      </c>
    </row>
    <row r="780" spans="1:58" s="152" customFormat="1" ht="14.25" x14ac:dyDescent="0.2">
      <c r="A780" s="160" t="str">
        <f t="shared" si="154"/>
        <v>A3</v>
      </c>
      <c r="B780" s="152" t="s">
        <v>656</v>
      </c>
      <c r="C780" s="160">
        <f t="shared" si="155"/>
        <v>512.75</v>
      </c>
      <c r="D780" s="160"/>
      <c r="E780" s="170" t="str">
        <f>IF(OR(A780="",B780="",C780=""),"eine der Spalten BAB, FR, km leer?",CONCATENATE(VLOOKUP(VALUE(I780),[1]Grundlage!$A$1:$B$14,2,0),IF(LEFT(A780,1)="A",IF(VALUE(MID(A780,2,10))&lt;10,"A00"&amp;VALUE(MID(A780,2,10)),IF(VALUE(MID(A780,2,10))&lt;100,"A0"&amp;VALUE(MID(A780,2,10)),IF(VALUE(MID(A780,2,10))&lt;1000,"A"&amp;VALUE(MID(A780,2,10))))),IF(LEFT(A780,1)="B",IF(VALUE(MID(A780,2,10))&lt;10,"B00"&amp;VALUE(MID(A780,2,10)),IF(VALUE(MID(A780,2,10))&lt;100,"B0"&amp;VALUE(MID(A780,2,10)),IF(VALUE(MID(A780,2,10))&lt;1000,"B"&amp;VALUE(MID(A780,2,10))))),A780)),"_",IF(NOT(OR(C780=1000,C780&gt;1000)),MID(TEXT((C780+1000)*1000,0),2,6),"keine Meter in Spalte km!!!"),IF(VALUE(I780)=1,CONCATENATE("_",VLOOKUP(IF(V780&gt;0,V780,J780),[1]Grundlage!$A$20:$B$181,2,0)),CONCATENATE("_",B780))))</f>
        <v>UQ_A003_512750_N</v>
      </c>
      <c r="F780" s="152" t="s">
        <v>272</v>
      </c>
      <c r="G780" s="171">
        <f t="shared" si="152"/>
        <v>1197</v>
      </c>
      <c r="H780" s="160">
        <f t="shared" si="153"/>
        <v>232</v>
      </c>
      <c r="I780" s="152">
        <f t="shared" si="156"/>
        <v>3</v>
      </c>
      <c r="J780" s="152">
        <f t="shared" si="157"/>
        <v>82</v>
      </c>
      <c r="K780" s="152">
        <f t="shared" si="158"/>
        <v>201</v>
      </c>
      <c r="L780" s="152">
        <f t="shared" si="159"/>
        <v>7</v>
      </c>
      <c r="M780" s="152">
        <f t="shared" si="160"/>
        <v>1</v>
      </c>
      <c r="N780" s="152">
        <f t="shared" si="161"/>
        <v>10</v>
      </c>
      <c r="P780" s="172">
        <f t="shared" si="162"/>
        <v>72</v>
      </c>
      <c r="AI780" s="154"/>
      <c r="AT780" s="148">
        <v>3</v>
      </c>
      <c r="AU780" s="155">
        <v>82</v>
      </c>
      <c r="AV780" s="155">
        <v>52</v>
      </c>
      <c r="AY780" s="148">
        <v>1</v>
      </c>
      <c r="AZ780" s="155">
        <v>10</v>
      </c>
      <c r="BA780" s="155" t="s">
        <v>95</v>
      </c>
      <c r="BB780" s="152" t="s">
        <v>272</v>
      </c>
      <c r="BC780" s="150"/>
      <c r="BD780" s="150"/>
      <c r="BF780" s="152" t="s">
        <v>569</v>
      </c>
    </row>
    <row r="781" spans="1:58" ht="14.25" x14ac:dyDescent="0.2">
      <c r="A781" t="str">
        <f t="shared" si="154"/>
        <v>A3</v>
      </c>
      <c r="C781">
        <f t="shared" si="155"/>
        <v>512.75</v>
      </c>
      <c r="D781" t="str">
        <f t="shared" si="151"/>
        <v/>
      </c>
      <c r="E781" s="169" t="str">
        <f>IF(OR(A781="",B781="",C781=""),"",CONCATENATE(VLOOKUP(VALUE(I781),[1]Grundlage!$A$1:$B$14,2,0),IF(LEFT(A781,1)="A",IF(VALUE(MID(A781,2,10))&lt;10,"A00"&amp;VALUE(MID(A781,2,10)),IF(VALUE(MID(A781,2,10))&lt;100,"A0"&amp;VALUE(MID(A781,2,10)),IF(VALUE(MID(A781,2,10))&lt;1000,"A"&amp;VALUE(MID(A781,2,10))))),IF(LEFT(A781,1)="B",IF(VALUE(MID(A781,2,10))&lt;10,"B00"&amp;VALUE(MID(A781,2,10)),IF(VALUE(MID(A781,2,10))&lt;100,"B0"&amp;VALUE(MID(A781,2,10)),IF(VALUE(MID(A781,2,10))&lt;1000,"B"&amp;VALUE(MID(A781,2,10))))),A781)),"_",IF(NOT(OR(C781=1000,C781&gt;1000)),MID(TEXT((C781+1000)*1000,0),2,6),"keine Meter in Spalte km!!!"),IF(VALUE(I781)=1,CONCATENATE("_",VLOOKUP(IF(V781&gt;0,V781,J781),[1]Grundlage!$A$20:$B$181,2,0)),CONCATENATE("_",B781))))</f>
        <v/>
      </c>
      <c r="F781" s="2" t="s">
        <v>669</v>
      </c>
      <c r="G781" s="167">
        <f t="shared" si="152"/>
        <v>1197</v>
      </c>
      <c r="H781">
        <f t="shared" si="153"/>
        <v>232</v>
      </c>
      <c r="I781" s="2">
        <f t="shared" si="156"/>
        <v>0</v>
      </c>
      <c r="J781" s="2">
        <f t="shared" si="157"/>
        <v>0</v>
      </c>
      <c r="K781" s="2">
        <f t="shared" si="158"/>
        <v>201</v>
      </c>
      <c r="L781" s="2">
        <f t="shared" si="159"/>
        <v>7</v>
      </c>
      <c r="M781" s="2" t="str">
        <f t="shared" si="160"/>
        <v/>
      </c>
      <c r="N781" s="2" t="str">
        <f t="shared" si="161"/>
        <v/>
      </c>
      <c r="P781" s="168" t="str">
        <f t="shared" si="162"/>
        <v/>
      </c>
      <c r="BF781" s="13"/>
    </row>
    <row r="782" spans="1:58" s="152" customFormat="1" ht="14.25" x14ac:dyDescent="0.2">
      <c r="A782" s="160" t="str">
        <f t="shared" si="154"/>
        <v>A3</v>
      </c>
      <c r="B782" s="152" t="s">
        <v>655</v>
      </c>
      <c r="C782" s="160">
        <f t="shared" si="155"/>
        <v>489.1</v>
      </c>
      <c r="D782" s="160"/>
      <c r="E782" s="170" t="str">
        <f>IF(OR(A782="",B782="",C782=""),"eine der Spalten BAB, FR, km leer?",CONCATENATE(VLOOKUP(VALUE(I782),[1]Grundlage!$A$1:$B$14,2,0),IF(LEFT(A782,1)="A",IF(VALUE(MID(A782,2,10))&lt;10,"A00"&amp;VALUE(MID(A782,2,10)),IF(VALUE(MID(A782,2,10))&lt;100,"A0"&amp;VALUE(MID(A782,2,10)),IF(VALUE(MID(A782,2,10))&lt;1000,"A"&amp;VALUE(MID(A782,2,10))))),IF(LEFT(A782,1)="B",IF(VALUE(MID(A782,2,10))&lt;10,"B00"&amp;VALUE(MID(A782,2,10)),IF(VALUE(MID(A782,2,10))&lt;100,"B0"&amp;VALUE(MID(A782,2,10)),IF(VALUE(MID(A782,2,10))&lt;1000,"B"&amp;VALUE(MID(A782,2,10))))),A782)),"_",IF(NOT(OR(C782=1000,C782&gt;1000)),MID(TEXT((C782+1000)*1000,0),2,6),"keine Meter in Spalte km!!!"),IF(VALUE(I782)=1,CONCATENATE("_",VLOOKUP(IF(V782&gt;0,V782,J782),[1]Grundlage!$A$20:$B$181,2,0)),CONCATENATE("_",B782))))</f>
        <v>SSt_A003_489100_S</v>
      </c>
      <c r="F782" s="152" t="s">
        <v>129</v>
      </c>
      <c r="G782" s="171">
        <f t="shared" si="152"/>
        <v>1237</v>
      </c>
      <c r="H782" s="160">
        <f t="shared" si="153"/>
        <v>115</v>
      </c>
      <c r="I782" s="152">
        <f t="shared" si="156"/>
        <v>0</v>
      </c>
      <c r="J782" s="152">
        <f t="shared" si="157"/>
        <v>0</v>
      </c>
      <c r="K782" s="152">
        <f t="shared" si="158"/>
        <v>201</v>
      </c>
      <c r="L782" s="152">
        <f t="shared" si="159"/>
        <v>8</v>
      </c>
      <c r="M782" s="152">
        <f t="shared" si="160"/>
        <v>8</v>
      </c>
      <c r="N782" s="152" t="str">
        <f t="shared" si="161"/>
        <v/>
      </c>
      <c r="P782" s="172" t="str">
        <f t="shared" si="162"/>
        <v/>
      </c>
      <c r="AI782" s="173">
        <v>489.1</v>
      </c>
      <c r="AJ782" s="148" t="s">
        <v>19</v>
      </c>
      <c r="AK782" s="148" t="s">
        <v>62</v>
      </c>
      <c r="AL782" s="148"/>
      <c r="AM782" s="148"/>
      <c r="AN782" s="148"/>
      <c r="AO782" s="148"/>
      <c r="AP782" s="147">
        <v>316787</v>
      </c>
      <c r="AQ782" s="182" t="s">
        <v>234</v>
      </c>
      <c r="AR782" s="147" t="s">
        <v>254</v>
      </c>
      <c r="AS782" s="147">
        <v>73</v>
      </c>
      <c r="AT782" s="148"/>
      <c r="AU782" s="148"/>
      <c r="AV782" s="148"/>
      <c r="AW782" s="148">
        <v>201</v>
      </c>
      <c r="AX782" s="148">
        <v>8</v>
      </c>
      <c r="AY782" s="148">
        <v>8</v>
      </c>
      <c r="AZ782" s="148"/>
      <c r="BA782" s="148"/>
      <c r="BB782" s="149" t="s">
        <v>129</v>
      </c>
      <c r="BC782" s="158"/>
      <c r="BD782" s="158" t="s">
        <v>163</v>
      </c>
      <c r="BE782" s="152" t="s">
        <v>61</v>
      </c>
      <c r="BF782" s="152" t="s">
        <v>564</v>
      </c>
    </row>
    <row r="783" spans="1:58" s="152" customFormat="1" ht="14.25" x14ac:dyDescent="0.2">
      <c r="A783" s="160" t="str">
        <f t="shared" si="154"/>
        <v>A3</v>
      </c>
      <c r="B783" s="152" t="s">
        <v>655</v>
      </c>
      <c r="C783" s="160">
        <f t="shared" si="155"/>
        <v>489.1</v>
      </c>
      <c r="D783" s="160"/>
      <c r="E783" s="170" t="str">
        <f>IF(OR(A783="",B783="",C783=""),"eine der Spalten BAB, FR, km leer?",CONCATENATE(VLOOKUP(VALUE(I783),[1]Grundlage!$A$1:$B$14,2,0),IF(LEFT(A783,1)="A",IF(VALUE(MID(A783,2,10))&lt;10,"A00"&amp;VALUE(MID(A783,2,10)),IF(VALUE(MID(A783,2,10))&lt;100,"A0"&amp;VALUE(MID(A783,2,10)),IF(VALUE(MID(A783,2,10))&lt;1000,"A"&amp;VALUE(MID(A783,2,10))))),IF(LEFT(A783,1)="B",IF(VALUE(MID(A783,2,10))&lt;10,"B00"&amp;VALUE(MID(A783,2,10)),IF(VALUE(MID(A783,2,10))&lt;100,"B0"&amp;VALUE(MID(A783,2,10)),IF(VALUE(MID(A783,2,10))&lt;1000,"B"&amp;VALUE(MID(A783,2,10))))),A783)),"_",IF(NOT(OR(C783=1000,C783&gt;1000)),MID(TEXT((C783+1000)*1000,0),2,6),"keine Meter in Spalte km!!!"),IF(VALUE(I783)=1,CONCATENATE("_",VLOOKUP(IF(V783&gt;0,V783,J783),[1]Grundlage!$A$20:$B$181,2,0)),CONCATENATE("_",B783))))</f>
        <v>UQ_A003_489100_S</v>
      </c>
      <c r="F783" s="152" t="s">
        <v>269</v>
      </c>
      <c r="G783" s="171">
        <f t="shared" si="152"/>
        <v>1237</v>
      </c>
      <c r="H783" s="160">
        <f t="shared" si="153"/>
        <v>115</v>
      </c>
      <c r="I783" s="152">
        <f t="shared" si="156"/>
        <v>3</v>
      </c>
      <c r="J783" s="152">
        <f t="shared" si="157"/>
        <v>6</v>
      </c>
      <c r="K783" s="152">
        <f t="shared" si="158"/>
        <v>201</v>
      </c>
      <c r="L783" s="152">
        <f t="shared" si="159"/>
        <v>8</v>
      </c>
      <c r="M783" s="152">
        <f t="shared" si="160"/>
        <v>63</v>
      </c>
      <c r="N783" s="152">
        <f t="shared" si="161"/>
        <v>1</v>
      </c>
      <c r="P783" s="172">
        <f t="shared" si="162"/>
        <v>71</v>
      </c>
      <c r="AI783" s="154"/>
      <c r="AP783" s="147"/>
      <c r="AQ783" s="147"/>
      <c r="AR783" s="147"/>
      <c r="AS783" s="147"/>
      <c r="AT783" s="148">
        <v>3</v>
      </c>
      <c r="AU783" s="155">
        <v>6</v>
      </c>
      <c r="AV783" s="156">
        <v>6</v>
      </c>
      <c r="AW783" s="148"/>
      <c r="AX783" s="148"/>
      <c r="AY783" s="148">
        <v>63</v>
      </c>
      <c r="AZ783" s="155">
        <v>1</v>
      </c>
      <c r="BA783" s="156">
        <v>1</v>
      </c>
      <c r="BB783" s="152" t="s">
        <v>269</v>
      </c>
      <c r="BC783" s="150"/>
      <c r="BD783" s="150"/>
      <c r="BF783" s="152" t="s">
        <v>440</v>
      </c>
    </row>
    <row r="784" spans="1:58" s="152" customFormat="1" ht="14.25" x14ac:dyDescent="0.2">
      <c r="A784" s="160" t="str">
        <f t="shared" si="154"/>
        <v>A3</v>
      </c>
      <c r="B784" s="152" t="s">
        <v>655</v>
      </c>
      <c r="C784" s="160">
        <f t="shared" si="155"/>
        <v>489.1</v>
      </c>
      <c r="D784" s="160"/>
      <c r="E784" s="170" t="str">
        <f>IF(OR(A784="",B784="",C784=""),"eine der Spalten BAB, FR, km leer?",CONCATENATE(VLOOKUP(VALUE(I784),[1]Grundlage!$A$1:$B$14,2,0),IF(LEFT(A784,1)="A",IF(VALUE(MID(A784,2,10))&lt;10,"A00"&amp;VALUE(MID(A784,2,10)),IF(VALUE(MID(A784,2,10))&lt;100,"A0"&amp;VALUE(MID(A784,2,10)),IF(VALUE(MID(A784,2,10))&lt;1000,"A"&amp;VALUE(MID(A784,2,10))))),IF(LEFT(A784,1)="B",IF(VALUE(MID(A784,2,10))&lt;10,"B00"&amp;VALUE(MID(A784,2,10)),IF(VALUE(MID(A784,2,10))&lt;100,"B0"&amp;VALUE(MID(A784,2,10)),IF(VALUE(MID(A784,2,10))&lt;1000,"B"&amp;VALUE(MID(A784,2,10))))),A784)),"_",IF(NOT(OR(C784=1000,C784&gt;1000)),MID(TEXT((C784+1000)*1000,0),2,6),"keine Meter in Spalte km!!!"),IF(VALUE(I784)=1,CONCATENATE("_",VLOOKUP(IF(V784&gt;0,V784,J784),[1]Grundlage!$A$20:$B$181,2,0)),CONCATENATE("_",B784))))</f>
        <v>UQ_A003_489100_S</v>
      </c>
      <c r="F784" s="152" t="s">
        <v>270</v>
      </c>
      <c r="G784" s="171">
        <f t="shared" si="152"/>
        <v>1237</v>
      </c>
      <c r="H784" s="160">
        <f t="shared" si="153"/>
        <v>115</v>
      </c>
      <c r="I784" s="152">
        <f t="shared" si="156"/>
        <v>3</v>
      </c>
      <c r="J784" s="152">
        <f t="shared" si="157"/>
        <v>11</v>
      </c>
      <c r="K784" s="152">
        <f t="shared" si="158"/>
        <v>201</v>
      </c>
      <c r="L784" s="152">
        <f t="shared" si="159"/>
        <v>8</v>
      </c>
      <c r="M784" s="152">
        <f t="shared" si="160"/>
        <v>63</v>
      </c>
      <c r="N784" s="152">
        <f t="shared" si="161"/>
        <v>2</v>
      </c>
      <c r="P784" s="172">
        <f t="shared" si="162"/>
        <v>70</v>
      </c>
      <c r="AI784" s="154"/>
      <c r="AT784" s="148">
        <v>3</v>
      </c>
      <c r="AU784" s="155">
        <v>11</v>
      </c>
      <c r="AV784" s="155" t="s">
        <v>78</v>
      </c>
      <c r="AY784" s="148">
        <v>63</v>
      </c>
      <c r="AZ784" s="155">
        <v>2</v>
      </c>
      <c r="BA784" s="155">
        <v>2</v>
      </c>
      <c r="BB784" s="152" t="s">
        <v>270</v>
      </c>
      <c r="BC784" s="150"/>
      <c r="BD784" s="150"/>
      <c r="BF784" s="152" t="s">
        <v>565</v>
      </c>
    </row>
    <row r="785" spans="1:58" s="152" customFormat="1" ht="14.25" x14ac:dyDescent="0.2">
      <c r="A785" s="160" t="str">
        <f t="shared" si="154"/>
        <v>A3</v>
      </c>
      <c r="B785" s="152" t="s">
        <v>655</v>
      </c>
      <c r="C785" s="160">
        <f t="shared" si="155"/>
        <v>489.1</v>
      </c>
      <c r="D785" s="160"/>
      <c r="E785" s="170" t="str">
        <f>IF(OR(A785="",B785="",C785=""),"eine der Spalten BAB, FR, km leer?",CONCATENATE(VLOOKUP(VALUE(I785),[1]Grundlage!$A$1:$B$14,2,0),IF(LEFT(A785,1)="A",IF(VALUE(MID(A785,2,10))&lt;10,"A00"&amp;VALUE(MID(A785,2,10)),IF(VALUE(MID(A785,2,10))&lt;100,"A0"&amp;VALUE(MID(A785,2,10)),IF(VALUE(MID(A785,2,10))&lt;1000,"A"&amp;VALUE(MID(A785,2,10))))),IF(LEFT(A785,1)="B",IF(VALUE(MID(A785,2,10))&lt;10,"B00"&amp;VALUE(MID(A785,2,10)),IF(VALUE(MID(A785,2,10))&lt;100,"B0"&amp;VALUE(MID(A785,2,10)),IF(VALUE(MID(A785,2,10))&lt;1000,"B"&amp;VALUE(MID(A785,2,10))))),A785)),"_",IF(NOT(OR(C785=1000,C785&gt;1000)),MID(TEXT((C785+1000)*1000,0),2,6),"keine Meter in Spalte km!!!"),IF(VALUE(I785)=1,CONCATENATE("_",VLOOKUP(IF(V785&gt;0,V785,J785),[1]Grundlage!$A$20:$B$181,2,0)),CONCATENATE("_",B785))))</f>
        <v>UQ_A003_489100_S</v>
      </c>
      <c r="F785" s="152" t="s">
        <v>25</v>
      </c>
      <c r="G785" s="171">
        <f t="shared" si="152"/>
        <v>1237</v>
      </c>
      <c r="H785" s="160">
        <f t="shared" si="153"/>
        <v>115</v>
      </c>
      <c r="I785" s="152">
        <f t="shared" si="156"/>
        <v>3</v>
      </c>
      <c r="J785" s="152">
        <f t="shared" si="157"/>
        <v>12</v>
      </c>
      <c r="K785" s="152">
        <f t="shared" si="158"/>
        <v>201</v>
      </c>
      <c r="L785" s="152">
        <f t="shared" si="159"/>
        <v>8</v>
      </c>
      <c r="M785" s="152">
        <f t="shared" si="160"/>
        <v>63</v>
      </c>
      <c r="N785" s="152">
        <f t="shared" si="161"/>
        <v>3</v>
      </c>
      <c r="P785" s="172">
        <f t="shared" si="162"/>
        <v>48</v>
      </c>
      <c r="AI785" s="154"/>
      <c r="AT785" s="148">
        <v>3</v>
      </c>
      <c r="AU785" s="155">
        <v>12</v>
      </c>
      <c r="AV785" s="155" t="s">
        <v>79</v>
      </c>
      <c r="AY785" s="148">
        <v>63</v>
      </c>
      <c r="AZ785" s="155">
        <v>3</v>
      </c>
      <c r="BA785" s="155">
        <v>3</v>
      </c>
      <c r="BB785" s="152" t="s">
        <v>25</v>
      </c>
      <c r="BC785" s="150"/>
      <c r="BD785" s="150"/>
      <c r="BF785" s="152" t="s">
        <v>441</v>
      </c>
    </row>
    <row r="786" spans="1:58" s="152" customFormat="1" ht="14.25" x14ac:dyDescent="0.2">
      <c r="A786" s="160" t="str">
        <f t="shared" si="154"/>
        <v>A3</v>
      </c>
      <c r="B786" s="152" t="s">
        <v>655</v>
      </c>
      <c r="C786" s="160">
        <f t="shared" si="155"/>
        <v>489.1</v>
      </c>
      <c r="D786" s="160"/>
      <c r="E786" s="170" t="str">
        <f>IF(OR(A786="",B786="",C786=""),"eine der Spalten BAB, FR, km leer?",CONCATENATE(VLOOKUP(VALUE(I786),[1]Grundlage!$A$1:$B$14,2,0),IF(LEFT(A786,1)="A",IF(VALUE(MID(A786,2,10))&lt;10,"A00"&amp;VALUE(MID(A786,2,10)),IF(VALUE(MID(A786,2,10))&lt;100,"A0"&amp;VALUE(MID(A786,2,10)),IF(VALUE(MID(A786,2,10))&lt;1000,"A"&amp;VALUE(MID(A786,2,10))))),IF(LEFT(A786,1)="B",IF(VALUE(MID(A786,2,10))&lt;10,"B00"&amp;VALUE(MID(A786,2,10)),IF(VALUE(MID(A786,2,10))&lt;100,"B0"&amp;VALUE(MID(A786,2,10)),IF(VALUE(MID(A786,2,10))&lt;1000,"B"&amp;VALUE(MID(A786,2,10))))),A786)),"_",IF(NOT(OR(C786=1000,C786&gt;1000)),MID(TEXT((C786+1000)*1000,0),2,6),"keine Meter in Spalte km!!!"),IF(VALUE(I786)=1,CONCATENATE("_",VLOOKUP(IF(V786&gt;0,V786,J786),[1]Grundlage!$A$20:$B$181,2,0)),CONCATENATE("_",B786))))</f>
        <v>UQ_A003_489100_S</v>
      </c>
      <c r="F786" s="152" t="s">
        <v>26</v>
      </c>
      <c r="G786" s="171">
        <f t="shared" si="152"/>
        <v>1237</v>
      </c>
      <c r="H786" s="160">
        <f t="shared" si="153"/>
        <v>115</v>
      </c>
      <c r="I786" s="152">
        <f t="shared" si="156"/>
        <v>3</v>
      </c>
      <c r="J786" s="152">
        <f t="shared" si="157"/>
        <v>13</v>
      </c>
      <c r="K786" s="152">
        <f t="shared" si="158"/>
        <v>201</v>
      </c>
      <c r="L786" s="152">
        <f t="shared" si="159"/>
        <v>8</v>
      </c>
      <c r="M786" s="152">
        <f t="shared" si="160"/>
        <v>63</v>
      </c>
      <c r="N786" s="152">
        <f t="shared" si="161"/>
        <v>4</v>
      </c>
      <c r="P786" s="172">
        <f t="shared" si="162"/>
        <v>55</v>
      </c>
      <c r="AI786" s="154"/>
      <c r="AT786" s="148">
        <v>3</v>
      </c>
      <c r="AU786" s="155">
        <v>13</v>
      </c>
      <c r="AV786" s="155" t="s">
        <v>80</v>
      </c>
      <c r="AY786" s="148">
        <v>63</v>
      </c>
      <c r="AZ786" s="155">
        <v>4</v>
      </c>
      <c r="BA786" s="155">
        <v>4</v>
      </c>
      <c r="BB786" s="152" t="s">
        <v>26</v>
      </c>
      <c r="BC786" s="150"/>
      <c r="BD786" s="150"/>
      <c r="BF786" s="152" t="s">
        <v>442</v>
      </c>
    </row>
    <row r="787" spans="1:58" s="152" customFormat="1" ht="14.25" x14ac:dyDescent="0.2">
      <c r="A787" s="160" t="str">
        <f t="shared" si="154"/>
        <v>A3</v>
      </c>
      <c r="B787" s="152" t="s">
        <v>655</v>
      </c>
      <c r="C787" s="160">
        <f t="shared" si="155"/>
        <v>489.1</v>
      </c>
      <c r="D787" s="160"/>
      <c r="E787" s="170" t="str">
        <f>IF(OR(A787="",B787="",C787=""),"eine der Spalten BAB, FR, km leer?",CONCATENATE(VLOOKUP(VALUE(I787),[1]Grundlage!$A$1:$B$14,2,0),IF(LEFT(A787,1)="A",IF(VALUE(MID(A787,2,10))&lt;10,"A00"&amp;VALUE(MID(A787,2,10)),IF(VALUE(MID(A787,2,10))&lt;100,"A0"&amp;VALUE(MID(A787,2,10)),IF(VALUE(MID(A787,2,10))&lt;1000,"A"&amp;VALUE(MID(A787,2,10))))),IF(LEFT(A787,1)="B",IF(VALUE(MID(A787,2,10))&lt;10,"B00"&amp;VALUE(MID(A787,2,10)),IF(VALUE(MID(A787,2,10))&lt;100,"B0"&amp;VALUE(MID(A787,2,10)),IF(VALUE(MID(A787,2,10))&lt;1000,"B"&amp;VALUE(MID(A787,2,10))))),A787)),"_",IF(NOT(OR(C787=1000,C787&gt;1000)),MID(TEXT((C787+1000)*1000,0),2,6),"keine Meter in Spalte km!!!"),IF(VALUE(I787)=1,CONCATENATE("_",VLOOKUP(IF(V787&gt;0,V787,J787),[1]Grundlage!$A$20:$B$181,2,0)),CONCATENATE("_",B787))))</f>
        <v>UQ_A003_489100_S</v>
      </c>
      <c r="F787" s="152" t="s">
        <v>27</v>
      </c>
      <c r="G787" s="171">
        <f t="shared" si="152"/>
        <v>1237</v>
      </c>
      <c r="H787" s="160">
        <f t="shared" si="153"/>
        <v>115</v>
      </c>
      <c r="I787" s="152">
        <f t="shared" si="156"/>
        <v>3</v>
      </c>
      <c r="J787" s="152">
        <f t="shared" si="157"/>
        <v>14</v>
      </c>
      <c r="K787" s="152">
        <f t="shared" si="158"/>
        <v>201</v>
      </c>
      <c r="L787" s="152">
        <f t="shared" si="159"/>
        <v>8</v>
      </c>
      <c r="M787" s="152">
        <f t="shared" si="160"/>
        <v>63</v>
      </c>
      <c r="N787" s="152">
        <f t="shared" si="161"/>
        <v>5</v>
      </c>
      <c r="P787" s="172">
        <f t="shared" si="162"/>
        <v>66</v>
      </c>
      <c r="AI787" s="154"/>
      <c r="AT787" s="148">
        <v>3</v>
      </c>
      <c r="AU787" s="155">
        <v>14</v>
      </c>
      <c r="AV787" s="155" t="s">
        <v>81</v>
      </c>
      <c r="AY787" s="148">
        <v>63</v>
      </c>
      <c r="AZ787" s="155">
        <v>5</v>
      </c>
      <c r="BA787" s="155">
        <v>5</v>
      </c>
      <c r="BB787" s="152" t="s">
        <v>27</v>
      </c>
      <c r="BC787" s="150"/>
      <c r="BD787" s="150"/>
      <c r="BF787" s="152" t="s">
        <v>443</v>
      </c>
    </row>
    <row r="788" spans="1:58" s="152" customFormat="1" ht="14.25" x14ac:dyDescent="0.2">
      <c r="A788" s="160" t="str">
        <f t="shared" si="154"/>
        <v>A3</v>
      </c>
      <c r="B788" s="152" t="s">
        <v>655</v>
      </c>
      <c r="C788" s="160">
        <f t="shared" si="155"/>
        <v>489.1</v>
      </c>
      <c r="D788" s="160"/>
      <c r="E788" s="170" t="str">
        <f>IF(OR(A788="",B788="",C788=""),"eine der Spalten BAB, FR, km leer?",CONCATENATE(VLOOKUP(VALUE(I788),[1]Grundlage!$A$1:$B$14,2,0),IF(LEFT(A788,1)="A",IF(VALUE(MID(A788,2,10))&lt;10,"A00"&amp;VALUE(MID(A788,2,10)),IF(VALUE(MID(A788,2,10))&lt;100,"A0"&amp;VALUE(MID(A788,2,10)),IF(VALUE(MID(A788,2,10))&lt;1000,"A"&amp;VALUE(MID(A788,2,10))))),IF(LEFT(A788,1)="B",IF(VALUE(MID(A788,2,10))&lt;10,"B00"&amp;VALUE(MID(A788,2,10)),IF(VALUE(MID(A788,2,10))&lt;100,"B0"&amp;VALUE(MID(A788,2,10)),IF(VALUE(MID(A788,2,10))&lt;1000,"B"&amp;VALUE(MID(A788,2,10))))),A788)),"_",IF(NOT(OR(C788=1000,C788&gt;1000)),MID(TEXT((C788+1000)*1000,0),2,6),"keine Meter in Spalte km!!!"),IF(VALUE(I788)=1,CONCATENATE("_",VLOOKUP(IF(V788&gt;0,V788,J788),[1]Grundlage!$A$20:$B$181,2,0)),CONCATENATE("_",B788))))</f>
        <v>UQ_A003_489100_S</v>
      </c>
      <c r="F788" s="152" t="s">
        <v>28</v>
      </c>
      <c r="G788" s="171">
        <f t="shared" si="152"/>
        <v>1237</v>
      </c>
      <c r="H788" s="160">
        <f t="shared" si="153"/>
        <v>115</v>
      </c>
      <c r="I788" s="152">
        <f t="shared" si="156"/>
        <v>3</v>
      </c>
      <c r="J788" s="152">
        <f t="shared" si="157"/>
        <v>15</v>
      </c>
      <c r="K788" s="152">
        <f t="shared" si="158"/>
        <v>201</v>
      </c>
      <c r="L788" s="152">
        <f t="shared" si="159"/>
        <v>8</v>
      </c>
      <c r="M788" s="152">
        <f t="shared" si="160"/>
        <v>63</v>
      </c>
      <c r="N788" s="152">
        <f t="shared" si="161"/>
        <v>6</v>
      </c>
      <c r="P788" s="172">
        <f t="shared" si="162"/>
        <v>65</v>
      </c>
      <c r="AI788" s="154"/>
      <c r="AT788" s="148">
        <v>3</v>
      </c>
      <c r="AU788" s="155">
        <v>15</v>
      </c>
      <c r="AV788" s="155" t="s">
        <v>82</v>
      </c>
      <c r="AY788" s="148">
        <v>63</v>
      </c>
      <c r="AZ788" s="155">
        <v>6</v>
      </c>
      <c r="BA788" s="155">
        <v>6</v>
      </c>
      <c r="BB788" s="152" t="s">
        <v>28</v>
      </c>
      <c r="BC788" s="150"/>
      <c r="BD788" s="150"/>
      <c r="BF788" s="152" t="s">
        <v>566</v>
      </c>
    </row>
    <row r="789" spans="1:58" s="152" customFormat="1" ht="14.25" x14ac:dyDescent="0.2">
      <c r="A789" s="160" t="str">
        <f t="shared" si="154"/>
        <v>A3</v>
      </c>
      <c r="B789" s="152" t="s">
        <v>655</v>
      </c>
      <c r="C789" s="160">
        <f t="shared" si="155"/>
        <v>489.1</v>
      </c>
      <c r="D789" s="160"/>
      <c r="E789" s="170" t="str">
        <f>IF(OR(A789="",B789="",C789=""),"eine der Spalten BAB, FR, km leer?",CONCATENATE(VLOOKUP(VALUE(I789),[1]Grundlage!$A$1:$B$14,2,0),IF(LEFT(A789,1)="A",IF(VALUE(MID(A789,2,10))&lt;10,"A00"&amp;VALUE(MID(A789,2,10)),IF(VALUE(MID(A789,2,10))&lt;100,"A0"&amp;VALUE(MID(A789,2,10)),IF(VALUE(MID(A789,2,10))&lt;1000,"A"&amp;VALUE(MID(A789,2,10))))),IF(LEFT(A789,1)="B",IF(VALUE(MID(A789,2,10))&lt;10,"B00"&amp;VALUE(MID(A789,2,10)),IF(VALUE(MID(A789,2,10))&lt;100,"B0"&amp;VALUE(MID(A789,2,10)),IF(VALUE(MID(A789,2,10))&lt;1000,"B"&amp;VALUE(MID(A789,2,10))))),A789)),"_",IF(NOT(OR(C789=1000,C789&gt;1000)),MID(TEXT((C789+1000)*1000,0),2,6),"keine Meter in Spalte km!!!"),IF(VALUE(I789)=1,CONCATENATE("_",VLOOKUP(IF(V789&gt;0,V789,J789),[1]Grundlage!$A$20:$B$181,2,0)),CONCATENATE("_",B789))))</f>
        <v>UQ_A003_489100_S</v>
      </c>
      <c r="F789" s="152" t="s">
        <v>29</v>
      </c>
      <c r="G789" s="171">
        <f t="shared" si="152"/>
        <v>1237</v>
      </c>
      <c r="H789" s="160">
        <f t="shared" si="153"/>
        <v>115</v>
      </c>
      <c r="I789" s="152">
        <f t="shared" si="156"/>
        <v>3</v>
      </c>
      <c r="J789" s="152">
        <f t="shared" si="157"/>
        <v>19</v>
      </c>
      <c r="K789" s="152">
        <f t="shared" si="158"/>
        <v>201</v>
      </c>
      <c r="L789" s="152">
        <f t="shared" si="159"/>
        <v>8</v>
      </c>
      <c r="M789" s="152">
        <f t="shared" si="160"/>
        <v>63</v>
      </c>
      <c r="N789" s="152">
        <f t="shared" si="161"/>
        <v>7</v>
      </c>
      <c r="P789" s="172">
        <f t="shared" si="162"/>
        <v>49</v>
      </c>
      <c r="AI789" s="154"/>
      <c r="AT789" s="148">
        <v>3</v>
      </c>
      <c r="AU789" s="155">
        <v>19</v>
      </c>
      <c r="AV789" s="155">
        <v>13</v>
      </c>
      <c r="AY789" s="148">
        <v>63</v>
      </c>
      <c r="AZ789" s="155">
        <v>7</v>
      </c>
      <c r="BA789" s="155">
        <v>7</v>
      </c>
      <c r="BB789" s="152" t="s">
        <v>29</v>
      </c>
      <c r="BC789" s="150"/>
      <c r="BD789" s="150"/>
      <c r="BF789" s="152" t="s">
        <v>567</v>
      </c>
    </row>
    <row r="790" spans="1:58" s="152" customFormat="1" ht="14.25" x14ac:dyDescent="0.2">
      <c r="A790" s="160" t="str">
        <f t="shared" si="154"/>
        <v>A3</v>
      </c>
      <c r="B790" s="152" t="s">
        <v>655</v>
      </c>
      <c r="C790" s="160">
        <f t="shared" si="155"/>
        <v>489.1</v>
      </c>
      <c r="D790" s="160"/>
      <c r="E790" s="170" t="str">
        <f>IF(OR(A790="",B790="",C790=""),"eine der Spalten BAB, FR, km leer?",CONCATENATE(VLOOKUP(VALUE(I790),[1]Grundlage!$A$1:$B$14,2,0),IF(LEFT(A790,1)="A",IF(VALUE(MID(A790,2,10))&lt;10,"A00"&amp;VALUE(MID(A790,2,10)),IF(VALUE(MID(A790,2,10))&lt;100,"A0"&amp;VALUE(MID(A790,2,10)),IF(VALUE(MID(A790,2,10))&lt;1000,"A"&amp;VALUE(MID(A790,2,10))))),IF(LEFT(A790,1)="B",IF(VALUE(MID(A790,2,10))&lt;10,"B00"&amp;VALUE(MID(A790,2,10)),IF(VALUE(MID(A790,2,10))&lt;100,"B0"&amp;VALUE(MID(A790,2,10)),IF(VALUE(MID(A790,2,10))&lt;1000,"B"&amp;VALUE(MID(A790,2,10))))),A790)),"_",IF(NOT(OR(C790=1000,C790&gt;1000)),MID(TEXT((C790+1000)*1000,0),2,6),"keine Meter in Spalte km!!!"),IF(VALUE(I790)=1,CONCATENATE("_",VLOOKUP(IF(V790&gt;0,V790,J790),[1]Grundlage!$A$20:$B$181,2,0)),CONCATENATE("_",B790))))</f>
        <v>UQ_A003_489100_S</v>
      </c>
      <c r="F790" s="152" t="s">
        <v>30</v>
      </c>
      <c r="G790" s="171">
        <f t="shared" si="152"/>
        <v>1237</v>
      </c>
      <c r="H790" s="160">
        <f t="shared" si="153"/>
        <v>115</v>
      </c>
      <c r="I790" s="152">
        <f t="shared" si="156"/>
        <v>3</v>
      </c>
      <c r="J790" s="152">
        <f t="shared" si="157"/>
        <v>21</v>
      </c>
      <c r="K790" s="152">
        <f t="shared" si="158"/>
        <v>201</v>
      </c>
      <c r="L790" s="152">
        <f t="shared" si="159"/>
        <v>8</v>
      </c>
      <c r="M790" s="152">
        <f t="shared" si="160"/>
        <v>63</v>
      </c>
      <c r="N790" s="152">
        <f t="shared" si="161"/>
        <v>8</v>
      </c>
      <c r="P790" s="172">
        <f t="shared" si="162"/>
        <v>67</v>
      </c>
      <c r="AI790" s="154"/>
      <c r="AT790" s="148">
        <v>3</v>
      </c>
      <c r="AU790" s="155">
        <v>21</v>
      </c>
      <c r="AV790" s="155">
        <v>15</v>
      </c>
      <c r="AY790" s="148">
        <v>63</v>
      </c>
      <c r="AZ790" s="155">
        <v>8</v>
      </c>
      <c r="BA790" s="155">
        <v>8</v>
      </c>
      <c r="BB790" s="152" t="s">
        <v>30</v>
      </c>
      <c r="BC790" s="150"/>
      <c r="BD790" s="150"/>
      <c r="BF790" s="152" t="s">
        <v>568</v>
      </c>
    </row>
    <row r="791" spans="1:58" s="152" customFormat="1" ht="14.25" x14ac:dyDescent="0.2">
      <c r="A791" s="160" t="str">
        <f t="shared" si="154"/>
        <v>A3</v>
      </c>
      <c r="B791" s="152" t="s">
        <v>655</v>
      </c>
      <c r="C791" s="160">
        <f t="shared" si="155"/>
        <v>489.1</v>
      </c>
      <c r="D791" s="160"/>
      <c r="E791" s="170" t="str">
        <f>IF(OR(A791="",B791="",C791=""),"eine der Spalten BAB, FR, km leer?",CONCATENATE(VLOOKUP(VALUE(I791),[1]Grundlage!$A$1:$B$14,2,0),IF(LEFT(A791,1)="A",IF(VALUE(MID(A791,2,10))&lt;10,"A00"&amp;VALUE(MID(A791,2,10)),IF(VALUE(MID(A791,2,10))&lt;100,"A0"&amp;VALUE(MID(A791,2,10)),IF(VALUE(MID(A791,2,10))&lt;1000,"A"&amp;VALUE(MID(A791,2,10))))),IF(LEFT(A791,1)="B",IF(VALUE(MID(A791,2,10))&lt;10,"B00"&amp;VALUE(MID(A791,2,10)),IF(VALUE(MID(A791,2,10))&lt;100,"B0"&amp;VALUE(MID(A791,2,10)),IF(VALUE(MID(A791,2,10))&lt;1000,"B"&amp;VALUE(MID(A791,2,10))))),A791)),"_",IF(NOT(OR(C791=1000,C791&gt;1000)),MID(TEXT((C791+1000)*1000,0),2,6),"keine Meter in Spalte km!!!"),IF(VALUE(I791)=1,CONCATENATE("_",VLOOKUP(IF(V791&gt;0,V791,J791),[1]Grundlage!$A$20:$B$181,2,0)),CONCATENATE("_",B791))))</f>
        <v>UQ_A003_489100_S</v>
      </c>
      <c r="F791" s="152" t="s">
        <v>42</v>
      </c>
      <c r="G791" s="171">
        <f t="shared" si="152"/>
        <v>1237</v>
      </c>
      <c r="H791" s="160">
        <f t="shared" si="153"/>
        <v>115</v>
      </c>
      <c r="I791" s="152">
        <f t="shared" si="156"/>
        <v>3</v>
      </c>
      <c r="J791" s="152">
        <f t="shared" si="157"/>
        <v>25</v>
      </c>
      <c r="K791" s="152">
        <f t="shared" si="158"/>
        <v>201</v>
      </c>
      <c r="L791" s="152">
        <f t="shared" si="159"/>
        <v>8</v>
      </c>
      <c r="M791" s="152">
        <f t="shared" si="160"/>
        <v>63</v>
      </c>
      <c r="N791" s="152">
        <f t="shared" si="161"/>
        <v>9</v>
      </c>
      <c r="P791" s="172">
        <f>IF(AT791&lt;&gt;3,"",IF(BB791="Helligkeitssensor",61,IF(BB791="Helligkeit",61,IF(BB792="Lichtsensor",61,IF(BB791="Lufttemperatur",48,IF(BB791="Niederschlagsart",71,IF(BB791="Niederschlagsintensität",53,IF(BB791="relative Luftfeuchte RLF",55,IF(BB791="Sichtweite",60,IF(BB791="Sichtweite 1",60,IF(BB791="Zustand der Fahrbahnoberfläche FBZ",79,IF(BB791="Wasserfilmdicke WFD",72,IF(BB791="Clusterkanal FG3","",IF(BB791="Gefriertemperatur GT",65,IF(BB791="Fahrbahnoberflächentemperatur FBT",49,IF(BB791="Windrichtung  Typ 56 ",56,VALUE(RIGHT(BB791,2))))))))))))))))))</f>
        <v>56</v>
      </c>
      <c r="AI791" s="154"/>
      <c r="AT791" s="148">
        <v>3</v>
      </c>
      <c r="AU791" s="155">
        <v>25</v>
      </c>
      <c r="AV791" s="155">
        <v>19</v>
      </c>
      <c r="AY791" s="148">
        <v>63</v>
      </c>
      <c r="AZ791" s="155">
        <v>9</v>
      </c>
      <c r="BA791" s="155">
        <v>9</v>
      </c>
      <c r="BB791" s="152" t="s">
        <v>42</v>
      </c>
      <c r="BC791" s="150"/>
      <c r="BD791" s="150"/>
      <c r="BF791" s="152" t="s">
        <v>515</v>
      </c>
    </row>
    <row r="792" spans="1:58" s="152" customFormat="1" ht="14.25" x14ac:dyDescent="0.2">
      <c r="A792" s="160" t="str">
        <f t="shared" si="154"/>
        <v>A3</v>
      </c>
      <c r="B792" s="152" t="s">
        <v>655</v>
      </c>
      <c r="C792" s="160">
        <f t="shared" si="155"/>
        <v>489.1</v>
      </c>
      <c r="D792" s="160"/>
      <c r="E792" s="170" t="str">
        <f>IF(OR(A792="",B792="",C792=""),"eine der Spalten BAB, FR, km leer?",CONCATENATE(VLOOKUP(VALUE(I792),[1]Grundlage!$A$1:$B$14,2,0),IF(LEFT(A792,1)="A",IF(VALUE(MID(A792,2,10))&lt;10,"A00"&amp;VALUE(MID(A792,2,10)),IF(VALUE(MID(A792,2,10))&lt;100,"A0"&amp;VALUE(MID(A792,2,10)),IF(VALUE(MID(A792,2,10))&lt;1000,"A"&amp;VALUE(MID(A792,2,10))))),IF(LEFT(A792,1)="B",IF(VALUE(MID(A792,2,10))&lt;10,"B00"&amp;VALUE(MID(A792,2,10)),IF(VALUE(MID(A792,2,10))&lt;100,"B0"&amp;VALUE(MID(A792,2,10)),IF(VALUE(MID(A792,2,10))&lt;1000,"B"&amp;VALUE(MID(A792,2,10))))),A792)),"_",IF(NOT(OR(C792=1000,C792&gt;1000)),MID(TEXT((C792+1000)*1000,0),2,6),"keine Meter in Spalte km!!!"),IF(VALUE(I792)=1,CONCATENATE("_",VLOOKUP(IF(V792&gt;0,V792,J792),[1]Grundlage!$A$20:$B$181,2,0)),CONCATENATE("_",B792))))</f>
        <v>UQ_A003_489100_S</v>
      </c>
      <c r="F792" s="152" t="s">
        <v>43</v>
      </c>
      <c r="G792" s="171">
        <f t="shared" si="152"/>
        <v>1237</v>
      </c>
      <c r="H792" s="160">
        <f t="shared" si="153"/>
        <v>115</v>
      </c>
      <c r="I792" s="152">
        <f t="shared" si="156"/>
        <v>3</v>
      </c>
      <c r="J792" s="152">
        <f t="shared" si="157"/>
        <v>26</v>
      </c>
      <c r="K792" s="152">
        <f t="shared" si="158"/>
        <v>201</v>
      </c>
      <c r="L792" s="152">
        <f t="shared" si="159"/>
        <v>8</v>
      </c>
      <c r="M792" s="152">
        <f t="shared" si="160"/>
        <v>63</v>
      </c>
      <c r="N792" s="152">
        <f t="shared" si="161"/>
        <v>10</v>
      </c>
      <c r="P792" s="172">
        <f t="shared" si="162"/>
        <v>57</v>
      </c>
      <c r="AI792" s="154"/>
      <c r="AT792" s="148">
        <v>3</v>
      </c>
      <c r="AU792" s="155">
        <v>26</v>
      </c>
      <c r="AV792" s="155" t="s">
        <v>86</v>
      </c>
      <c r="AY792" s="148">
        <v>63</v>
      </c>
      <c r="AZ792" s="155">
        <v>10</v>
      </c>
      <c r="BA792" s="155" t="s">
        <v>95</v>
      </c>
      <c r="BB792" s="152" t="s">
        <v>43</v>
      </c>
      <c r="BC792" s="150"/>
      <c r="BD792" s="150"/>
      <c r="BF792" s="152" t="s">
        <v>446</v>
      </c>
    </row>
    <row r="793" spans="1:58" s="152" customFormat="1" ht="14.25" x14ac:dyDescent="0.2">
      <c r="A793" s="160" t="str">
        <f t="shared" si="154"/>
        <v>A3</v>
      </c>
      <c r="B793" s="152" t="s">
        <v>655</v>
      </c>
      <c r="C793" s="160">
        <f t="shared" si="155"/>
        <v>489.1</v>
      </c>
      <c r="D793" s="160"/>
      <c r="E793" s="170" t="str">
        <f>IF(OR(A793="",B793="",C793=""),"eine der Spalten BAB, FR, km leer?",CONCATENATE(VLOOKUP(VALUE(I793),[1]Grundlage!$A$1:$B$14,2,0),IF(LEFT(A793,1)="A",IF(VALUE(MID(A793,2,10))&lt;10,"A00"&amp;VALUE(MID(A793,2,10)),IF(VALUE(MID(A793,2,10))&lt;100,"A0"&amp;VALUE(MID(A793,2,10)),IF(VALUE(MID(A793,2,10))&lt;1000,"A"&amp;VALUE(MID(A793,2,10))))),IF(LEFT(A793,1)="B",IF(VALUE(MID(A793,2,10))&lt;10,"B00"&amp;VALUE(MID(A793,2,10)),IF(VALUE(MID(A793,2,10))&lt;100,"B0"&amp;VALUE(MID(A793,2,10)),IF(VALUE(MID(A793,2,10))&lt;1000,"B"&amp;VALUE(MID(A793,2,10))))),A793)),"_",IF(NOT(OR(C793=1000,C793&gt;1000)),MID(TEXT((C793+1000)*1000,0),2,6),"keine Meter in Spalte km!!!"),IF(VALUE(I793)=1,CONCATENATE("_",VLOOKUP(IF(V793&gt;0,V793,J793),[1]Grundlage!$A$20:$B$181,2,0)),CONCATENATE("_",B793))))</f>
        <v>UQ_A003_489100_S</v>
      </c>
      <c r="F793" s="152" t="s">
        <v>271</v>
      </c>
      <c r="G793" s="171">
        <f t="shared" si="152"/>
        <v>1237</v>
      </c>
      <c r="H793" s="160">
        <f t="shared" si="153"/>
        <v>115</v>
      </c>
      <c r="I793" s="152">
        <f t="shared" si="156"/>
        <v>3</v>
      </c>
      <c r="J793" s="152">
        <f t="shared" si="157"/>
        <v>67</v>
      </c>
      <c r="K793" s="152">
        <f t="shared" si="158"/>
        <v>201</v>
      </c>
      <c r="L793" s="152">
        <f t="shared" si="159"/>
        <v>8</v>
      </c>
      <c r="M793" s="152">
        <f t="shared" si="160"/>
        <v>63</v>
      </c>
      <c r="N793" s="152">
        <f t="shared" si="161"/>
        <v>11</v>
      </c>
      <c r="P793" s="172">
        <f t="shared" si="162"/>
        <v>53</v>
      </c>
      <c r="AI793" s="154"/>
      <c r="AT793" s="148">
        <v>3</v>
      </c>
      <c r="AU793" s="155">
        <v>67</v>
      </c>
      <c r="AV793" s="155">
        <v>43</v>
      </c>
      <c r="AY793" s="148">
        <v>63</v>
      </c>
      <c r="AZ793" s="155">
        <v>11</v>
      </c>
      <c r="BA793" s="155" t="s">
        <v>78</v>
      </c>
      <c r="BB793" s="152" t="s">
        <v>271</v>
      </c>
      <c r="BC793" s="150"/>
      <c r="BD793" s="150"/>
      <c r="BF793" s="152" t="s">
        <v>444</v>
      </c>
    </row>
    <row r="794" spans="1:58" s="152" customFormat="1" ht="14.25" x14ac:dyDescent="0.2">
      <c r="A794" s="160" t="str">
        <f t="shared" si="154"/>
        <v>A3</v>
      </c>
      <c r="B794" s="152" t="s">
        <v>655</v>
      </c>
      <c r="C794" s="160">
        <f t="shared" si="155"/>
        <v>489.1</v>
      </c>
      <c r="D794" s="160"/>
      <c r="E794" s="170" t="str">
        <f>IF(OR(A794="",B794="",C794=""),"eine der Spalten BAB, FR, km leer?",CONCATENATE(VLOOKUP(VALUE(I794),[1]Grundlage!$A$1:$B$14,2,0),IF(LEFT(A794,1)="A",IF(VALUE(MID(A794,2,10))&lt;10,"A00"&amp;VALUE(MID(A794,2,10)),IF(VALUE(MID(A794,2,10))&lt;100,"A0"&amp;VALUE(MID(A794,2,10)),IF(VALUE(MID(A794,2,10))&lt;1000,"A"&amp;VALUE(MID(A794,2,10))))),IF(LEFT(A794,1)="B",IF(VALUE(MID(A794,2,10))&lt;10,"B00"&amp;VALUE(MID(A794,2,10)),IF(VALUE(MID(A794,2,10))&lt;100,"B0"&amp;VALUE(MID(A794,2,10)),IF(VALUE(MID(A794,2,10))&lt;1000,"B"&amp;VALUE(MID(A794,2,10))))),A794)),"_",IF(NOT(OR(C794=1000,C794&gt;1000)),MID(TEXT((C794+1000)*1000,0),2,6),"keine Meter in Spalte km!!!"),IF(VALUE(I794)=1,CONCATENATE("_",VLOOKUP(IF(V794&gt;0,V794,J794),[1]Grundlage!$A$20:$B$181,2,0)),CONCATENATE("_",B794))))</f>
        <v>UQ_A003_489100_S</v>
      </c>
      <c r="F794" s="152" t="s">
        <v>272</v>
      </c>
      <c r="G794" s="171">
        <f t="shared" si="152"/>
        <v>1237</v>
      </c>
      <c r="H794" s="160">
        <f t="shared" si="153"/>
        <v>115</v>
      </c>
      <c r="I794" s="152">
        <f t="shared" si="156"/>
        <v>3</v>
      </c>
      <c r="J794" s="152">
        <f t="shared" si="157"/>
        <v>82</v>
      </c>
      <c r="K794" s="152">
        <f t="shared" si="158"/>
        <v>201</v>
      </c>
      <c r="L794" s="152">
        <f t="shared" si="159"/>
        <v>8</v>
      </c>
      <c r="M794" s="152">
        <f t="shared" si="160"/>
        <v>63</v>
      </c>
      <c r="N794" s="152">
        <f t="shared" si="161"/>
        <v>12</v>
      </c>
      <c r="P794" s="172">
        <f t="shared" si="162"/>
        <v>72</v>
      </c>
      <c r="AI794" s="154"/>
      <c r="AT794" s="148">
        <v>3</v>
      </c>
      <c r="AU794" s="155">
        <v>82</v>
      </c>
      <c r="AV794" s="155">
        <v>52</v>
      </c>
      <c r="AY794" s="148">
        <v>63</v>
      </c>
      <c r="AZ794" s="155">
        <v>12</v>
      </c>
      <c r="BA794" s="155" t="s">
        <v>79</v>
      </c>
      <c r="BB794" s="152" t="s">
        <v>272</v>
      </c>
      <c r="BC794" s="150"/>
      <c r="BD794" s="150"/>
      <c r="BF794" s="152" t="s">
        <v>569</v>
      </c>
    </row>
    <row r="795" spans="1:58" ht="14.25" x14ac:dyDescent="0.2">
      <c r="A795" t="str">
        <f t="shared" si="154"/>
        <v>A3</v>
      </c>
      <c r="C795">
        <f t="shared" si="155"/>
        <v>489.1</v>
      </c>
      <c r="D795" t="str">
        <f t="shared" si="151"/>
        <v/>
      </c>
      <c r="E795" s="169" t="str">
        <f>IF(OR(A795="",B795="",C795=""),"",CONCATENATE(VLOOKUP(VALUE(I795),[1]Grundlage!$A$1:$B$14,2,0),IF(LEFT(A795,1)="A",IF(VALUE(MID(A795,2,10))&lt;10,"A00"&amp;VALUE(MID(A795,2,10)),IF(VALUE(MID(A795,2,10))&lt;100,"A0"&amp;VALUE(MID(A795,2,10)),IF(VALUE(MID(A795,2,10))&lt;1000,"A"&amp;VALUE(MID(A795,2,10))))),IF(LEFT(A795,1)="B",IF(VALUE(MID(A795,2,10))&lt;10,"B00"&amp;VALUE(MID(A795,2,10)),IF(VALUE(MID(A795,2,10))&lt;100,"B0"&amp;VALUE(MID(A795,2,10)),IF(VALUE(MID(A795,2,10))&lt;1000,"B"&amp;VALUE(MID(A795,2,10))))),A795)),"_",IF(NOT(OR(C795=1000,C795&gt;1000)),MID(TEXT((C795+1000)*1000,0),2,6),"keine Meter in Spalte km!!!"),IF(VALUE(I795)=1,CONCATENATE("_",VLOOKUP(IF(V795&gt;0,V795,J795),[1]Grundlage!$A$20:$B$181,2,0)),CONCATENATE("_",B795))))</f>
        <v/>
      </c>
      <c r="F795" s="2" t="s">
        <v>669</v>
      </c>
      <c r="G795" s="167">
        <f t="shared" si="152"/>
        <v>1237</v>
      </c>
      <c r="H795">
        <f t="shared" si="153"/>
        <v>115</v>
      </c>
      <c r="I795" s="2">
        <f t="shared" si="156"/>
        <v>0</v>
      </c>
      <c r="J795" s="2">
        <f t="shared" si="157"/>
        <v>0</v>
      </c>
      <c r="K795" s="2">
        <f t="shared" si="158"/>
        <v>201</v>
      </c>
      <c r="L795" s="2">
        <f t="shared" si="159"/>
        <v>8</v>
      </c>
      <c r="M795" s="2" t="str">
        <f t="shared" si="160"/>
        <v/>
      </c>
      <c r="N795" s="2" t="str">
        <f t="shared" si="161"/>
        <v/>
      </c>
      <c r="P795" s="168" t="str">
        <f t="shared" si="162"/>
        <v/>
      </c>
    </row>
    <row r="796" spans="1:58" s="152" customFormat="1" ht="14.25" x14ac:dyDescent="0.2">
      <c r="A796" s="160" t="s">
        <v>58</v>
      </c>
      <c r="B796" s="152" t="s">
        <v>656</v>
      </c>
      <c r="C796" s="160">
        <f t="shared" si="155"/>
        <v>237.04</v>
      </c>
      <c r="D796" s="160"/>
      <c r="E796" s="170" t="str">
        <f>IF(OR(A796="",B796="",C796=""),"eine der Spalten BAB, FR, km leer?",CONCATENATE(VLOOKUP(VALUE(I796),[1]Grundlage!$A$1:$B$14,2,0),IF(LEFT(A796,1)="A",IF(VALUE(MID(A796,2,10))&lt;10,"A00"&amp;VALUE(MID(A796,2,10)),IF(VALUE(MID(A796,2,10))&lt;100,"A0"&amp;VALUE(MID(A796,2,10)),IF(VALUE(MID(A796,2,10))&lt;1000,"A"&amp;VALUE(MID(A796,2,10))))),IF(LEFT(A796,1)="B",IF(VALUE(MID(A796,2,10))&lt;10,"B00"&amp;VALUE(MID(A796,2,10)),IF(VALUE(MID(A796,2,10))&lt;100,"B0"&amp;VALUE(MID(A796,2,10)),IF(VALUE(MID(A796,2,10))&lt;1000,"B"&amp;VALUE(MID(A796,2,10))))),A796)),"_",IF(NOT(OR(C796=1000,C796&gt;1000)),MID(TEXT((C796+1000)*1000,0),2,6),"keine Meter in Spalte km!!!"),IF(VALUE(I796)=1,CONCATENATE("_",VLOOKUP(IF(V796&gt;0,V796,J796),[1]Grundlage!$A$20:$B$181,2,0)),CONCATENATE("_",B796))))</f>
        <v>SSt_A093_237040_N</v>
      </c>
      <c r="F796" s="152" t="s">
        <v>130</v>
      </c>
      <c r="G796" s="171">
        <f t="shared" si="152"/>
        <v>36355</v>
      </c>
      <c r="H796" s="160">
        <f t="shared" si="153"/>
        <v>115</v>
      </c>
      <c r="I796" s="152">
        <f t="shared" si="156"/>
        <v>0</v>
      </c>
      <c r="J796" s="152">
        <f t="shared" si="157"/>
        <v>0</v>
      </c>
      <c r="K796" s="152">
        <f t="shared" si="158"/>
        <v>201</v>
      </c>
      <c r="L796" s="152">
        <f t="shared" si="159"/>
        <v>9</v>
      </c>
      <c r="M796" s="152">
        <f t="shared" si="160"/>
        <v>9</v>
      </c>
      <c r="N796" s="152" t="str">
        <f t="shared" si="161"/>
        <v/>
      </c>
      <c r="P796" s="172" t="str">
        <f t="shared" si="162"/>
        <v/>
      </c>
      <c r="AI796" s="173">
        <v>237.04</v>
      </c>
      <c r="AJ796" s="148" t="s">
        <v>19</v>
      </c>
      <c r="AK796" s="148" t="s">
        <v>122</v>
      </c>
      <c r="AL796" s="148"/>
      <c r="AM796" s="148"/>
      <c r="AN796" s="148"/>
      <c r="AO796" s="148"/>
      <c r="AP796" s="148">
        <v>9306995</v>
      </c>
      <c r="AQ796" s="176" t="s">
        <v>239</v>
      </c>
      <c r="AR796" s="177">
        <v>3</v>
      </c>
      <c r="AS796" s="177">
        <v>73</v>
      </c>
      <c r="AT796" s="148"/>
      <c r="AU796" s="148"/>
      <c r="AV796" s="148"/>
      <c r="AW796" s="148">
        <v>201</v>
      </c>
      <c r="AX796" s="148">
        <v>9</v>
      </c>
      <c r="AY796" s="148">
        <v>9</v>
      </c>
      <c r="AZ796" s="148"/>
      <c r="BA796" s="148"/>
      <c r="BB796" s="149" t="s">
        <v>130</v>
      </c>
      <c r="BC796" s="150"/>
      <c r="BD796" s="158" t="s">
        <v>163</v>
      </c>
      <c r="BE796" s="152" t="s">
        <v>118</v>
      </c>
      <c r="BF796" s="152" t="s">
        <v>564</v>
      </c>
    </row>
    <row r="797" spans="1:58" s="152" customFormat="1" ht="14.25" x14ac:dyDescent="0.2">
      <c r="A797" s="160" t="str">
        <f t="shared" si="154"/>
        <v>A93</v>
      </c>
      <c r="B797" s="152" t="s">
        <v>656</v>
      </c>
      <c r="C797" s="160">
        <f t="shared" si="155"/>
        <v>237.04</v>
      </c>
      <c r="D797" s="160"/>
      <c r="E797" s="170" t="str">
        <f>IF(OR(A797="",B797="",C797=""),"eine der Spalten BAB, FR, km leer?",CONCATENATE(VLOOKUP(VALUE(I797),[1]Grundlage!$A$1:$B$14,2,0),IF(LEFT(A797,1)="A",IF(VALUE(MID(A797,2,10))&lt;10,"A00"&amp;VALUE(MID(A797,2,10)),IF(VALUE(MID(A797,2,10))&lt;100,"A0"&amp;VALUE(MID(A797,2,10)),IF(VALUE(MID(A797,2,10))&lt;1000,"A"&amp;VALUE(MID(A797,2,10))))),IF(LEFT(A797,1)="B",IF(VALUE(MID(A797,2,10))&lt;10,"B00"&amp;VALUE(MID(A797,2,10)),IF(VALUE(MID(A797,2,10))&lt;100,"B0"&amp;VALUE(MID(A797,2,10)),IF(VALUE(MID(A797,2,10))&lt;1000,"B"&amp;VALUE(MID(A797,2,10))))),A797)),"_",IF(NOT(OR(C797=1000,C797&gt;1000)),MID(TEXT((C797+1000)*1000,0),2,6),"keine Meter in Spalte km!!!"),IF(VALUE(I797)=1,CONCATENATE("_",VLOOKUP(IF(V797&gt;0,V797,J797),[1]Grundlage!$A$20:$B$181,2,0)),CONCATENATE("_",B797))))</f>
        <v>UQ_A093_237040_N</v>
      </c>
      <c r="F797" s="152" t="s">
        <v>269</v>
      </c>
      <c r="G797" s="171">
        <f t="shared" si="152"/>
        <v>36355</v>
      </c>
      <c r="H797" s="160">
        <f t="shared" si="153"/>
        <v>115</v>
      </c>
      <c r="I797" s="152">
        <f t="shared" si="156"/>
        <v>3</v>
      </c>
      <c r="J797" s="152">
        <f t="shared" si="157"/>
        <v>6</v>
      </c>
      <c r="K797" s="152">
        <f t="shared" si="158"/>
        <v>201</v>
      </c>
      <c r="L797" s="152">
        <f t="shared" si="159"/>
        <v>9</v>
      </c>
      <c r="M797" s="152">
        <f t="shared" si="160"/>
        <v>1</v>
      </c>
      <c r="N797" s="152">
        <f t="shared" si="161"/>
        <v>1</v>
      </c>
      <c r="P797" s="172">
        <f t="shared" si="162"/>
        <v>71</v>
      </c>
      <c r="AI797" s="154"/>
      <c r="AT797" s="148">
        <v>3</v>
      </c>
      <c r="AU797" s="155">
        <v>6</v>
      </c>
      <c r="AV797" s="156">
        <v>6</v>
      </c>
      <c r="AW797" s="148"/>
      <c r="AX797" s="148"/>
      <c r="AY797" s="148">
        <v>1</v>
      </c>
      <c r="AZ797" s="155">
        <v>1</v>
      </c>
      <c r="BA797" s="178">
        <f>AZ797</f>
        <v>1</v>
      </c>
      <c r="BB797" s="159" t="s">
        <v>269</v>
      </c>
      <c r="BC797" s="150"/>
      <c r="BD797" s="150"/>
      <c r="BF797" s="152" t="s">
        <v>440</v>
      </c>
    </row>
    <row r="798" spans="1:58" s="152" customFormat="1" ht="14.25" x14ac:dyDescent="0.2">
      <c r="A798" s="160" t="str">
        <f t="shared" si="154"/>
        <v>A93</v>
      </c>
      <c r="B798" s="152" t="s">
        <v>656</v>
      </c>
      <c r="C798" s="160">
        <f t="shared" si="155"/>
        <v>237.04</v>
      </c>
      <c r="D798" s="160"/>
      <c r="E798" s="170" t="str">
        <f>IF(OR(A798="",B798="",C798=""),"eine der Spalten BAB, FR, km leer?",CONCATENATE(VLOOKUP(VALUE(I798),[1]Grundlage!$A$1:$B$14,2,0),IF(LEFT(A798,1)="A",IF(VALUE(MID(A798,2,10))&lt;10,"A00"&amp;VALUE(MID(A798,2,10)),IF(VALUE(MID(A798,2,10))&lt;100,"A0"&amp;VALUE(MID(A798,2,10)),IF(VALUE(MID(A798,2,10))&lt;1000,"A"&amp;VALUE(MID(A798,2,10))))),IF(LEFT(A798,1)="B",IF(VALUE(MID(A798,2,10))&lt;10,"B00"&amp;VALUE(MID(A798,2,10)),IF(VALUE(MID(A798,2,10))&lt;100,"B0"&amp;VALUE(MID(A798,2,10)),IF(VALUE(MID(A798,2,10))&lt;1000,"B"&amp;VALUE(MID(A798,2,10))))),A798)),"_",IF(NOT(OR(C798=1000,C798&gt;1000)),MID(TEXT((C798+1000)*1000,0),2,6),"keine Meter in Spalte km!!!"),IF(VALUE(I798)=1,CONCATENATE("_",VLOOKUP(IF(V798&gt;0,V798,J798),[1]Grundlage!$A$20:$B$181,2,0)),CONCATENATE("_",B798))))</f>
        <v>UQ_A093_237040_N</v>
      </c>
      <c r="F798" s="152" t="s">
        <v>270</v>
      </c>
      <c r="G798" s="171">
        <f t="shared" si="152"/>
        <v>36355</v>
      </c>
      <c r="H798" s="160">
        <f t="shared" si="153"/>
        <v>115</v>
      </c>
      <c r="I798" s="152">
        <f t="shared" si="156"/>
        <v>3</v>
      </c>
      <c r="J798" s="152">
        <f t="shared" si="157"/>
        <v>11</v>
      </c>
      <c r="K798" s="152">
        <f t="shared" si="158"/>
        <v>201</v>
      </c>
      <c r="L798" s="152">
        <f t="shared" si="159"/>
        <v>9</v>
      </c>
      <c r="M798" s="152">
        <f t="shared" si="160"/>
        <v>1</v>
      </c>
      <c r="N798" s="152">
        <f t="shared" si="161"/>
        <v>2</v>
      </c>
      <c r="P798" s="172">
        <f t="shared" si="162"/>
        <v>70</v>
      </c>
      <c r="AI798" s="154"/>
      <c r="AT798" s="148">
        <v>3</v>
      </c>
      <c r="AU798" s="155">
        <v>11</v>
      </c>
      <c r="AV798" s="155" t="s">
        <v>78</v>
      </c>
      <c r="AY798" s="148">
        <v>1</v>
      </c>
      <c r="AZ798" s="155">
        <v>2</v>
      </c>
      <c r="BA798" s="155">
        <v>2</v>
      </c>
      <c r="BB798" s="159" t="s">
        <v>270</v>
      </c>
      <c r="BC798" s="150"/>
      <c r="BD798" s="150"/>
      <c r="BF798" s="152" t="s">
        <v>565</v>
      </c>
    </row>
    <row r="799" spans="1:58" s="152" customFormat="1" ht="14.25" x14ac:dyDescent="0.2">
      <c r="A799" s="160" t="str">
        <f t="shared" si="154"/>
        <v>A93</v>
      </c>
      <c r="B799" s="152" t="s">
        <v>656</v>
      </c>
      <c r="C799" s="160">
        <f t="shared" si="155"/>
        <v>237.04</v>
      </c>
      <c r="D799" s="160"/>
      <c r="E799" s="170" t="str">
        <f>IF(OR(A799="",B799="",C799=""),"eine der Spalten BAB, FR, km leer?",CONCATENATE(VLOOKUP(VALUE(I799),[1]Grundlage!$A$1:$B$14,2,0),IF(LEFT(A799,1)="A",IF(VALUE(MID(A799,2,10))&lt;10,"A00"&amp;VALUE(MID(A799,2,10)),IF(VALUE(MID(A799,2,10))&lt;100,"A0"&amp;VALUE(MID(A799,2,10)),IF(VALUE(MID(A799,2,10))&lt;1000,"A"&amp;VALUE(MID(A799,2,10))))),IF(LEFT(A799,1)="B",IF(VALUE(MID(A799,2,10))&lt;10,"B00"&amp;VALUE(MID(A799,2,10)),IF(VALUE(MID(A799,2,10))&lt;100,"B0"&amp;VALUE(MID(A799,2,10)),IF(VALUE(MID(A799,2,10))&lt;1000,"B"&amp;VALUE(MID(A799,2,10))))),A799)),"_",IF(NOT(OR(C799=1000,C799&gt;1000)),MID(TEXT((C799+1000)*1000,0),2,6),"keine Meter in Spalte km!!!"),IF(VALUE(I799)=1,CONCATENATE("_",VLOOKUP(IF(V799&gt;0,V799,J799),[1]Grundlage!$A$20:$B$181,2,0)),CONCATENATE("_",B799))))</f>
        <v>UQ_A093_237040_N</v>
      </c>
      <c r="F799" s="152" t="s">
        <v>25</v>
      </c>
      <c r="G799" s="171">
        <f t="shared" si="152"/>
        <v>36355</v>
      </c>
      <c r="H799" s="160">
        <f t="shared" si="153"/>
        <v>115</v>
      </c>
      <c r="I799" s="152">
        <f t="shared" si="156"/>
        <v>3</v>
      </c>
      <c r="J799" s="152">
        <f t="shared" si="157"/>
        <v>12</v>
      </c>
      <c r="K799" s="152">
        <f t="shared" si="158"/>
        <v>201</v>
      </c>
      <c r="L799" s="152">
        <f t="shared" si="159"/>
        <v>9</v>
      </c>
      <c r="M799" s="152">
        <f t="shared" si="160"/>
        <v>1</v>
      </c>
      <c r="N799" s="152">
        <f t="shared" si="161"/>
        <v>3</v>
      </c>
      <c r="P799" s="172">
        <f t="shared" si="162"/>
        <v>48</v>
      </c>
      <c r="AI799" s="154"/>
      <c r="AT799" s="148">
        <v>3</v>
      </c>
      <c r="AU799" s="155">
        <v>12</v>
      </c>
      <c r="AV799" s="155" t="s">
        <v>79</v>
      </c>
      <c r="AY799" s="148">
        <v>1</v>
      </c>
      <c r="AZ799" s="155">
        <v>3</v>
      </c>
      <c r="BA799" s="155">
        <v>3</v>
      </c>
      <c r="BB799" s="152" t="s">
        <v>25</v>
      </c>
      <c r="BC799" s="150"/>
      <c r="BD799" s="150"/>
      <c r="BF799" s="152" t="s">
        <v>441</v>
      </c>
    </row>
    <row r="800" spans="1:58" s="152" customFormat="1" ht="14.25" x14ac:dyDescent="0.2">
      <c r="A800" s="160" t="str">
        <f t="shared" si="154"/>
        <v>A93</v>
      </c>
      <c r="B800" s="152" t="s">
        <v>656</v>
      </c>
      <c r="C800" s="160">
        <f t="shared" si="155"/>
        <v>237.04</v>
      </c>
      <c r="D800" s="160"/>
      <c r="E800" s="170" t="str">
        <f>IF(OR(A800="",B800="",C800=""),"eine der Spalten BAB, FR, km leer?",CONCATENATE(VLOOKUP(VALUE(I800),[1]Grundlage!$A$1:$B$14,2,0),IF(LEFT(A800,1)="A",IF(VALUE(MID(A800,2,10))&lt;10,"A00"&amp;VALUE(MID(A800,2,10)),IF(VALUE(MID(A800,2,10))&lt;100,"A0"&amp;VALUE(MID(A800,2,10)),IF(VALUE(MID(A800,2,10))&lt;1000,"A"&amp;VALUE(MID(A800,2,10))))),IF(LEFT(A800,1)="B",IF(VALUE(MID(A800,2,10))&lt;10,"B00"&amp;VALUE(MID(A800,2,10)),IF(VALUE(MID(A800,2,10))&lt;100,"B0"&amp;VALUE(MID(A800,2,10)),IF(VALUE(MID(A800,2,10))&lt;1000,"B"&amp;VALUE(MID(A800,2,10))))),A800)),"_",IF(NOT(OR(C800=1000,C800&gt;1000)),MID(TEXT((C800+1000)*1000,0),2,6),"keine Meter in Spalte km!!!"),IF(VALUE(I800)=1,CONCATENATE("_",VLOOKUP(IF(V800&gt;0,V800,J800),[1]Grundlage!$A$20:$B$181,2,0)),CONCATENATE("_",B800))))</f>
        <v>UQ_A093_237040_N</v>
      </c>
      <c r="F800" s="152" t="s">
        <v>26</v>
      </c>
      <c r="G800" s="171">
        <f t="shared" si="152"/>
        <v>36355</v>
      </c>
      <c r="H800" s="160">
        <f t="shared" si="153"/>
        <v>115</v>
      </c>
      <c r="I800" s="152">
        <f t="shared" si="156"/>
        <v>3</v>
      </c>
      <c r="J800" s="152">
        <f t="shared" si="157"/>
        <v>13</v>
      </c>
      <c r="K800" s="152">
        <f t="shared" si="158"/>
        <v>201</v>
      </c>
      <c r="L800" s="152">
        <f t="shared" si="159"/>
        <v>9</v>
      </c>
      <c r="M800" s="152">
        <f t="shared" si="160"/>
        <v>1</v>
      </c>
      <c r="N800" s="152">
        <f t="shared" si="161"/>
        <v>4</v>
      </c>
      <c r="P800" s="172">
        <f t="shared" si="162"/>
        <v>55</v>
      </c>
      <c r="AI800" s="154"/>
      <c r="AT800" s="148">
        <v>3</v>
      </c>
      <c r="AU800" s="155">
        <v>13</v>
      </c>
      <c r="AV800" s="155" t="s">
        <v>80</v>
      </c>
      <c r="AY800" s="148">
        <v>1</v>
      </c>
      <c r="AZ800" s="155">
        <v>4</v>
      </c>
      <c r="BA800" s="155">
        <v>4</v>
      </c>
      <c r="BB800" s="152" t="s">
        <v>26</v>
      </c>
      <c r="BC800" s="150"/>
      <c r="BD800" s="150"/>
      <c r="BF800" s="152" t="s">
        <v>442</v>
      </c>
    </row>
    <row r="801" spans="1:58" s="152" customFormat="1" ht="14.25" x14ac:dyDescent="0.2">
      <c r="A801" s="160" t="str">
        <f t="shared" si="154"/>
        <v>A93</v>
      </c>
      <c r="B801" s="152" t="s">
        <v>656</v>
      </c>
      <c r="C801" s="160">
        <f t="shared" si="155"/>
        <v>237.04</v>
      </c>
      <c r="D801" s="160"/>
      <c r="E801" s="170" t="str">
        <f>IF(OR(A801="",B801="",C801=""),"eine der Spalten BAB, FR, km leer?",CONCATENATE(VLOOKUP(VALUE(I801),[1]Grundlage!$A$1:$B$14,2,0),IF(LEFT(A801,1)="A",IF(VALUE(MID(A801,2,10))&lt;10,"A00"&amp;VALUE(MID(A801,2,10)),IF(VALUE(MID(A801,2,10))&lt;100,"A0"&amp;VALUE(MID(A801,2,10)),IF(VALUE(MID(A801,2,10))&lt;1000,"A"&amp;VALUE(MID(A801,2,10))))),IF(LEFT(A801,1)="B",IF(VALUE(MID(A801,2,10))&lt;10,"B00"&amp;VALUE(MID(A801,2,10)),IF(VALUE(MID(A801,2,10))&lt;100,"B0"&amp;VALUE(MID(A801,2,10)),IF(VALUE(MID(A801,2,10))&lt;1000,"B"&amp;VALUE(MID(A801,2,10))))),A801)),"_",IF(NOT(OR(C801=1000,C801&gt;1000)),MID(TEXT((C801+1000)*1000,0),2,6),"keine Meter in Spalte km!!!"),IF(VALUE(I801)=1,CONCATENATE("_",VLOOKUP(IF(V801&gt;0,V801,J801),[1]Grundlage!$A$20:$B$181,2,0)),CONCATENATE("_",B801))))</f>
        <v>UQ_A093_237040_N</v>
      </c>
      <c r="F801" s="152" t="s">
        <v>27</v>
      </c>
      <c r="G801" s="171">
        <f t="shared" si="152"/>
        <v>36355</v>
      </c>
      <c r="H801" s="160">
        <f t="shared" si="153"/>
        <v>115</v>
      </c>
      <c r="I801" s="152">
        <f t="shared" si="156"/>
        <v>3</v>
      </c>
      <c r="J801" s="152">
        <f t="shared" si="157"/>
        <v>14</v>
      </c>
      <c r="K801" s="152">
        <f t="shared" si="158"/>
        <v>201</v>
      </c>
      <c r="L801" s="152">
        <f t="shared" si="159"/>
        <v>9</v>
      </c>
      <c r="M801" s="152">
        <f t="shared" si="160"/>
        <v>1</v>
      </c>
      <c r="N801" s="152">
        <f t="shared" si="161"/>
        <v>5</v>
      </c>
      <c r="P801" s="172">
        <f t="shared" si="162"/>
        <v>66</v>
      </c>
      <c r="AI801" s="154"/>
      <c r="AT801" s="148">
        <v>3</v>
      </c>
      <c r="AU801" s="155">
        <v>14</v>
      </c>
      <c r="AV801" s="155" t="s">
        <v>81</v>
      </c>
      <c r="AY801" s="148">
        <v>1</v>
      </c>
      <c r="AZ801" s="155">
        <v>5</v>
      </c>
      <c r="BA801" s="155">
        <v>5</v>
      </c>
      <c r="BB801" s="152" t="s">
        <v>27</v>
      </c>
      <c r="BC801" s="150"/>
      <c r="BD801" s="150"/>
      <c r="BF801" s="152" t="s">
        <v>443</v>
      </c>
    </row>
    <row r="802" spans="1:58" s="152" customFormat="1" ht="14.25" x14ac:dyDescent="0.2">
      <c r="A802" s="160" t="str">
        <f t="shared" si="154"/>
        <v>A93</v>
      </c>
      <c r="B802" s="152" t="s">
        <v>656</v>
      </c>
      <c r="C802" s="160">
        <f t="shared" si="155"/>
        <v>237.04</v>
      </c>
      <c r="D802" s="160"/>
      <c r="E802" s="170" t="str">
        <f>IF(OR(A802="",B802="",C802=""),"eine der Spalten BAB, FR, km leer?",CONCATENATE(VLOOKUP(VALUE(I802),[1]Grundlage!$A$1:$B$14,2,0),IF(LEFT(A802,1)="A",IF(VALUE(MID(A802,2,10))&lt;10,"A00"&amp;VALUE(MID(A802,2,10)),IF(VALUE(MID(A802,2,10))&lt;100,"A0"&amp;VALUE(MID(A802,2,10)),IF(VALUE(MID(A802,2,10))&lt;1000,"A"&amp;VALUE(MID(A802,2,10))))),IF(LEFT(A802,1)="B",IF(VALUE(MID(A802,2,10))&lt;10,"B00"&amp;VALUE(MID(A802,2,10)),IF(VALUE(MID(A802,2,10))&lt;100,"B0"&amp;VALUE(MID(A802,2,10)),IF(VALUE(MID(A802,2,10))&lt;1000,"B"&amp;VALUE(MID(A802,2,10))))),A802)),"_",IF(NOT(OR(C802=1000,C802&gt;1000)),MID(TEXT((C802+1000)*1000,0),2,6),"keine Meter in Spalte km!!!"),IF(VALUE(I802)=1,CONCATENATE("_",VLOOKUP(IF(V802&gt;0,V802,J802),[1]Grundlage!$A$20:$B$181,2,0)),CONCATENATE("_",B802))))</f>
        <v>UQ_A093_237040_N</v>
      </c>
      <c r="F802" s="152" t="s">
        <v>28</v>
      </c>
      <c r="G802" s="171">
        <f t="shared" si="152"/>
        <v>36355</v>
      </c>
      <c r="H802" s="160">
        <f t="shared" si="153"/>
        <v>115</v>
      </c>
      <c r="I802" s="152">
        <f t="shared" si="156"/>
        <v>3</v>
      </c>
      <c r="J802" s="152">
        <f t="shared" si="157"/>
        <v>15</v>
      </c>
      <c r="K802" s="152">
        <f t="shared" si="158"/>
        <v>201</v>
      </c>
      <c r="L802" s="152">
        <f t="shared" si="159"/>
        <v>9</v>
      </c>
      <c r="M802" s="152">
        <f t="shared" si="160"/>
        <v>1</v>
      </c>
      <c r="N802" s="152">
        <f t="shared" si="161"/>
        <v>6</v>
      </c>
      <c r="P802" s="172">
        <f t="shared" si="162"/>
        <v>65</v>
      </c>
      <c r="AI802" s="154"/>
      <c r="AT802" s="148">
        <v>3</v>
      </c>
      <c r="AU802" s="155">
        <v>15</v>
      </c>
      <c r="AV802" s="155" t="s">
        <v>82</v>
      </c>
      <c r="AY802" s="148">
        <v>1</v>
      </c>
      <c r="AZ802" s="155">
        <v>6</v>
      </c>
      <c r="BA802" s="155">
        <v>6</v>
      </c>
      <c r="BB802" s="152" t="s">
        <v>28</v>
      </c>
      <c r="BC802" s="150"/>
      <c r="BD802" s="150"/>
      <c r="BF802" s="152" t="s">
        <v>566</v>
      </c>
    </row>
    <row r="803" spans="1:58" s="152" customFormat="1" ht="14.25" x14ac:dyDescent="0.2">
      <c r="A803" s="160" t="str">
        <f t="shared" si="154"/>
        <v>A93</v>
      </c>
      <c r="B803" s="152" t="s">
        <v>656</v>
      </c>
      <c r="C803" s="160">
        <f t="shared" si="155"/>
        <v>237.04</v>
      </c>
      <c r="D803" s="160"/>
      <c r="E803" s="170" t="str">
        <f>IF(OR(A803="",B803="",C803=""),"eine der Spalten BAB, FR, km leer?",CONCATENATE(VLOOKUP(VALUE(I803),[1]Grundlage!$A$1:$B$14,2,0),IF(LEFT(A803,1)="A",IF(VALUE(MID(A803,2,10))&lt;10,"A00"&amp;VALUE(MID(A803,2,10)),IF(VALUE(MID(A803,2,10))&lt;100,"A0"&amp;VALUE(MID(A803,2,10)),IF(VALUE(MID(A803,2,10))&lt;1000,"A"&amp;VALUE(MID(A803,2,10))))),IF(LEFT(A803,1)="B",IF(VALUE(MID(A803,2,10))&lt;10,"B00"&amp;VALUE(MID(A803,2,10)),IF(VALUE(MID(A803,2,10))&lt;100,"B0"&amp;VALUE(MID(A803,2,10)),IF(VALUE(MID(A803,2,10))&lt;1000,"B"&amp;VALUE(MID(A803,2,10))))),A803)),"_",IF(NOT(OR(C803=1000,C803&gt;1000)),MID(TEXT((C803+1000)*1000,0),2,6),"keine Meter in Spalte km!!!"),IF(VALUE(I803)=1,CONCATENATE("_",VLOOKUP(IF(V803&gt;0,V803,J803),[1]Grundlage!$A$20:$B$181,2,0)),CONCATENATE("_",B803))))</f>
        <v>UQ_A093_237040_N</v>
      </c>
      <c r="F803" s="152" t="s">
        <v>29</v>
      </c>
      <c r="G803" s="171">
        <f t="shared" si="152"/>
        <v>36355</v>
      </c>
      <c r="H803" s="160">
        <f t="shared" si="153"/>
        <v>115</v>
      </c>
      <c r="I803" s="152">
        <f t="shared" si="156"/>
        <v>3</v>
      </c>
      <c r="J803" s="152">
        <f t="shared" si="157"/>
        <v>19</v>
      </c>
      <c r="K803" s="152">
        <f t="shared" si="158"/>
        <v>201</v>
      </c>
      <c r="L803" s="152">
        <f t="shared" si="159"/>
        <v>9</v>
      </c>
      <c r="M803" s="152">
        <f t="shared" si="160"/>
        <v>1</v>
      </c>
      <c r="N803" s="152">
        <f t="shared" si="161"/>
        <v>7</v>
      </c>
      <c r="P803" s="172">
        <f t="shared" si="162"/>
        <v>49</v>
      </c>
      <c r="AI803" s="154"/>
      <c r="AT803" s="148">
        <v>3</v>
      </c>
      <c r="AU803" s="155">
        <v>19</v>
      </c>
      <c r="AV803" s="155">
        <v>13</v>
      </c>
      <c r="AY803" s="148">
        <v>1</v>
      </c>
      <c r="AZ803" s="155">
        <v>7</v>
      </c>
      <c r="BA803" s="155">
        <v>7</v>
      </c>
      <c r="BB803" s="152" t="s">
        <v>29</v>
      </c>
      <c r="BC803" s="150"/>
      <c r="BD803" s="150"/>
      <c r="BF803" s="152" t="s">
        <v>567</v>
      </c>
    </row>
    <row r="804" spans="1:58" s="152" customFormat="1" ht="14.25" x14ac:dyDescent="0.2">
      <c r="A804" s="160" t="str">
        <f t="shared" si="154"/>
        <v>A93</v>
      </c>
      <c r="B804" s="152" t="s">
        <v>656</v>
      </c>
      <c r="C804" s="160">
        <f t="shared" si="155"/>
        <v>237.04</v>
      </c>
      <c r="D804" s="160"/>
      <c r="E804" s="170" t="str">
        <f>IF(OR(A804="",B804="",C804=""),"eine der Spalten BAB, FR, km leer?",CONCATENATE(VLOOKUP(VALUE(I804),[1]Grundlage!$A$1:$B$14,2,0),IF(LEFT(A804,1)="A",IF(VALUE(MID(A804,2,10))&lt;10,"A00"&amp;VALUE(MID(A804,2,10)),IF(VALUE(MID(A804,2,10))&lt;100,"A0"&amp;VALUE(MID(A804,2,10)),IF(VALUE(MID(A804,2,10))&lt;1000,"A"&amp;VALUE(MID(A804,2,10))))),IF(LEFT(A804,1)="B",IF(VALUE(MID(A804,2,10))&lt;10,"B00"&amp;VALUE(MID(A804,2,10)),IF(VALUE(MID(A804,2,10))&lt;100,"B0"&amp;VALUE(MID(A804,2,10)),IF(VALUE(MID(A804,2,10))&lt;1000,"B"&amp;VALUE(MID(A804,2,10))))),A804)),"_",IF(NOT(OR(C804=1000,C804&gt;1000)),MID(TEXT((C804+1000)*1000,0),2,6),"keine Meter in Spalte km!!!"),IF(VALUE(I804)=1,CONCATENATE("_",VLOOKUP(IF(V804&gt;0,V804,J804),[1]Grundlage!$A$20:$B$181,2,0)),CONCATENATE("_",B804))))</f>
        <v>UQ_A093_237040_N</v>
      </c>
      <c r="F804" s="152" t="s">
        <v>30</v>
      </c>
      <c r="G804" s="171">
        <f t="shared" si="152"/>
        <v>36355</v>
      </c>
      <c r="H804" s="160">
        <f t="shared" si="153"/>
        <v>115</v>
      </c>
      <c r="I804" s="152">
        <f t="shared" si="156"/>
        <v>3</v>
      </c>
      <c r="J804" s="152">
        <f t="shared" si="157"/>
        <v>21</v>
      </c>
      <c r="K804" s="152">
        <f t="shared" si="158"/>
        <v>201</v>
      </c>
      <c r="L804" s="152">
        <f t="shared" si="159"/>
        <v>9</v>
      </c>
      <c r="M804" s="152">
        <f t="shared" si="160"/>
        <v>1</v>
      </c>
      <c r="N804" s="152">
        <f t="shared" si="161"/>
        <v>8</v>
      </c>
      <c r="P804" s="172">
        <f t="shared" si="162"/>
        <v>67</v>
      </c>
      <c r="AI804" s="154"/>
      <c r="AT804" s="148">
        <v>3</v>
      </c>
      <c r="AU804" s="155">
        <v>21</v>
      </c>
      <c r="AV804" s="155">
        <v>15</v>
      </c>
      <c r="AY804" s="148">
        <v>1</v>
      </c>
      <c r="AZ804" s="155">
        <v>8</v>
      </c>
      <c r="BA804" s="155">
        <v>8</v>
      </c>
      <c r="BB804" s="152" t="s">
        <v>30</v>
      </c>
      <c r="BC804" s="150"/>
      <c r="BD804" s="150"/>
      <c r="BF804" s="152" t="s">
        <v>568</v>
      </c>
    </row>
    <row r="805" spans="1:58" s="152" customFormat="1" ht="14.25" x14ac:dyDescent="0.2">
      <c r="A805" s="160" t="str">
        <f t="shared" si="154"/>
        <v>A93</v>
      </c>
      <c r="B805" s="152" t="s">
        <v>656</v>
      </c>
      <c r="C805" s="160">
        <f t="shared" si="155"/>
        <v>237.04</v>
      </c>
      <c r="D805" s="160"/>
      <c r="E805" s="170" t="str">
        <f>IF(OR(A805="",B805="",C805=""),"eine der Spalten BAB, FR, km leer?",CONCATENATE(VLOOKUP(VALUE(I805),[1]Grundlage!$A$1:$B$14,2,0),IF(LEFT(A805,1)="A",IF(VALUE(MID(A805,2,10))&lt;10,"A00"&amp;VALUE(MID(A805,2,10)),IF(VALUE(MID(A805,2,10))&lt;100,"A0"&amp;VALUE(MID(A805,2,10)),IF(VALUE(MID(A805,2,10))&lt;1000,"A"&amp;VALUE(MID(A805,2,10))))),IF(LEFT(A805,1)="B",IF(VALUE(MID(A805,2,10))&lt;10,"B00"&amp;VALUE(MID(A805,2,10)),IF(VALUE(MID(A805,2,10))&lt;100,"B0"&amp;VALUE(MID(A805,2,10)),IF(VALUE(MID(A805,2,10))&lt;1000,"B"&amp;VALUE(MID(A805,2,10))))),A805)),"_",IF(NOT(OR(C805=1000,C805&gt;1000)),MID(TEXT((C805+1000)*1000,0),2,6),"keine Meter in Spalte km!!!"),IF(VALUE(I805)=1,CONCATENATE("_",VLOOKUP(IF(V805&gt;0,V805,J805),[1]Grundlage!$A$20:$B$181,2,0)),CONCATENATE("_",B805))))</f>
        <v>UQ_A093_237040_N</v>
      </c>
      <c r="F805" s="152" t="s">
        <v>41</v>
      </c>
      <c r="G805" s="171">
        <f t="shared" si="152"/>
        <v>36355</v>
      </c>
      <c r="H805" s="160">
        <f t="shared" si="153"/>
        <v>115</v>
      </c>
      <c r="I805" s="152">
        <f t="shared" si="156"/>
        <v>3</v>
      </c>
      <c r="J805" s="152">
        <f t="shared" si="157"/>
        <v>24</v>
      </c>
      <c r="K805" s="152">
        <f t="shared" si="158"/>
        <v>201</v>
      </c>
      <c r="L805" s="152">
        <f t="shared" si="159"/>
        <v>9</v>
      </c>
      <c r="M805" s="152">
        <f t="shared" si="160"/>
        <v>1</v>
      </c>
      <c r="N805" s="152">
        <f t="shared" si="161"/>
        <v>9</v>
      </c>
      <c r="P805" s="172">
        <f t="shared" si="162"/>
        <v>69</v>
      </c>
      <c r="AI805" s="154"/>
      <c r="AT805" s="148">
        <v>3</v>
      </c>
      <c r="AU805" s="155">
        <v>24</v>
      </c>
      <c r="AV805" s="155">
        <v>18</v>
      </c>
      <c r="AY805" s="148">
        <v>1</v>
      </c>
      <c r="AZ805" s="155">
        <v>9</v>
      </c>
      <c r="BA805" s="155">
        <v>9</v>
      </c>
      <c r="BB805" s="152" t="s">
        <v>41</v>
      </c>
      <c r="BC805" s="150"/>
      <c r="BD805" s="150"/>
      <c r="BF805" s="152" t="s">
        <v>563</v>
      </c>
    </row>
    <row r="806" spans="1:58" s="152" customFormat="1" ht="14.25" x14ac:dyDescent="0.2">
      <c r="A806" s="160" t="str">
        <f t="shared" si="154"/>
        <v>A93</v>
      </c>
      <c r="B806" s="152" t="s">
        <v>656</v>
      </c>
      <c r="C806" s="160">
        <f t="shared" si="155"/>
        <v>237.04</v>
      </c>
      <c r="D806" s="160"/>
      <c r="E806" s="170" t="str">
        <f>IF(OR(A806="",B806="",C806=""),"eine der Spalten BAB, FR, km leer?",CONCATENATE(VLOOKUP(VALUE(I806),[1]Grundlage!$A$1:$B$14,2,0),IF(LEFT(A806,1)="A",IF(VALUE(MID(A806,2,10))&lt;10,"A00"&amp;VALUE(MID(A806,2,10)),IF(VALUE(MID(A806,2,10))&lt;100,"A0"&amp;VALUE(MID(A806,2,10)),IF(VALUE(MID(A806,2,10))&lt;1000,"A"&amp;VALUE(MID(A806,2,10))))),IF(LEFT(A806,1)="B",IF(VALUE(MID(A806,2,10))&lt;10,"B00"&amp;VALUE(MID(A806,2,10)),IF(VALUE(MID(A806,2,10))&lt;100,"B0"&amp;VALUE(MID(A806,2,10)),IF(VALUE(MID(A806,2,10))&lt;1000,"B"&amp;VALUE(MID(A806,2,10))))),A806)),"_",IF(NOT(OR(C806=1000,C806&gt;1000)),MID(TEXT((C806+1000)*1000,0),2,6),"keine Meter in Spalte km!!!"),IF(VALUE(I806)=1,CONCATENATE("_",VLOOKUP(IF(V806&gt;0,V806,J806),[1]Grundlage!$A$20:$B$181,2,0)),CONCATENATE("_",B806))))</f>
        <v>UQ_A093_237040_N</v>
      </c>
      <c r="F806" s="152" t="s">
        <v>271</v>
      </c>
      <c r="G806" s="171">
        <f t="shared" si="152"/>
        <v>36355</v>
      </c>
      <c r="H806" s="160">
        <f t="shared" si="153"/>
        <v>115</v>
      </c>
      <c r="I806" s="152">
        <f t="shared" si="156"/>
        <v>3</v>
      </c>
      <c r="J806" s="152">
        <f t="shared" si="157"/>
        <v>67</v>
      </c>
      <c r="K806" s="152">
        <f t="shared" si="158"/>
        <v>201</v>
      </c>
      <c r="L806" s="152">
        <f t="shared" si="159"/>
        <v>9</v>
      </c>
      <c r="M806" s="152">
        <f t="shared" si="160"/>
        <v>1</v>
      </c>
      <c r="N806" s="152">
        <f t="shared" si="161"/>
        <v>10</v>
      </c>
      <c r="P806" s="172">
        <f t="shared" si="162"/>
        <v>53</v>
      </c>
      <c r="AI806" s="154"/>
      <c r="AT806" s="148">
        <v>3</v>
      </c>
      <c r="AU806" s="155">
        <v>67</v>
      </c>
      <c r="AV806" s="155">
        <v>43</v>
      </c>
      <c r="AY806" s="148">
        <v>1</v>
      </c>
      <c r="AZ806" s="155">
        <v>10</v>
      </c>
      <c r="BA806" s="174" t="s">
        <v>95</v>
      </c>
      <c r="BB806" s="152" t="s">
        <v>271</v>
      </c>
      <c r="BC806" s="150"/>
      <c r="BD806" s="150"/>
      <c r="BF806" s="152" t="s">
        <v>444</v>
      </c>
    </row>
    <row r="807" spans="1:58" s="152" customFormat="1" ht="14.25" x14ac:dyDescent="0.2">
      <c r="A807" s="160" t="str">
        <f t="shared" si="154"/>
        <v>A93</v>
      </c>
      <c r="B807" s="152" t="s">
        <v>656</v>
      </c>
      <c r="C807" s="160">
        <f t="shared" si="155"/>
        <v>237.04</v>
      </c>
      <c r="D807" s="160"/>
      <c r="E807" s="170" t="str">
        <f>IF(OR(A807="",B807="",C807=""),"eine der Spalten BAB, FR, km leer?",CONCATENATE(VLOOKUP(VALUE(I807),[1]Grundlage!$A$1:$B$14,2,0),IF(LEFT(A807,1)="A",IF(VALUE(MID(A807,2,10))&lt;10,"A00"&amp;VALUE(MID(A807,2,10)),IF(VALUE(MID(A807,2,10))&lt;100,"A0"&amp;VALUE(MID(A807,2,10)),IF(VALUE(MID(A807,2,10))&lt;1000,"A"&amp;VALUE(MID(A807,2,10))))),IF(LEFT(A807,1)="B",IF(VALUE(MID(A807,2,10))&lt;10,"B00"&amp;VALUE(MID(A807,2,10)),IF(VALUE(MID(A807,2,10))&lt;100,"B0"&amp;VALUE(MID(A807,2,10)),IF(VALUE(MID(A807,2,10))&lt;1000,"B"&amp;VALUE(MID(A807,2,10))))),A807)),"_",IF(NOT(OR(C807=1000,C807&gt;1000)),MID(TEXT((C807+1000)*1000,0),2,6),"keine Meter in Spalte km!!!"),IF(VALUE(I807)=1,CONCATENATE("_",VLOOKUP(IF(V807&gt;0,V807,J807),[1]Grundlage!$A$20:$B$181,2,0)),CONCATENATE("_",B807))))</f>
        <v>UQ_A093_237040_N</v>
      </c>
      <c r="F807" s="152" t="s">
        <v>272</v>
      </c>
      <c r="G807" s="171">
        <f t="shared" ref="G807:G870" si="163">IF(ISBLANK(AP807),G806,INT(AP807/256))</f>
        <v>36355</v>
      </c>
      <c r="H807" s="160">
        <f t="shared" ref="H807:H870" si="164">IF(ISBLANK(AP807),H806,MOD(AP807,256))</f>
        <v>115</v>
      </c>
      <c r="I807" s="152">
        <f t="shared" si="156"/>
        <v>3</v>
      </c>
      <c r="J807" s="152">
        <f t="shared" si="157"/>
        <v>82</v>
      </c>
      <c r="K807" s="152">
        <f t="shared" si="158"/>
        <v>201</v>
      </c>
      <c r="L807" s="152">
        <f t="shared" si="159"/>
        <v>9</v>
      </c>
      <c r="M807" s="152">
        <f t="shared" si="160"/>
        <v>1</v>
      </c>
      <c r="N807" s="152">
        <f t="shared" si="161"/>
        <v>11</v>
      </c>
      <c r="P807" s="172">
        <f t="shared" si="162"/>
        <v>72</v>
      </c>
      <c r="AI807" s="154"/>
      <c r="AT807" s="148">
        <v>3</v>
      </c>
      <c r="AU807" s="155">
        <v>82</v>
      </c>
      <c r="AV807" s="155">
        <v>52</v>
      </c>
      <c r="AY807" s="148">
        <v>1</v>
      </c>
      <c r="AZ807" s="155">
        <v>11</v>
      </c>
      <c r="BA807" s="174" t="s">
        <v>78</v>
      </c>
      <c r="BB807" s="152" t="s">
        <v>272</v>
      </c>
      <c r="BC807" s="150"/>
      <c r="BD807" s="150"/>
      <c r="BF807" s="152" t="s">
        <v>569</v>
      </c>
    </row>
    <row r="808" spans="1:58" ht="14.25" x14ac:dyDescent="0.2">
      <c r="A808" t="str">
        <f t="shared" si="154"/>
        <v>A93</v>
      </c>
      <c r="C808">
        <f t="shared" si="155"/>
        <v>237.04</v>
      </c>
      <c r="D808" t="str">
        <f t="shared" ref="D808:D851" si="165">IF(AJ808="SST","SS",IF(AND(AJ808="",ISTEXT(BF808)),"UFD",""))</f>
        <v/>
      </c>
      <c r="E808" s="169" t="str">
        <f>IF(OR(A808="",B808="",C808=""),"",CONCATENATE(VLOOKUP(VALUE(I808),[1]Grundlage!$A$1:$B$14,2,0),IF(LEFT(A808,1)="A",IF(VALUE(MID(A808,2,10))&lt;10,"A00"&amp;VALUE(MID(A808,2,10)),IF(VALUE(MID(A808,2,10))&lt;100,"A0"&amp;VALUE(MID(A808,2,10)),IF(VALUE(MID(A808,2,10))&lt;1000,"A"&amp;VALUE(MID(A808,2,10))))),IF(LEFT(A808,1)="B",IF(VALUE(MID(A808,2,10))&lt;10,"B00"&amp;VALUE(MID(A808,2,10)),IF(VALUE(MID(A808,2,10))&lt;100,"B0"&amp;VALUE(MID(A808,2,10)),IF(VALUE(MID(A808,2,10))&lt;1000,"B"&amp;VALUE(MID(A808,2,10))))),A808)),"_",IF(NOT(OR(C808=1000,C808&gt;1000)),MID(TEXT((C808+1000)*1000,0),2,6),"keine Meter in Spalte km!!!"),IF(VALUE(I808)=1,CONCATENATE("_",VLOOKUP(IF(V808&gt;0,V808,J808),[1]Grundlage!$A$20:$B$181,2,0)),CONCATENATE("_",B808))))</f>
        <v/>
      </c>
      <c r="F808" s="2" t="s">
        <v>669</v>
      </c>
      <c r="G808" s="167">
        <f t="shared" si="163"/>
        <v>36355</v>
      </c>
      <c r="H808">
        <f t="shared" si="164"/>
        <v>115</v>
      </c>
      <c r="I808" s="2">
        <f t="shared" si="156"/>
        <v>0</v>
      </c>
      <c r="J808" s="2">
        <f t="shared" si="157"/>
        <v>0</v>
      </c>
      <c r="K808" s="2">
        <f t="shared" si="158"/>
        <v>201</v>
      </c>
      <c r="L808" s="2">
        <f t="shared" si="159"/>
        <v>9</v>
      </c>
      <c r="M808" s="2" t="str">
        <f t="shared" si="160"/>
        <v/>
      </c>
      <c r="N808" s="2" t="str">
        <f t="shared" si="161"/>
        <v/>
      </c>
      <c r="P808" s="168" t="str">
        <f t="shared" si="162"/>
        <v/>
      </c>
    </row>
    <row r="809" spans="1:58" s="152" customFormat="1" ht="14.25" x14ac:dyDescent="0.2">
      <c r="A809" s="160" t="s">
        <v>58</v>
      </c>
      <c r="B809" s="152" t="s">
        <v>656</v>
      </c>
      <c r="C809" s="160">
        <f t="shared" si="155"/>
        <v>188.05</v>
      </c>
      <c r="D809" s="160"/>
      <c r="E809" s="170" t="str">
        <f>IF(OR(A809="",B809="",C809=""),"eine der Spalten BAB, FR, km leer?",CONCATENATE(VLOOKUP(VALUE(I809),[1]Grundlage!$A$1:$B$14,2,0),IF(LEFT(A809,1)="A",IF(VALUE(MID(A809,2,10))&lt;10,"A00"&amp;VALUE(MID(A809,2,10)),IF(VALUE(MID(A809,2,10))&lt;100,"A0"&amp;VALUE(MID(A809,2,10)),IF(VALUE(MID(A809,2,10))&lt;1000,"A"&amp;VALUE(MID(A809,2,10))))),IF(LEFT(A809,1)="B",IF(VALUE(MID(A809,2,10))&lt;10,"B00"&amp;VALUE(MID(A809,2,10)),IF(VALUE(MID(A809,2,10))&lt;100,"B0"&amp;VALUE(MID(A809,2,10)),IF(VALUE(MID(A809,2,10))&lt;1000,"B"&amp;VALUE(MID(A809,2,10))))),A809)),"_",IF(NOT(OR(C809=1000,C809&gt;1000)),MID(TEXT((C809+1000)*1000,0),2,6),"keine Meter in Spalte km!!!"),IF(VALUE(I809)=1,CONCATENATE("_",VLOOKUP(IF(V809&gt;0,V809,J809),[1]Grundlage!$A$20:$B$181,2,0)),CONCATENATE("_",B809))))</f>
        <v>SSt_A093_188050_N</v>
      </c>
      <c r="F809" s="152" t="s">
        <v>131</v>
      </c>
      <c r="G809" s="171">
        <f t="shared" si="163"/>
        <v>36352</v>
      </c>
      <c r="H809" s="160">
        <f t="shared" si="164"/>
        <v>28</v>
      </c>
      <c r="I809" s="152">
        <f t="shared" si="156"/>
        <v>0</v>
      </c>
      <c r="J809" s="152">
        <f t="shared" si="157"/>
        <v>0</v>
      </c>
      <c r="K809" s="152">
        <f t="shared" si="158"/>
        <v>201</v>
      </c>
      <c r="L809" s="152">
        <f t="shared" si="159"/>
        <v>11</v>
      </c>
      <c r="M809" s="152">
        <f t="shared" si="160"/>
        <v>11</v>
      </c>
      <c r="N809" s="152" t="str">
        <f t="shared" si="161"/>
        <v/>
      </c>
      <c r="P809" s="172" t="str">
        <f t="shared" si="162"/>
        <v/>
      </c>
      <c r="AI809" s="173">
        <v>188.05</v>
      </c>
      <c r="AJ809" s="148" t="s">
        <v>19</v>
      </c>
      <c r="AK809" s="148" t="s">
        <v>122</v>
      </c>
      <c r="AL809" s="148"/>
      <c r="AM809" s="148"/>
      <c r="AN809" s="148"/>
      <c r="AO809" s="148"/>
      <c r="AP809" s="148">
        <v>9306140</v>
      </c>
      <c r="AQ809" s="176" t="s">
        <v>239</v>
      </c>
      <c r="AR809" s="175" t="s">
        <v>255</v>
      </c>
      <c r="AS809" s="176" t="s">
        <v>87</v>
      </c>
      <c r="AT809" s="148"/>
      <c r="AU809" s="148"/>
      <c r="AV809" s="148"/>
      <c r="AW809" s="148">
        <v>201</v>
      </c>
      <c r="AX809" s="148">
        <v>11</v>
      </c>
      <c r="AY809" s="148">
        <v>11</v>
      </c>
      <c r="AZ809" s="148"/>
      <c r="BA809" s="148"/>
      <c r="BB809" s="149" t="s">
        <v>131</v>
      </c>
      <c r="BC809" s="150"/>
      <c r="BD809" s="158" t="s">
        <v>163</v>
      </c>
      <c r="BE809" s="152" t="s">
        <v>61</v>
      </c>
      <c r="BF809" s="152" t="s">
        <v>580</v>
      </c>
    </row>
    <row r="810" spans="1:58" s="152" customFormat="1" ht="14.25" x14ac:dyDescent="0.2">
      <c r="A810" s="160" t="str">
        <f t="shared" si="154"/>
        <v>A93</v>
      </c>
      <c r="B810" s="152" t="s">
        <v>656</v>
      </c>
      <c r="C810" s="160">
        <f t="shared" si="155"/>
        <v>188.05</v>
      </c>
      <c r="D810" s="160"/>
      <c r="E810" s="170" t="str">
        <f>IF(OR(A810="",B810="",C810=""),"eine der Spalten BAB, FR, km leer?",CONCATENATE(VLOOKUP(VALUE(I810),[1]Grundlage!$A$1:$B$14,2,0),IF(LEFT(A810,1)="A",IF(VALUE(MID(A810,2,10))&lt;10,"A00"&amp;VALUE(MID(A810,2,10)),IF(VALUE(MID(A810,2,10))&lt;100,"A0"&amp;VALUE(MID(A810,2,10)),IF(VALUE(MID(A810,2,10))&lt;1000,"A"&amp;VALUE(MID(A810,2,10))))),IF(LEFT(A810,1)="B",IF(VALUE(MID(A810,2,10))&lt;10,"B00"&amp;VALUE(MID(A810,2,10)),IF(VALUE(MID(A810,2,10))&lt;100,"B0"&amp;VALUE(MID(A810,2,10)),IF(VALUE(MID(A810,2,10))&lt;1000,"B"&amp;VALUE(MID(A810,2,10))))),A810)),"_",IF(NOT(OR(C810=1000,C810&gt;1000)),MID(TEXT((C810+1000)*1000,0),2,6),"keine Meter in Spalte km!!!"),IF(VALUE(I810)=1,CONCATENATE("_",VLOOKUP(IF(V810&gt;0,V810,J810),[1]Grundlage!$A$20:$B$181,2,0)),CONCATENATE("_",B810))))</f>
        <v>UQ_A093_188050_N</v>
      </c>
      <c r="F810" s="152" t="s">
        <v>269</v>
      </c>
      <c r="G810" s="171">
        <f t="shared" si="163"/>
        <v>36352</v>
      </c>
      <c r="H810" s="160">
        <f t="shared" si="164"/>
        <v>28</v>
      </c>
      <c r="I810" s="152">
        <f t="shared" si="156"/>
        <v>3</v>
      </c>
      <c r="J810" s="152">
        <f t="shared" si="157"/>
        <v>6</v>
      </c>
      <c r="K810" s="152">
        <f t="shared" si="158"/>
        <v>201</v>
      </c>
      <c r="L810" s="152">
        <f t="shared" si="159"/>
        <v>11</v>
      </c>
      <c r="M810" s="152">
        <f t="shared" si="160"/>
        <v>1</v>
      </c>
      <c r="N810" s="152">
        <f t="shared" si="161"/>
        <v>1</v>
      </c>
      <c r="P810" s="172">
        <f t="shared" si="162"/>
        <v>71</v>
      </c>
      <c r="AI810" s="154"/>
      <c r="AT810" s="148">
        <v>3</v>
      </c>
      <c r="AU810" s="155">
        <v>6</v>
      </c>
      <c r="AV810" s="156">
        <v>6</v>
      </c>
      <c r="AW810" s="148"/>
      <c r="AX810" s="148"/>
      <c r="AY810" s="148">
        <v>1</v>
      </c>
      <c r="AZ810" s="155">
        <v>1</v>
      </c>
      <c r="BA810" s="178">
        <f>AZ810</f>
        <v>1</v>
      </c>
      <c r="BB810" s="159" t="s">
        <v>269</v>
      </c>
      <c r="BC810" s="150"/>
      <c r="BD810" s="150"/>
      <c r="BF810" s="152" t="s">
        <v>440</v>
      </c>
    </row>
    <row r="811" spans="1:58" s="152" customFormat="1" ht="14.25" x14ac:dyDescent="0.2">
      <c r="A811" s="160" t="str">
        <f t="shared" si="154"/>
        <v>A93</v>
      </c>
      <c r="B811" s="152" t="s">
        <v>656</v>
      </c>
      <c r="C811" s="160">
        <f t="shared" si="155"/>
        <v>188.05</v>
      </c>
      <c r="D811" s="160"/>
      <c r="E811" s="170" t="str">
        <f>IF(OR(A811="",B811="",C811=""),"eine der Spalten BAB, FR, km leer?",CONCATENATE(VLOOKUP(VALUE(I811),[1]Grundlage!$A$1:$B$14,2,0),IF(LEFT(A811,1)="A",IF(VALUE(MID(A811,2,10))&lt;10,"A00"&amp;VALUE(MID(A811,2,10)),IF(VALUE(MID(A811,2,10))&lt;100,"A0"&amp;VALUE(MID(A811,2,10)),IF(VALUE(MID(A811,2,10))&lt;1000,"A"&amp;VALUE(MID(A811,2,10))))),IF(LEFT(A811,1)="B",IF(VALUE(MID(A811,2,10))&lt;10,"B00"&amp;VALUE(MID(A811,2,10)),IF(VALUE(MID(A811,2,10))&lt;100,"B0"&amp;VALUE(MID(A811,2,10)),IF(VALUE(MID(A811,2,10))&lt;1000,"B"&amp;VALUE(MID(A811,2,10))))),A811)),"_",IF(NOT(OR(C811=1000,C811&gt;1000)),MID(TEXT((C811+1000)*1000,0),2,6),"keine Meter in Spalte km!!!"),IF(VALUE(I811)=1,CONCATENATE("_",VLOOKUP(IF(V811&gt;0,V811,J811),[1]Grundlage!$A$20:$B$181,2,0)),CONCATENATE("_",B811))))</f>
        <v>UQ_A093_188050_N</v>
      </c>
      <c r="F811" s="152" t="s">
        <v>270</v>
      </c>
      <c r="G811" s="171">
        <f t="shared" si="163"/>
        <v>36352</v>
      </c>
      <c r="H811" s="160">
        <f t="shared" si="164"/>
        <v>28</v>
      </c>
      <c r="I811" s="152">
        <f t="shared" si="156"/>
        <v>3</v>
      </c>
      <c r="J811" s="152">
        <f t="shared" si="157"/>
        <v>11</v>
      </c>
      <c r="K811" s="152">
        <f t="shared" si="158"/>
        <v>201</v>
      </c>
      <c r="L811" s="152">
        <f t="shared" si="159"/>
        <v>11</v>
      </c>
      <c r="M811" s="152">
        <f t="shared" si="160"/>
        <v>1</v>
      </c>
      <c r="N811" s="152">
        <f t="shared" si="161"/>
        <v>2</v>
      </c>
      <c r="P811" s="172">
        <f t="shared" si="162"/>
        <v>70</v>
      </c>
      <c r="AI811" s="154"/>
      <c r="AT811" s="148">
        <v>3</v>
      </c>
      <c r="AU811" s="155">
        <v>11</v>
      </c>
      <c r="AV811" s="155" t="s">
        <v>78</v>
      </c>
      <c r="AY811" s="148">
        <v>1</v>
      </c>
      <c r="AZ811" s="155">
        <v>2</v>
      </c>
      <c r="BA811" s="155">
        <v>2</v>
      </c>
      <c r="BB811" s="159" t="s">
        <v>270</v>
      </c>
      <c r="BC811" s="150"/>
      <c r="BD811" s="150"/>
      <c r="BF811" s="152" t="s">
        <v>574</v>
      </c>
    </row>
    <row r="812" spans="1:58" s="152" customFormat="1" ht="14.25" x14ac:dyDescent="0.2">
      <c r="A812" s="160" t="str">
        <f t="shared" si="154"/>
        <v>A93</v>
      </c>
      <c r="B812" s="152" t="s">
        <v>656</v>
      </c>
      <c r="C812" s="160">
        <f t="shared" si="155"/>
        <v>188.05</v>
      </c>
      <c r="D812" s="160"/>
      <c r="E812" s="170" t="str">
        <f>IF(OR(A812="",B812="",C812=""),"eine der Spalten BAB, FR, km leer?",CONCATENATE(VLOOKUP(VALUE(I812),[1]Grundlage!$A$1:$B$14,2,0),IF(LEFT(A812,1)="A",IF(VALUE(MID(A812,2,10))&lt;10,"A00"&amp;VALUE(MID(A812,2,10)),IF(VALUE(MID(A812,2,10))&lt;100,"A0"&amp;VALUE(MID(A812,2,10)),IF(VALUE(MID(A812,2,10))&lt;1000,"A"&amp;VALUE(MID(A812,2,10))))),IF(LEFT(A812,1)="B",IF(VALUE(MID(A812,2,10))&lt;10,"B00"&amp;VALUE(MID(A812,2,10)),IF(VALUE(MID(A812,2,10))&lt;100,"B0"&amp;VALUE(MID(A812,2,10)),IF(VALUE(MID(A812,2,10))&lt;1000,"B"&amp;VALUE(MID(A812,2,10))))),A812)),"_",IF(NOT(OR(C812=1000,C812&gt;1000)),MID(TEXT((C812+1000)*1000,0),2,6),"keine Meter in Spalte km!!!"),IF(VALUE(I812)=1,CONCATENATE("_",VLOOKUP(IF(V812&gt;0,V812,J812),[1]Grundlage!$A$20:$B$181,2,0)),CONCATENATE("_",B812))))</f>
        <v>UQ_A093_188050_N</v>
      </c>
      <c r="F812" s="152" t="s">
        <v>25</v>
      </c>
      <c r="G812" s="171">
        <f t="shared" si="163"/>
        <v>36352</v>
      </c>
      <c r="H812" s="160">
        <f t="shared" si="164"/>
        <v>28</v>
      </c>
      <c r="I812" s="152">
        <f t="shared" si="156"/>
        <v>3</v>
      </c>
      <c r="J812" s="152">
        <f t="shared" si="157"/>
        <v>12</v>
      </c>
      <c r="K812" s="152">
        <f t="shared" si="158"/>
        <v>201</v>
      </c>
      <c r="L812" s="152">
        <f t="shared" si="159"/>
        <v>11</v>
      </c>
      <c r="M812" s="152">
        <f t="shared" si="160"/>
        <v>1</v>
      </c>
      <c r="N812" s="152">
        <f t="shared" si="161"/>
        <v>3</v>
      </c>
      <c r="P812" s="172">
        <f t="shared" si="162"/>
        <v>48</v>
      </c>
      <c r="AI812" s="154"/>
      <c r="AT812" s="148">
        <v>3</v>
      </c>
      <c r="AU812" s="155">
        <v>12</v>
      </c>
      <c r="AV812" s="155" t="s">
        <v>79</v>
      </c>
      <c r="AY812" s="148">
        <v>1</v>
      </c>
      <c r="AZ812" s="155">
        <v>3</v>
      </c>
      <c r="BA812" s="155">
        <v>3</v>
      </c>
      <c r="BB812" s="152" t="s">
        <v>25</v>
      </c>
      <c r="BC812" s="150"/>
      <c r="BD812" s="150"/>
      <c r="BF812" s="152" t="s">
        <v>441</v>
      </c>
    </row>
    <row r="813" spans="1:58" s="152" customFormat="1" ht="14.25" x14ac:dyDescent="0.2">
      <c r="A813" s="160" t="str">
        <f t="shared" si="154"/>
        <v>A93</v>
      </c>
      <c r="B813" s="152" t="s">
        <v>656</v>
      </c>
      <c r="C813" s="160">
        <f t="shared" si="155"/>
        <v>188.05</v>
      </c>
      <c r="D813" s="160"/>
      <c r="E813" s="170" t="str">
        <f>IF(OR(A813="",B813="",C813=""),"eine der Spalten BAB, FR, km leer?",CONCATENATE(VLOOKUP(VALUE(I813),[1]Grundlage!$A$1:$B$14,2,0),IF(LEFT(A813,1)="A",IF(VALUE(MID(A813,2,10))&lt;10,"A00"&amp;VALUE(MID(A813,2,10)),IF(VALUE(MID(A813,2,10))&lt;100,"A0"&amp;VALUE(MID(A813,2,10)),IF(VALUE(MID(A813,2,10))&lt;1000,"A"&amp;VALUE(MID(A813,2,10))))),IF(LEFT(A813,1)="B",IF(VALUE(MID(A813,2,10))&lt;10,"B00"&amp;VALUE(MID(A813,2,10)),IF(VALUE(MID(A813,2,10))&lt;100,"B0"&amp;VALUE(MID(A813,2,10)),IF(VALUE(MID(A813,2,10))&lt;1000,"B"&amp;VALUE(MID(A813,2,10))))),A813)),"_",IF(NOT(OR(C813=1000,C813&gt;1000)),MID(TEXT((C813+1000)*1000,0),2,6),"keine Meter in Spalte km!!!"),IF(VALUE(I813)=1,CONCATENATE("_",VLOOKUP(IF(V813&gt;0,V813,J813),[1]Grundlage!$A$20:$B$181,2,0)),CONCATENATE("_",B813))))</f>
        <v>UQ_A093_188050_N</v>
      </c>
      <c r="F813" s="152" t="s">
        <v>26</v>
      </c>
      <c r="G813" s="171">
        <f t="shared" si="163"/>
        <v>36352</v>
      </c>
      <c r="H813" s="160">
        <f t="shared" si="164"/>
        <v>28</v>
      </c>
      <c r="I813" s="152">
        <f t="shared" si="156"/>
        <v>3</v>
      </c>
      <c r="J813" s="152">
        <f t="shared" si="157"/>
        <v>13</v>
      </c>
      <c r="K813" s="152">
        <f t="shared" si="158"/>
        <v>201</v>
      </c>
      <c r="L813" s="152">
        <f t="shared" si="159"/>
        <v>11</v>
      </c>
      <c r="M813" s="152">
        <f t="shared" si="160"/>
        <v>1</v>
      </c>
      <c r="N813" s="152">
        <f t="shared" si="161"/>
        <v>4</v>
      </c>
      <c r="P813" s="172">
        <f t="shared" si="162"/>
        <v>55</v>
      </c>
      <c r="AI813" s="154"/>
      <c r="AT813" s="148">
        <v>3</v>
      </c>
      <c r="AU813" s="155">
        <v>13</v>
      </c>
      <c r="AV813" s="155" t="s">
        <v>80</v>
      </c>
      <c r="AY813" s="148">
        <v>1</v>
      </c>
      <c r="AZ813" s="155">
        <v>4</v>
      </c>
      <c r="BA813" s="155">
        <v>4</v>
      </c>
      <c r="BB813" s="152" t="s">
        <v>26</v>
      </c>
      <c r="BC813" s="150"/>
      <c r="BD813" s="150"/>
      <c r="BF813" s="152" t="s">
        <v>581</v>
      </c>
    </row>
    <row r="814" spans="1:58" s="152" customFormat="1" ht="14.25" x14ac:dyDescent="0.2">
      <c r="A814" s="160" t="str">
        <f t="shared" si="154"/>
        <v>A93</v>
      </c>
      <c r="B814" s="152" t="s">
        <v>656</v>
      </c>
      <c r="C814" s="160">
        <f t="shared" si="155"/>
        <v>188.05</v>
      </c>
      <c r="D814" s="160"/>
      <c r="E814" s="170" t="str">
        <f>IF(OR(A814="",B814="",C814=""),"eine der Spalten BAB, FR, km leer?",CONCATENATE(VLOOKUP(VALUE(I814),[1]Grundlage!$A$1:$B$14,2,0),IF(LEFT(A814,1)="A",IF(VALUE(MID(A814,2,10))&lt;10,"A00"&amp;VALUE(MID(A814,2,10)),IF(VALUE(MID(A814,2,10))&lt;100,"A0"&amp;VALUE(MID(A814,2,10)),IF(VALUE(MID(A814,2,10))&lt;1000,"A"&amp;VALUE(MID(A814,2,10))))),IF(LEFT(A814,1)="B",IF(VALUE(MID(A814,2,10))&lt;10,"B00"&amp;VALUE(MID(A814,2,10)),IF(VALUE(MID(A814,2,10))&lt;100,"B0"&amp;VALUE(MID(A814,2,10)),IF(VALUE(MID(A814,2,10))&lt;1000,"B"&amp;VALUE(MID(A814,2,10))))),A814)),"_",IF(NOT(OR(C814=1000,C814&gt;1000)),MID(TEXT((C814+1000)*1000,0),2,6),"keine Meter in Spalte km!!!"),IF(VALUE(I814)=1,CONCATENATE("_",VLOOKUP(IF(V814&gt;0,V814,J814),[1]Grundlage!$A$20:$B$181,2,0)),CONCATENATE("_",B814))))</f>
        <v>UQ_A093_188050_N</v>
      </c>
      <c r="F814" s="152" t="s">
        <v>27</v>
      </c>
      <c r="G814" s="171">
        <f t="shared" si="163"/>
        <v>36352</v>
      </c>
      <c r="H814" s="160">
        <f t="shared" si="164"/>
        <v>28</v>
      </c>
      <c r="I814" s="152">
        <f t="shared" si="156"/>
        <v>3</v>
      </c>
      <c r="J814" s="152">
        <f t="shared" si="157"/>
        <v>14</v>
      </c>
      <c r="K814" s="152">
        <f t="shared" si="158"/>
        <v>201</v>
      </c>
      <c r="L814" s="152">
        <f t="shared" si="159"/>
        <v>11</v>
      </c>
      <c r="M814" s="152">
        <f t="shared" si="160"/>
        <v>1</v>
      </c>
      <c r="N814" s="152">
        <f t="shared" si="161"/>
        <v>5</v>
      </c>
      <c r="P814" s="172">
        <f t="shared" si="162"/>
        <v>66</v>
      </c>
      <c r="AI814" s="154"/>
      <c r="AT814" s="148">
        <v>3</v>
      </c>
      <c r="AU814" s="155">
        <v>14</v>
      </c>
      <c r="AV814" s="155" t="s">
        <v>81</v>
      </c>
      <c r="AY814" s="148">
        <v>1</v>
      </c>
      <c r="AZ814" s="155">
        <v>5</v>
      </c>
      <c r="BA814" s="155">
        <v>5</v>
      </c>
      <c r="BB814" s="152" t="s">
        <v>27</v>
      </c>
      <c r="BC814" s="150"/>
      <c r="BD814" s="150"/>
      <c r="BF814" s="152" t="s">
        <v>443</v>
      </c>
    </row>
    <row r="815" spans="1:58" s="152" customFormat="1" ht="14.25" x14ac:dyDescent="0.2">
      <c r="A815" s="160" t="str">
        <f t="shared" si="154"/>
        <v>A93</v>
      </c>
      <c r="B815" s="152" t="s">
        <v>656</v>
      </c>
      <c r="C815" s="160">
        <f t="shared" si="155"/>
        <v>188.05</v>
      </c>
      <c r="D815" s="160"/>
      <c r="E815" s="170" t="str">
        <f>IF(OR(A815="",B815="",C815=""),"eine der Spalten BAB, FR, km leer?",CONCATENATE(VLOOKUP(VALUE(I815),[1]Grundlage!$A$1:$B$14,2,0),IF(LEFT(A815,1)="A",IF(VALUE(MID(A815,2,10))&lt;10,"A00"&amp;VALUE(MID(A815,2,10)),IF(VALUE(MID(A815,2,10))&lt;100,"A0"&amp;VALUE(MID(A815,2,10)),IF(VALUE(MID(A815,2,10))&lt;1000,"A"&amp;VALUE(MID(A815,2,10))))),IF(LEFT(A815,1)="B",IF(VALUE(MID(A815,2,10))&lt;10,"B00"&amp;VALUE(MID(A815,2,10)),IF(VALUE(MID(A815,2,10))&lt;100,"B0"&amp;VALUE(MID(A815,2,10)),IF(VALUE(MID(A815,2,10))&lt;1000,"B"&amp;VALUE(MID(A815,2,10))))),A815)),"_",IF(NOT(OR(C815=1000,C815&gt;1000)),MID(TEXT((C815+1000)*1000,0),2,6),"keine Meter in Spalte km!!!"),IF(VALUE(I815)=1,CONCATENATE("_",VLOOKUP(IF(V815&gt;0,V815,J815),[1]Grundlage!$A$20:$B$181,2,0)),CONCATENATE("_",B815))))</f>
        <v>UQ_A093_188050_N</v>
      </c>
      <c r="F815" s="152" t="s">
        <v>28</v>
      </c>
      <c r="G815" s="171">
        <f t="shared" si="163"/>
        <v>36352</v>
      </c>
      <c r="H815" s="160">
        <f t="shared" si="164"/>
        <v>28</v>
      </c>
      <c r="I815" s="152">
        <f t="shared" si="156"/>
        <v>3</v>
      </c>
      <c r="J815" s="152">
        <f t="shared" si="157"/>
        <v>15</v>
      </c>
      <c r="K815" s="152">
        <f t="shared" si="158"/>
        <v>201</v>
      </c>
      <c r="L815" s="152">
        <f t="shared" si="159"/>
        <v>11</v>
      </c>
      <c r="M815" s="152">
        <f t="shared" si="160"/>
        <v>1</v>
      </c>
      <c r="N815" s="152">
        <f t="shared" si="161"/>
        <v>6</v>
      </c>
      <c r="P815" s="172">
        <f t="shared" si="162"/>
        <v>65</v>
      </c>
      <c r="AI815" s="154"/>
      <c r="AT815" s="148">
        <v>3</v>
      </c>
      <c r="AU815" s="155">
        <v>15</v>
      </c>
      <c r="AV815" s="155" t="s">
        <v>82</v>
      </c>
      <c r="AY815" s="148">
        <v>1</v>
      </c>
      <c r="AZ815" s="155">
        <v>6</v>
      </c>
      <c r="BA815" s="155">
        <v>6</v>
      </c>
      <c r="BB815" s="152" t="s">
        <v>28</v>
      </c>
      <c r="BC815" s="150"/>
      <c r="BD815" s="150"/>
      <c r="BF815" s="152" t="s">
        <v>575</v>
      </c>
    </row>
    <row r="816" spans="1:58" s="152" customFormat="1" ht="14.25" x14ac:dyDescent="0.2">
      <c r="A816" s="160" t="str">
        <f t="shared" si="154"/>
        <v>A93</v>
      </c>
      <c r="B816" s="152" t="s">
        <v>656</v>
      </c>
      <c r="C816" s="160">
        <f t="shared" si="155"/>
        <v>188.05</v>
      </c>
      <c r="D816" s="160"/>
      <c r="E816" s="170" t="str">
        <f>IF(OR(A816="",B816="",C816=""),"eine der Spalten BAB, FR, km leer?",CONCATENATE(VLOOKUP(VALUE(I816),[1]Grundlage!$A$1:$B$14,2,0),IF(LEFT(A816,1)="A",IF(VALUE(MID(A816,2,10))&lt;10,"A00"&amp;VALUE(MID(A816,2,10)),IF(VALUE(MID(A816,2,10))&lt;100,"A0"&amp;VALUE(MID(A816,2,10)),IF(VALUE(MID(A816,2,10))&lt;1000,"A"&amp;VALUE(MID(A816,2,10))))),IF(LEFT(A816,1)="B",IF(VALUE(MID(A816,2,10))&lt;10,"B00"&amp;VALUE(MID(A816,2,10)),IF(VALUE(MID(A816,2,10))&lt;100,"B0"&amp;VALUE(MID(A816,2,10)),IF(VALUE(MID(A816,2,10))&lt;1000,"B"&amp;VALUE(MID(A816,2,10))))),A816)),"_",IF(NOT(OR(C816=1000,C816&gt;1000)),MID(TEXT((C816+1000)*1000,0),2,6),"keine Meter in Spalte km!!!"),IF(VALUE(I816)=1,CONCATENATE("_",VLOOKUP(IF(V816&gt;0,V816,J816),[1]Grundlage!$A$20:$B$181,2,0)),CONCATENATE("_",B816))))</f>
        <v>UQ_A093_188050_N</v>
      </c>
      <c r="F816" s="152" t="s">
        <v>29</v>
      </c>
      <c r="G816" s="171">
        <f t="shared" si="163"/>
        <v>36352</v>
      </c>
      <c r="H816" s="160">
        <f t="shared" si="164"/>
        <v>28</v>
      </c>
      <c r="I816" s="152">
        <f t="shared" si="156"/>
        <v>3</v>
      </c>
      <c r="J816" s="152">
        <f t="shared" si="157"/>
        <v>19</v>
      </c>
      <c r="K816" s="152">
        <f t="shared" si="158"/>
        <v>201</v>
      </c>
      <c r="L816" s="152">
        <f t="shared" si="159"/>
        <v>11</v>
      </c>
      <c r="M816" s="152">
        <f t="shared" si="160"/>
        <v>1</v>
      </c>
      <c r="N816" s="152">
        <f t="shared" si="161"/>
        <v>7</v>
      </c>
      <c r="P816" s="172">
        <f t="shared" si="162"/>
        <v>49</v>
      </c>
      <c r="AI816" s="154"/>
      <c r="AT816" s="148">
        <v>3</v>
      </c>
      <c r="AU816" s="155">
        <v>19</v>
      </c>
      <c r="AV816" s="155">
        <v>13</v>
      </c>
      <c r="AY816" s="148">
        <v>1</v>
      </c>
      <c r="AZ816" s="155">
        <v>7</v>
      </c>
      <c r="BA816" s="155">
        <v>7</v>
      </c>
      <c r="BB816" s="152" t="s">
        <v>29</v>
      </c>
      <c r="BC816" s="150"/>
      <c r="BD816" s="150"/>
      <c r="BF816" s="152" t="s">
        <v>576</v>
      </c>
    </row>
    <row r="817" spans="1:58" s="152" customFormat="1" ht="14.25" x14ac:dyDescent="0.2">
      <c r="A817" s="160" t="str">
        <f t="shared" si="154"/>
        <v>A93</v>
      </c>
      <c r="B817" s="152" t="s">
        <v>656</v>
      </c>
      <c r="C817" s="160">
        <f t="shared" si="155"/>
        <v>188.05</v>
      </c>
      <c r="D817" s="160"/>
      <c r="E817" s="170" t="str">
        <f>IF(OR(A817="",B817="",C817=""),"eine der Spalten BAB, FR, km leer?",CONCATENATE(VLOOKUP(VALUE(I817),[1]Grundlage!$A$1:$B$14,2,0),IF(LEFT(A817,1)="A",IF(VALUE(MID(A817,2,10))&lt;10,"A00"&amp;VALUE(MID(A817,2,10)),IF(VALUE(MID(A817,2,10))&lt;100,"A0"&amp;VALUE(MID(A817,2,10)),IF(VALUE(MID(A817,2,10))&lt;1000,"A"&amp;VALUE(MID(A817,2,10))))),IF(LEFT(A817,1)="B",IF(VALUE(MID(A817,2,10))&lt;10,"B00"&amp;VALUE(MID(A817,2,10)),IF(VALUE(MID(A817,2,10))&lt;100,"B0"&amp;VALUE(MID(A817,2,10)),IF(VALUE(MID(A817,2,10))&lt;1000,"B"&amp;VALUE(MID(A817,2,10))))),A817)),"_",IF(NOT(OR(C817=1000,C817&gt;1000)),MID(TEXT((C817+1000)*1000,0),2,6),"keine Meter in Spalte km!!!"),IF(VALUE(I817)=1,CONCATENATE("_",VLOOKUP(IF(V817&gt;0,V817,J817),[1]Grundlage!$A$20:$B$181,2,0)),CONCATENATE("_",B817))))</f>
        <v>UQ_A093_188050_N</v>
      </c>
      <c r="F817" s="152" t="s">
        <v>30</v>
      </c>
      <c r="G817" s="171">
        <f t="shared" si="163"/>
        <v>36352</v>
      </c>
      <c r="H817" s="160">
        <f t="shared" si="164"/>
        <v>28</v>
      </c>
      <c r="I817" s="152">
        <f t="shared" si="156"/>
        <v>3</v>
      </c>
      <c r="J817" s="152">
        <f t="shared" si="157"/>
        <v>21</v>
      </c>
      <c r="K817" s="152">
        <f t="shared" si="158"/>
        <v>201</v>
      </c>
      <c r="L817" s="152">
        <f t="shared" si="159"/>
        <v>11</v>
      </c>
      <c r="M817" s="152">
        <f t="shared" si="160"/>
        <v>1</v>
      </c>
      <c r="N817" s="152">
        <f t="shared" si="161"/>
        <v>8</v>
      </c>
      <c r="P817" s="172">
        <f t="shared" si="162"/>
        <v>67</v>
      </c>
      <c r="AI817" s="154"/>
      <c r="AT817" s="148">
        <v>3</v>
      </c>
      <c r="AU817" s="155">
        <v>21</v>
      </c>
      <c r="AV817" s="155">
        <v>15</v>
      </c>
      <c r="AY817" s="148">
        <v>1</v>
      </c>
      <c r="AZ817" s="155">
        <v>8</v>
      </c>
      <c r="BA817" s="155">
        <v>8</v>
      </c>
      <c r="BB817" s="152" t="s">
        <v>30</v>
      </c>
      <c r="BC817" s="150"/>
      <c r="BD817" s="150"/>
      <c r="BF817" s="152" t="s">
        <v>577</v>
      </c>
    </row>
    <row r="818" spans="1:58" s="152" customFormat="1" ht="14.25" x14ac:dyDescent="0.2">
      <c r="A818" s="160" t="str">
        <f t="shared" si="154"/>
        <v>A93</v>
      </c>
      <c r="B818" s="152" t="s">
        <v>656</v>
      </c>
      <c r="C818" s="160">
        <f t="shared" si="155"/>
        <v>188.05</v>
      </c>
      <c r="D818" s="160"/>
      <c r="E818" s="170" t="str">
        <f>IF(OR(A818="",B818="",C818=""),"eine der Spalten BAB, FR, km leer?",CONCATENATE(VLOOKUP(VALUE(I818),[1]Grundlage!$A$1:$B$14,2,0),IF(LEFT(A818,1)="A",IF(VALUE(MID(A818,2,10))&lt;10,"A00"&amp;VALUE(MID(A818,2,10)),IF(VALUE(MID(A818,2,10))&lt;100,"A0"&amp;VALUE(MID(A818,2,10)),IF(VALUE(MID(A818,2,10))&lt;1000,"A"&amp;VALUE(MID(A818,2,10))))),IF(LEFT(A818,1)="B",IF(VALUE(MID(A818,2,10))&lt;10,"B00"&amp;VALUE(MID(A818,2,10)),IF(VALUE(MID(A818,2,10))&lt;100,"B0"&amp;VALUE(MID(A818,2,10)),IF(VALUE(MID(A818,2,10))&lt;1000,"B"&amp;VALUE(MID(A818,2,10))))),A818)),"_",IF(NOT(OR(C818=1000,C818&gt;1000)),MID(TEXT((C818+1000)*1000,0),2,6),"keine Meter in Spalte km!!!"),IF(VALUE(I818)=1,CONCATENATE("_",VLOOKUP(IF(V818&gt;0,V818,J818),[1]Grundlage!$A$20:$B$181,2,0)),CONCATENATE("_",B818))))</f>
        <v>UQ_A093_188050_N</v>
      </c>
      <c r="F818" s="152" t="s">
        <v>41</v>
      </c>
      <c r="G818" s="171">
        <f t="shared" si="163"/>
        <v>36352</v>
      </c>
      <c r="H818" s="160">
        <f t="shared" si="164"/>
        <v>28</v>
      </c>
      <c r="I818" s="152">
        <f t="shared" si="156"/>
        <v>3</v>
      </c>
      <c r="J818" s="152">
        <f t="shared" si="157"/>
        <v>24</v>
      </c>
      <c r="K818" s="152">
        <f t="shared" si="158"/>
        <v>201</v>
      </c>
      <c r="L818" s="152">
        <f t="shared" si="159"/>
        <v>11</v>
      </c>
      <c r="M818" s="152">
        <f t="shared" si="160"/>
        <v>1</v>
      </c>
      <c r="N818" s="152">
        <f t="shared" si="161"/>
        <v>9</v>
      </c>
      <c r="P818" s="172">
        <f t="shared" si="162"/>
        <v>69</v>
      </c>
      <c r="AI818" s="154"/>
      <c r="AT818" s="148">
        <v>3</v>
      </c>
      <c r="AU818" s="155">
        <v>24</v>
      </c>
      <c r="AV818" s="155">
        <v>18</v>
      </c>
      <c r="AY818" s="148">
        <v>1</v>
      </c>
      <c r="AZ818" s="155">
        <v>9</v>
      </c>
      <c r="BA818" s="155">
        <v>9</v>
      </c>
      <c r="BB818" s="152" t="s">
        <v>41</v>
      </c>
      <c r="BC818" s="150"/>
      <c r="BD818" s="150"/>
      <c r="BF818" s="152" t="s">
        <v>578</v>
      </c>
    </row>
    <row r="819" spans="1:58" s="152" customFormat="1" ht="14.25" x14ac:dyDescent="0.2">
      <c r="A819" s="160" t="str">
        <f t="shared" si="154"/>
        <v>A93</v>
      </c>
      <c r="B819" s="152" t="s">
        <v>656</v>
      </c>
      <c r="C819" s="160">
        <f t="shared" si="155"/>
        <v>188.05</v>
      </c>
      <c r="D819" s="160"/>
      <c r="E819" s="170" t="str">
        <f>IF(OR(A819="",B819="",C819=""),"eine der Spalten BAB, FR, km leer?",CONCATENATE(VLOOKUP(VALUE(I819),[1]Grundlage!$A$1:$B$14,2,0),IF(LEFT(A819,1)="A",IF(VALUE(MID(A819,2,10))&lt;10,"A00"&amp;VALUE(MID(A819,2,10)),IF(VALUE(MID(A819,2,10))&lt;100,"A0"&amp;VALUE(MID(A819,2,10)),IF(VALUE(MID(A819,2,10))&lt;1000,"A"&amp;VALUE(MID(A819,2,10))))),IF(LEFT(A819,1)="B",IF(VALUE(MID(A819,2,10))&lt;10,"B00"&amp;VALUE(MID(A819,2,10)),IF(VALUE(MID(A819,2,10))&lt;100,"B0"&amp;VALUE(MID(A819,2,10)),IF(VALUE(MID(A819,2,10))&lt;1000,"B"&amp;VALUE(MID(A819,2,10))))),A819)),"_",IF(NOT(OR(C819=1000,C819&gt;1000)),MID(TEXT((C819+1000)*1000,0),2,6),"keine Meter in Spalte km!!!"),IF(VALUE(I819)=1,CONCATENATE("_",VLOOKUP(IF(V819&gt;0,V819,J819),[1]Grundlage!$A$20:$B$181,2,0)),CONCATENATE("_",B819))))</f>
        <v>UQ_A093_188050_N</v>
      </c>
      <c r="F819" s="152" t="s">
        <v>271</v>
      </c>
      <c r="G819" s="171">
        <f t="shared" si="163"/>
        <v>36352</v>
      </c>
      <c r="H819" s="160">
        <f t="shared" si="164"/>
        <v>28</v>
      </c>
      <c r="I819" s="152">
        <f t="shared" si="156"/>
        <v>3</v>
      </c>
      <c r="J819" s="152">
        <f t="shared" si="157"/>
        <v>67</v>
      </c>
      <c r="K819" s="152">
        <f t="shared" si="158"/>
        <v>201</v>
      </c>
      <c r="L819" s="152">
        <f t="shared" si="159"/>
        <v>11</v>
      </c>
      <c r="M819" s="152">
        <f t="shared" si="160"/>
        <v>1</v>
      </c>
      <c r="N819" s="152">
        <f t="shared" si="161"/>
        <v>10</v>
      </c>
      <c r="P819" s="172">
        <f t="shared" si="162"/>
        <v>53</v>
      </c>
      <c r="AI819" s="154"/>
      <c r="AT819" s="148">
        <v>3</v>
      </c>
      <c r="AU819" s="155">
        <v>67</v>
      </c>
      <c r="AV819" s="155">
        <v>43</v>
      </c>
      <c r="AY819" s="148">
        <v>1</v>
      </c>
      <c r="AZ819" s="155">
        <v>10</v>
      </c>
      <c r="BA819" s="174" t="s">
        <v>95</v>
      </c>
      <c r="BB819" s="152" t="s">
        <v>271</v>
      </c>
      <c r="BC819" s="150"/>
      <c r="BD819" s="150"/>
      <c r="BF819" s="152" t="s">
        <v>444</v>
      </c>
    </row>
    <row r="820" spans="1:58" s="152" customFormat="1" ht="14.25" x14ac:dyDescent="0.2">
      <c r="A820" s="160" t="str">
        <f t="shared" si="154"/>
        <v>A93</v>
      </c>
      <c r="B820" s="152" t="s">
        <v>656</v>
      </c>
      <c r="C820" s="160">
        <f t="shared" si="155"/>
        <v>188.05</v>
      </c>
      <c r="D820" s="160"/>
      <c r="E820" s="170" t="str">
        <f>IF(OR(A820="",B820="",C820=""),"eine der Spalten BAB, FR, km leer?",CONCATENATE(VLOOKUP(VALUE(I820),[1]Grundlage!$A$1:$B$14,2,0),IF(LEFT(A820,1)="A",IF(VALUE(MID(A820,2,10))&lt;10,"A00"&amp;VALUE(MID(A820,2,10)),IF(VALUE(MID(A820,2,10))&lt;100,"A0"&amp;VALUE(MID(A820,2,10)),IF(VALUE(MID(A820,2,10))&lt;1000,"A"&amp;VALUE(MID(A820,2,10))))),IF(LEFT(A820,1)="B",IF(VALUE(MID(A820,2,10))&lt;10,"B00"&amp;VALUE(MID(A820,2,10)),IF(VALUE(MID(A820,2,10))&lt;100,"B0"&amp;VALUE(MID(A820,2,10)),IF(VALUE(MID(A820,2,10))&lt;1000,"B"&amp;VALUE(MID(A820,2,10))))),A820)),"_",IF(NOT(OR(C820=1000,C820&gt;1000)),MID(TEXT((C820+1000)*1000,0),2,6),"keine Meter in Spalte km!!!"),IF(VALUE(I820)=1,CONCATENATE("_",VLOOKUP(IF(V820&gt;0,V820,J820),[1]Grundlage!$A$20:$B$181,2,0)),CONCATENATE("_",B820))))</f>
        <v>UQ_A093_188050_N</v>
      </c>
      <c r="F820" s="152" t="s">
        <v>272</v>
      </c>
      <c r="G820" s="171">
        <f t="shared" si="163"/>
        <v>36352</v>
      </c>
      <c r="H820" s="160">
        <f t="shared" si="164"/>
        <v>28</v>
      </c>
      <c r="I820" s="152">
        <f t="shared" si="156"/>
        <v>3</v>
      </c>
      <c r="J820" s="152">
        <f t="shared" si="157"/>
        <v>82</v>
      </c>
      <c r="K820" s="152">
        <f t="shared" si="158"/>
        <v>201</v>
      </c>
      <c r="L820" s="152">
        <f t="shared" si="159"/>
        <v>11</v>
      </c>
      <c r="M820" s="152">
        <f t="shared" si="160"/>
        <v>1</v>
      </c>
      <c r="N820" s="152">
        <f t="shared" si="161"/>
        <v>11</v>
      </c>
      <c r="P820" s="172">
        <f t="shared" si="162"/>
        <v>72</v>
      </c>
      <c r="AI820" s="154"/>
      <c r="AT820" s="148">
        <v>3</v>
      </c>
      <c r="AU820" s="155">
        <v>82</v>
      </c>
      <c r="AV820" s="155">
        <v>52</v>
      </c>
      <c r="AY820" s="148">
        <v>1</v>
      </c>
      <c r="AZ820" s="155">
        <v>11</v>
      </c>
      <c r="BA820" s="174" t="s">
        <v>78</v>
      </c>
      <c r="BB820" s="152" t="s">
        <v>272</v>
      </c>
      <c r="BC820" s="150"/>
      <c r="BD820" s="150"/>
      <c r="BF820" s="152" t="s">
        <v>579</v>
      </c>
    </row>
    <row r="821" spans="1:58" ht="14.25" x14ac:dyDescent="0.2">
      <c r="A821" t="str">
        <f t="shared" si="154"/>
        <v>A93</v>
      </c>
      <c r="C821">
        <f t="shared" si="155"/>
        <v>188.05</v>
      </c>
      <c r="D821" t="str">
        <f t="shared" si="165"/>
        <v/>
      </c>
      <c r="E821" s="169" t="str">
        <f>IF(OR(A821="",B821="",C821=""),"",CONCATENATE(VLOOKUP(VALUE(I821),[1]Grundlage!$A$1:$B$14,2,0),IF(LEFT(A821,1)="A",IF(VALUE(MID(A821,2,10))&lt;10,"A00"&amp;VALUE(MID(A821,2,10)),IF(VALUE(MID(A821,2,10))&lt;100,"A0"&amp;VALUE(MID(A821,2,10)),IF(VALUE(MID(A821,2,10))&lt;1000,"A"&amp;VALUE(MID(A821,2,10))))),IF(LEFT(A821,1)="B",IF(VALUE(MID(A821,2,10))&lt;10,"B00"&amp;VALUE(MID(A821,2,10)),IF(VALUE(MID(A821,2,10))&lt;100,"B0"&amp;VALUE(MID(A821,2,10)),IF(VALUE(MID(A821,2,10))&lt;1000,"B"&amp;VALUE(MID(A821,2,10))))),A821)),"_",IF(NOT(OR(C821=1000,C821&gt;1000)),MID(TEXT((C821+1000)*1000,0),2,6),"keine Meter in Spalte km!!!"),IF(VALUE(I821)=1,CONCATENATE("_",VLOOKUP(IF(V821&gt;0,V821,J821),[1]Grundlage!$A$20:$B$181,2,0)),CONCATENATE("_",B821))))</f>
        <v/>
      </c>
      <c r="F821" s="2" t="s">
        <v>669</v>
      </c>
      <c r="G821" s="167">
        <f t="shared" si="163"/>
        <v>36352</v>
      </c>
      <c r="H821">
        <f t="shared" si="164"/>
        <v>28</v>
      </c>
      <c r="I821" s="2">
        <f t="shared" si="156"/>
        <v>0</v>
      </c>
      <c r="J821" s="2">
        <f t="shared" si="157"/>
        <v>0</v>
      </c>
      <c r="K821" s="2">
        <f t="shared" si="158"/>
        <v>201</v>
      </c>
      <c r="L821" s="2">
        <f t="shared" si="159"/>
        <v>11</v>
      </c>
      <c r="M821" s="2" t="str">
        <f t="shared" si="160"/>
        <v/>
      </c>
      <c r="N821" s="2" t="str">
        <f t="shared" si="161"/>
        <v/>
      </c>
      <c r="P821" s="168" t="str">
        <f t="shared" si="162"/>
        <v/>
      </c>
    </row>
    <row r="822" spans="1:58" s="152" customFormat="1" ht="14.25" x14ac:dyDescent="0.2">
      <c r="A822" s="160" t="str">
        <f t="shared" si="154"/>
        <v>A3</v>
      </c>
      <c r="B822" s="152" t="s">
        <v>656</v>
      </c>
      <c r="C822" s="160">
        <f t="shared" si="155"/>
        <v>460.4</v>
      </c>
      <c r="D822" s="160"/>
      <c r="E822" s="170" t="str">
        <f>IF(OR(A822="",B822="",C822=""),"eine der Spalten BAB, FR, km leer?",CONCATENATE(VLOOKUP(VALUE(I822),[1]Grundlage!$A$1:$B$14,2,0),IF(LEFT(A822,1)="A",IF(VALUE(MID(A822,2,10))&lt;10,"A00"&amp;VALUE(MID(A822,2,10)),IF(VALUE(MID(A822,2,10))&lt;100,"A0"&amp;VALUE(MID(A822,2,10)),IF(VALUE(MID(A822,2,10))&lt;1000,"A"&amp;VALUE(MID(A822,2,10))))),IF(LEFT(A822,1)="B",IF(VALUE(MID(A822,2,10))&lt;10,"B00"&amp;VALUE(MID(A822,2,10)),IF(VALUE(MID(A822,2,10))&lt;100,"B0"&amp;VALUE(MID(A822,2,10)),IF(VALUE(MID(A822,2,10))&lt;1000,"B"&amp;VALUE(MID(A822,2,10))))),A822)),"_",IF(NOT(OR(C822=1000,C822&gt;1000)),MID(TEXT((C822+1000)*1000,0),2,6),"keine Meter in Spalte km!!!"),IF(VALUE(I822)=1,CONCATENATE("_",VLOOKUP(IF(V822&gt;0,V822,J822),[1]Grundlage!$A$20:$B$181,2,0)),CONCATENATE("_",B822))))</f>
        <v>SSt_A003_460400_N</v>
      </c>
      <c r="F822" s="152" t="s">
        <v>132</v>
      </c>
      <c r="G822" s="171">
        <f t="shared" si="163"/>
        <v>1195</v>
      </c>
      <c r="H822" s="160">
        <f t="shared" si="164"/>
        <v>142</v>
      </c>
      <c r="I822" s="152">
        <f t="shared" si="156"/>
        <v>0</v>
      </c>
      <c r="J822" s="152">
        <f t="shared" si="157"/>
        <v>0</v>
      </c>
      <c r="K822" s="152">
        <f t="shared" si="158"/>
        <v>201</v>
      </c>
      <c r="L822" s="152">
        <f t="shared" si="159"/>
        <v>12</v>
      </c>
      <c r="M822" s="152">
        <f t="shared" si="160"/>
        <v>12</v>
      </c>
      <c r="N822" s="152" t="str">
        <f t="shared" si="161"/>
        <v/>
      </c>
      <c r="P822" s="172" t="str">
        <f t="shared" si="162"/>
        <v/>
      </c>
      <c r="AI822" s="173">
        <v>460.4</v>
      </c>
      <c r="AJ822" s="148" t="s">
        <v>19</v>
      </c>
      <c r="AK822" s="148" t="s">
        <v>62</v>
      </c>
      <c r="AL822" s="148"/>
      <c r="AM822" s="148"/>
      <c r="AN822" s="148"/>
      <c r="AO822" s="148"/>
      <c r="AP822" s="148">
        <v>306062</v>
      </c>
      <c r="AQ822" s="175" t="s">
        <v>234</v>
      </c>
      <c r="AR822" s="176" t="s">
        <v>215</v>
      </c>
      <c r="AS822" s="176" t="s">
        <v>239</v>
      </c>
      <c r="AT822" s="148"/>
      <c r="AU822" s="148"/>
      <c r="AV822" s="148"/>
      <c r="AW822" s="148">
        <v>201</v>
      </c>
      <c r="AX822" s="148">
        <v>12</v>
      </c>
      <c r="AY822" s="148">
        <v>12</v>
      </c>
      <c r="AZ822" s="148"/>
      <c r="BA822" s="148"/>
      <c r="BB822" s="149" t="s">
        <v>132</v>
      </c>
      <c r="BC822" s="150"/>
      <c r="BD822" s="158" t="s">
        <v>163</v>
      </c>
      <c r="BE822" s="152" t="s">
        <v>133</v>
      </c>
      <c r="BF822" s="152" t="s">
        <v>561</v>
      </c>
    </row>
    <row r="823" spans="1:58" s="152" customFormat="1" ht="14.25" x14ac:dyDescent="0.2">
      <c r="A823" s="160" t="str">
        <f t="shared" si="154"/>
        <v>A3</v>
      </c>
      <c r="B823" s="152" t="s">
        <v>656</v>
      </c>
      <c r="C823" s="160">
        <f t="shared" si="155"/>
        <v>460.4</v>
      </c>
      <c r="D823" s="160"/>
      <c r="E823" s="170" t="str">
        <f>IF(OR(A823="",B823="",C823=""),"eine der Spalten BAB, FR, km leer?",CONCATENATE(VLOOKUP(VALUE(I823),[1]Grundlage!$A$1:$B$14,2,0),IF(LEFT(A823,1)="A",IF(VALUE(MID(A823,2,10))&lt;10,"A00"&amp;VALUE(MID(A823,2,10)),IF(VALUE(MID(A823,2,10))&lt;100,"A0"&amp;VALUE(MID(A823,2,10)),IF(VALUE(MID(A823,2,10))&lt;1000,"A"&amp;VALUE(MID(A823,2,10))))),IF(LEFT(A823,1)="B",IF(VALUE(MID(A823,2,10))&lt;10,"B00"&amp;VALUE(MID(A823,2,10)),IF(VALUE(MID(A823,2,10))&lt;100,"B0"&amp;VALUE(MID(A823,2,10)),IF(VALUE(MID(A823,2,10))&lt;1000,"B"&amp;VALUE(MID(A823,2,10))))),A823)),"_",IF(NOT(OR(C823=1000,C823&gt;1000)),MID(TEXT((C823+1000)*1000,0),2,6),"keine Meter in Spalte km!!!"),IF(VALUE(I823)=1,CONCATENATE("_",VLOOKUP(IF(V823&gt;0,V823,J823),[1]Grundlage!$A$20:$B$181,2,0)),CONCATENATE("_",B823))))</f>
        <v>UQ_A003_460400_N</v>
      </c>
      <c r="F823" s="152" t="s">
        <v>269</v>
      </c>
      <c r="G823" s="171">
        <f t="shared" si="163"/>
        <v>1195</v>
      </c>
      <c r="H823" s="160">
        <f t="shared" si="164"/>
        <v>142</v>
      </c>
      <c r="I823" s="152">
        <f t="shared" si="156"/>
        <v>3</v>
      </c>
      <c r="J823" s="152">
        <f t="shared" si="157"/>
        <v>6</v>
      </c>
      <c r="K823" s="152">
        <f t="shared" si="158"/>
        <v>201</v>
      </c>
      <c r="L823" s="152">
        <f t="shared" si="159"/>
        <v>12</v>
      </c>
      <c r="M823" s="152">
        <f t="shared" si="160"/>
        <v>1</v>
      </c>
      <c r="N823" s="152">
        <f t="shared" si="161"/>
        <v>1</v>
      </c>
      <c r="P823" s="172">
        <f t="shared" si="162"/>
        <v>71</v>
      </c>
      <c r="AI823" s="154"/>
      <c r="AT823" s="148">
        <v>3</v>
      </c>
      <c r="AU823" s="155">
        <v>6</v>
      </c>
      <c r="AV823" s="156">
        <v>6</v>
      </c>
      <c r="AW823" s="148"/>
      <c r="AX823" s="148"/>
      <c r="AY823" s="148">
        <v>1</v>
      </c>
      <c r="AZ823" s="155">
        <v>1</v>
      </c>
      <c r="BA823" s="178">
        <f>AZ823</f>
        <v>1</v>
      </c>
      <c r="BB823" s="159" t="s">
        <v>269</v>
      </c>
      <c r="BC823" s="150"/>
      <c r="BD823" s="150"/>
      <c r="BF823" s="152" t="s">
        <v>440</v>
      </c>
    </row>
    <row r="824" spans="1:58" s="152" customFormat="1" ht="14.25" x14ac:dyDescent="0.2">
      <c r="A824" s="160" t="str">
        <f t="shared" si="154"/>
        <v>A3</v>
      </c>
      <c r="B824" s="152" t="s">
        <v>656</v>
      </c>
      <c r="C824" s="160">
        <f t="shared" si="155"/>
        <v>460.4</v>
      </c>
      <c r="D824" s="160"/>
      <c r="E824" s="170" t="str">
        <f>IF(OR(A824="",B824="",C824=""),"eine der Spalten BAB, FR, km leer?",CONCATENATE(VLOOKUP(VALUE(I824),[1]Grundlage!$A$1:$B$14,2,0),IF(LEFT(A824,1)="A",IF(VALUE(MID(A824,2,10))&lt;10,"A00"&amp;VALUE(MID(A824,2,10)),IF(VALUE(MID(A824,2,10))&lt;100,"A0"&amp;VALUE(MID(A824,2,10)),IF(VALUE(MID(A824,2,10))&lt;1000,"A"&amp;VALUE(MID(A824,2,10))))),IF(LEFT(A824,1)="B",IF(VALUE(MID(A824,2,10))&lt;10,"B00"&amp;VALUE(MID(A824,2,10)),IF(VALUE(MID(A824,2,10))&lt;100,"B0"&amp;VALUE(MID(A824,2,10)),IF(VALUE(MID(A824,2,10))&lt;1000,"B"&amp;VALUE(MID(A824,2,10))))),A824)),"_",IF(NOT(OR(C824=1000,C824&gt;1000)),MID(TEXT((C824+1000)*1000,0),2,6),"keine Meter in Spalte km!!!"),IF(VALUE(I824)=1,CONCATENATE("_",VLOOKUP(IF(V824&gt;0,V824,J824),[1]Grundlage!$A$20:$B$181,2,0)),CONCATENATE("_",B824))))</f>
        <v>UQ_A003_460400_N</v>
      </c>
      <c r="F824" s="152" t="s">
        <v>270</v>
      </c>
      <c r="G824" s="171">
        <f t="shared" si="163"/>
        <v>1195</v>
      </c>
      <c r="H824" s="160">
        <f t="shared" si="164"/>
        <v>142</v>
      </c>
      <c r="I824" s="152">
        <f t="shared" si="156"/>
        <v>3</v>
      </c>
      <c r="J824" s="152">
        <f t="shared" si="157"/>
        <v>11</v>
      </c>
      <c r="K824" s="152">
        <f t="shared" si="158"/>
        <v>201</v>
      </c>
      <c r="L824" s="152">
        <f t="shared" si="159"/>
        <v>12</v>
      </c>
      <c r="M824" s="152">
        <f t="shared" si="160"/>
        <v>1</v>
      </c>
      <c r="N824" s="152">
        <f t="shared" si="161"/>
        <v>2</v>
      </c>
      <c r="P824" s="172">
        <f t="shared" si="162"/>
        <v>70</v>
      </c>
      <c r="AI824" s="154"/>
      <c r="AT824" s="148">
        <v>3</v>
      </c>
      <c r="AU824" s="155">
        <v>11</v>
      </c>
      <c r="AV824" s="155" t="s">
        <v>78</v>
      </c>
      <c r="AY824" s="148">
        <v>1</v>
      </c>
      <c r="AZ824" s="155">
        <v>2</v>
      </c>
      <c r="BA824" s="155">
        <v>2</v>
      </c>
      <c r="BB824" s="159" t="s">
        <v>270</v>
      </c>
      <c r="BC824" s="150"/>
      <c r="BD824" s="150"/>
      <c r="BF824" s="152" t="s">
        <v>484</v>
      </c>
    </row>
    <row r="825" spans="1:58" s="152" customFormat="1" ht="14.25" x14ac:dyDescent="0.2">
      <c r="A825" s="160" t="str">
        <f t="shared" si="154"/>
        <v>A3</v>
      </c>
      <c r="B825" s="152" t="s">
        <v>656</v>
      </c>
      <c r="C825" s="160">
        <f t="shared" si="155"/>
        <v>460.4</v>
      </c>
      <c r="D825" s="160"/>
      <c r="E825" s="170" t="str">
        <f>IF(OR(A825="",B825="",C825=""),"eine der Spalten BAB, FR, km leer?",CONCATENATE(VLOOKUP(VALUE(I825),[1]Grundlage!$A$1:$B$14,2,0),IF(LEFT(A825,1)="A",IF(VALUE(MID(A825,2,10))&lt;10,"A00"&amp;VALUE(MID(A825,2,10)),IF(VALUE(MID(A825,2,10))&lt;100,"A0"&amp;VALUE(MID(A825,2,10)),IF(VALUE(MID(A825,2,10))&lt;1000,"A"&amp;VALUE(MID(A825,2,10))))),IF(LEFT(A825,1)="B",IF(VALUE(MID(A825,2,10))&lt;10,"B00"&amp;VALUE(MID(A825,2,10)),IF(VALUE(MID(A825,2,10))&lt;100,"B0"&amp;VALUE(MID(A825,2,10)),IF(VALUE(MID(A825,2,10))&lt;1000,"B"&amp;VALUE(MID(A825,2,10))))),A825)),"_",IF(NOT(OR(C825=1000,C825&gt;1000)),MID(TEXT((C825+1000)*1000,0),2,6),"keine Meter in Spalte km!!!"),IF(VALUE(I825)=1,CONCATENATE("_",VLOOKUP(IF(V825&gt;0,V825,J825),[1]Grundlage!$A$20:$B$181,2,0)),CONCATENATE("_",B825))))</f>
        <v>UQ_A003_460400_N</v>
      </c>
      <c r="F825" s="152" t="s">
        <v>25</v>
      </c>
      <c r="G825" s="171">
        <f t="shared" si="163"/>
        <v>1195</v>
      </c>
      <c r="H825" s="160">
        <f t="shared" si="164"/>
        <v>142</v>
      </c>
      <c r="I825" s="152">
        <f t="shared" si="156"/>
        <v>3</v>
      </c>
      <c r="J825" s="152">
        <f t="shared" si="157"/>
        <v>12</v>
      </c>
      <c r="K825" s="152">
        <f t="shared" si="158"/>
        <v>201</v>
      </c>
      <c r="L825" s="152">
        <f t="shared" si="159"/>
        <v>12</v>
      </c>
      <c r="M825" s="152">
        <f t="shared" si="160"/>
        <v>1</v>
      </c>
      <c r="N825" s="152">
        <f t="shared" si="161"/>
        <v>3</v>
      </c>
      <c r="P825" s="172">
        <f t="shared" si="162"/>
        <v>48</v>
      </c>
      <c r="AI825" s="154"/>
      <c r="AT825" s="148">
        <v>3</v>
      </c>
      <c r="AU825" s="155">
        <v>12</v>
      </c>
      <c r="AV825" s="155" t="s">
        <v>79</v>
      </c>
      <c r="AY825" s="148">
        <v>1</v>
      </c>
      <c r="AZ825" s="155">
        <v>3</v>
      </c>
      <c r="BA825" s="155">
        <v>3</v>
      </c>
      <c r="BB825" s="152" t="s">
        <v>25</v>
      </c>
      <c r="BC825" s="150"/>
      <c r="BD825" s="150"/>
      <c r="BF825" s="152" t="s">
        <v>441</v>
      </c>
    </row>
    <row r="826" spans="1:58" s="152" customFormat="1" ht="14.25" x14ac:dyDescent="0.2">
      <c r="A826" s="160" t="str">
        <f t="shared" si="154"/>
        <v>A3</v>
      </c>
      <c r="B826" s="152" t="s">
        <v>656</v>
      </c>
      <c r="C826" s="160">
        <f t="shared" si="155"/>
        <v>460.4</v>
      </c>
      <c r="D826" s="160"/>
      <c r="E826" s="170" t="str">
        <f>IF(OR(A826="",B826="",C826=""),"eine der Spalten BAB, FR, km leer?",CONCATENATE(VLOOKUP(VALUE(I826),[1]Grundlage!$A$1:$B$14,2,0),IF(LEFT(A826,1)="A",IF(VALUE(MID(A826,2,10))&lt;10,"A00"&amp;VALUE(MID(A826,2,10)),IF(VALUE(MID(A826,2,10))&lt;100,"A0"&amp;VALUE(MID(A826,2,10)),IF(VALUE(MID(A826,2,10))&lt;1000,"A"&amp;VALUE(MID(A826,2,10))))),IF(LEFT(A826,1)="B",IF(VALUE(MID(A826,2,10))&lt;10,"B00"&amp;VALUE(MID(A826,2,10)),IF(VALUE(MID(A826,2,10))&lt;100,"B0"&amp;VALUE(MID(A826,2,10)),IF(VALUE(MID(A826,2,10))&lt;1000,"B"&amp;VALUE(MID(A826,2,10))))),A826)),"_",IF(NOT(OR(C826=1000,C826&gt;1000)),MID(TEXT((C826+1000)*1000,0),2,6),"keine Meter in Spalte km!!!"),IF(VALUE(I826)=1,CONCATENATE("_",VLOOKUP(IF(V826&gt;0,V826,J826),[1]Grundlage!$A$20:$B$181,2,0)),CONCATENATE("_",B826))))</f>
        <v>UQ_A003_460400_N</v>
      </c>
      <c r="F826" s="152" t="s">
        <v>26</v>
      </c>
      <c r="G826" s="171">
        <f t="shared" si="163"/>
        <v>1195</v>
      </c>
      <c r="H826" s="160">
        <f t="shared" si="164"/>
        <v>142</v>
      </c>
      <c r="I826" s="152">
        <f t="shared" si="156"/>
        <v>3</v>
      </c>
      <c r="J826" s="152">
        <f t="shared" si="157"/>
        <v>13</v>
      </c>
      <c r="K826" s="152">
        <f t="shared" si="158"/>
        <v>201</v>
      </c>
      <c r="L826" s="152">
        <f t="shared" si="159"/>
        <v>12</v>
      </c>
      <c r="M826" s="152">
        <f t="shared" si="160"/>
        <v>1</v>
      </c>
      <c r="N826" s="152">
        <f t="shared" si="161"/>
        <v>4</v>
      </c>
      <c r="P826" s="172">
        <f t="shared" si="162"/>
        <v>55</v>
      </c>
      <c r="AI826" s="154"/>
      <c r="AT826" s="148">
        <v>3</v>
      </c>
      <c r="AU826" s="155">
        <v>13</v>
      </c>
      <c r="AV826" s="155" t="s">
        <v>80</v>
      </c>
      <c r="AY826" s="148">
        <v>1</v>
      </c>
      <c r="AZ826" s="155">
        <v>4</v>
      </c>
      <c r="BA826" s="155">
        <v>4</v>
      </c>
      <c r="BB826" s="152" t="s">
        <v>26</v>
      </c>
      <c r="BC826" s="150"/>
      <c r="BD826" s="150"/>
      <c r="BF826" s="152" t="s">
        <v>581</v>
      </c>
    </row>
    <row r="827" spans="1:58" s="152" customFormat="1" ht="14.25" x14ac:dyDescent="0.2">
      <c r="A827" s="160" t="str">
        <f t="shared" si="154"/>
        <v>A3</v>
      </c>
      <c r="B827" s="152" t="s">
        <v>656</v>
      </c>
      <c r="C827" s="160">
        <f t="shared" si="155"/>
        <v>460.4</v>
      </c>
      <c r="D827" s="160"/>
      <c r="E827" s="170" t="str">
        <f>IF(OR(A827="",B827="",C827=""),"eine der Spalten BAB, FR, km leer?",CONCATENATE(VLOOKUP(VALUE(I827),[1]Grundlage!$A$1:$B$14,2,0),IF(LEFT(A827,1)="A",IF(VALUE(MID(A827,2,10))&lt;10,"A00"&amp;VALUE(MID(A827,2,10)),IF(VALUE(MID(A827,2,10))&lt;100,"A0"&amp;VALUE(MID(A827,2,10)),IF(VALUE(MID(A827,2,10))&lt;1000,"A"&amp;VALUE(MID(A827,2,10))))),IF(LEFT(A827,1)="B",IF(VALUE(MID(A827,2,10))&lt;10,"B00"&amp;VALUE(MID(A827,2,10)),IF(VALUE(MID(A827,2,10))&lt;100,"B0"&amp;VALUE(MID(A827,2,10)),IF(VALUE(MID(A827,2,10))&lt;1000,"B"&amp;VALUE(MID(A827,2,10))))),A827)),"_",IF(NOT(OR(C827=1000,C827&gt;1000)),MID(TEXT((C827+1000)*1000,0),2,6),"keine Meter in Spalte km!!!"),IF(VALUE(I827)=1,CONCATENATE("_",VLOOKUP(IF(V827&gt;0,V827,J827),[1]Grundlage!$A$20:$B$181,2,0)),CONCATENATE("_",B827))))</f>
        <v>UQ_A003_460400_N</v>
      </c>
      <c r="F827" s="152" t="s">
        <v>27</v>
      </c>
      <c r="G827" s="171">
        <f t="shared" si="163"/>
        <v>1195</v>
      </c>
      <c r="H827" s="160">
        <f t="shared" si="164"/>
        <v>142</v>
      </c>
      <c r="I827" s="152">
        <f t="shared" si="156"/>
        <v>3</v>
      </c>
      <c r="J827" s="152">
        <f t="shared" si="157"/>
        <v>14</v>
      </c>
      <c r="K827" s="152">
        <f t="shared" si="158"/>
        <v>201</v>
      </c>
      <c r="L827" s="152">
        <f t="shared" si="159"/>
        <v>12</v>
      </c>
      <c r="M827" s="152">
        <f t="shared" si="160"/>
        <v>1</v>
      </c>
      <c r="N827" s="152">
        <f t="shared" si="161"/>
        <v>5</v>
      </c>
      <c r="P827" s="172">
        <f t="shared" si="162"/>
        <v>66</v>
      </c>
      <c r="AI827" s="154"/>
      <c r="AT827" s="148">
        <v>3</v>
      </c>
      <c r="AU827" s="155">
        <v>14</v>
      </c>
      <c r="AV827" s="155" t="s">
        <v>81</v>
      </c>
      <c r="AY827" s="148">
        <v>1</v>
      </c>
      <c r="AZ827" s="155">
        <v>5</v>
      </c>
      <c r="BA827" s="155">
        <v>5</v>
      </c>
      <c r="BB827" s="152" t="s">
        <v>27</v>
      </c>
      <c r="BC827" s="150"/>
      <c r="BD827" s="150"/>
      <c r="BF827" s="152" t="s">
        <v>443</v>
      </c>
    </row>
    <row r="828" spans="1:58" s="152" customFormat="1" ht="14.25" x14ac:dyDescent="0.2">
      <c r="A828" s="160" t="str">
        <f t="shared" si="154"/>
        <v>A3</v>
      </c>
      <c r="B828" s="152" t="s">
        <v>656</v>
      </c>
      <c r="C828" s="160">
        <f t="shared" si="155"/>
        <v>460.4</v>
      </c>
      <c r="D828" s="160"/>
      <c r="E828" s="170" t="str">
        <f>IF(OR(A828="",B828="",C828=""),"eine der Spalten BAB, FR, km leer?",CONCATENATE(VLOOKUP(VALUE(I828),[1]Grundlage!$A$1:$B$14,2,0),IF(LEFT(A828,1)="A",IF(VALUE(MID(A828,2,10))&lt;10,"A00"&amp;VALUE(MID(A828,2,10)),IF(VALUE(MID(A828,2,10))&lt;100,"A0"&amp;VALUE(MID(A828,2,10)),IF(VALUE(MID(A828,2,10))&lt;1000,"A"&amp;VALUE(MID(A828,2,10))))),IF(LEFT(A828,1)="B",IF(VALUE(MID(A828,2,10))&lt;10,"B00"&amp;VALUE(MID(A828,2,10)),IF(VALUE(MID(A828,2,10))&lt;100,"B0"&amp;VALUE(MID(A828,2,10)),IF(VALUE(MID(A828,2,10))&lt;1000,"B"&amp;VALUE(MID(A828,2,10))))),A828)),"_",IF(NOT(OR(C828=1000,C828&gt;1000)),MID(TEXT((C828+1000)*1000,0),2,6),"keine Meter in Spalte km!!!"),IF(VALUE(I828)=1,CONCATENATE("_",VLOOKUP(IF(V828&gt;0,V828,J828),[1]Grundlage!$A$20:$B$181,2,0)),CONCATENATE("_",B828))))</f>
        <v>UQ_A003_460400_N</v>
      </c>
      <c r="F828" s="152" t="s">
        <v>28</v>
      </c>
      <c r="G828" s="171">
        <f t="shared" si="163"/>
        <v>1195</v>
      </c>
      <c r="H828" s="160">
        <f t="shared" si="164"/>
        <v>142</v>
      </c>
      <c r="I828" s="152">
        <f t="shared" si="156"/>
        <v>3</v>
      </c>
      <c r="J828" s="152">
        <f t="shared" si="157"/>
        <v>15</v>
      </c>
      <c r="K828" s="152">
        <f t="shared" si="158"/>
        <v>201</v>
      </c>
      <c r="L828" s="152">
        <f t="shared" si="159"/>
        <v>12</v>
      </c>
      <c r="M828" s="152">
        <f t="shared" si="160"/>
        <v>1</v>
      </c>
      <c r="N828" s="152">
        <f t="shared" si="161"/>
        <v>6</v>
      </c>
      <c r="P828" s="172">
        <f t="shared" si="162"/>
        <v>65</v>
      </c>
      <c r="AI828" s="154"/>
      <c r="AT828" s="148">
        <v>3</v>
      </c>
      <c r="AU828" s="155">
        <v>15</v>
      </c>
      <c r="AV828" s="155" t="s">
        <v>82</v>
      </c>
      <c r="AY828" s="148">
        <v>1</v>
      </c>
      <c r="AZ828" s="155">
        <v>6</v>
      </c>
      <c r="BA828" s="155">
        <v>6</v>
      </c>
      <c r="BB828" s="152" t="s">
        <v>28</v>
      </c>
      <c r="BC828" s="150"/>
      <c r="BD828" s="150"/>
      <c r="BF828" s="152" t="s">
        <v>485</v>
      </c>
    </row>
    <row r="829" spans="1:58" s="152" customFormat="1" ht="14.25" x14ac:dyDescent="0.2">
      <c r="A829" s="160" t="str">
        <f t="shared" si="154"/>
        <v>A3</v>
      </c>
      <c r="B829" s="152" t="s">
        <v>656</v>
      </c>
      <c r="C829" s="160">
        <f t="shared" si="155"/>
        <v>460.4</v>
      </c>
      <c r="D829" s="160"/>
      <c r="E829" s="170" t="str">
        <f>IF(OR(A829="",B829="",C829=""),"eine der Spalten BAB, FR, km leer?",CONCATENATE(VLOOKUP(VALUE(I829),[1]Grundlage!$A$1:$B$14,2,0),IF(LEFT(A829,1)="A",IF(VALUE(MID(A829,2,10))&lt;10,"A00"&amp;VALUE(MID(A829,2,10)),IF(VALUE(MID(A829,2,10))&lt;100,"A0"&amp;VALUE(MID(A829,2,10)),IF(VALUE(MID(A829,2,10))&lt;1000,"A"&amp;VALUE(MID(A829,2,10))))),IF(LEFT(A829,1)="B",IF(VALUE(MID(A829,2,10))&lt;10,"B00"&amp;VALUE(MID(A829,2,10)),IF(VALUE(MID(A829,2,10))&lt;100,"B0"&amp;VALUE(MID(A829,2,10)),IF(VALUE(MID(A829,2,10))&lt;1000,"B"&amp;VALUE(MID(A829,2,10))))),A829)),"_",IF(NOT(OR(C829=1000,C829&gt;1000)),MID(TEXT((C829+1000)*1000,0),2,6),"keine Meter in Spalte km!!!"),IF(VALUE(I829)=1,CONCATENATE("_",VLOOKUP(IF(V829&gt;0,V829,J829),[1]Grundlage!$A$20:$B$181,2,0)),CONCATENATE("_",B829))))</f>
        <v>UQ_A003_460400_N</v>
      </c>
      <c r="F829" s="152" t="s">
        <v>29</v>
      </c>
      <c r="G829" s="171">
        <f t="shared" si="163"/>
        <v>1195</v>
      </c>
      <c r="H829" s="160">
        <f t="shared" si="164"/>
        <v>142</v>
      </c>
      <c r="I829" s="152">
        <f t="shared" si="156"/>
        <v>3</v>
      </c>
      <c r="J829" s="152">
        <f t="shared" si="157"/>
        <v>19</v>
      </c>
      <c r="K829" s="152">
        <f t="shared" si="158"/>
        <v>201</v>
      </c>
      <c r="L829" s="152">
        <f t="shared" si="159"/>
        <v>12</v>
      </c>
      <c r="M829" s="152">
        <f t="shared" si="160"/>
        <v>1</v>
      </c>
      <c r="N829" s="152">
        <f t="shared" si="161"/>
        <v>7</v>
      </c>
      <c r="P829" s="172">
        <f t="shared" si="162"/>
        <v>49</v>
      </c>
      <c r="AI829" s="154"/>
      <c r="AT829" s="148">
        <v>3</v>
      </c>
      <c r="AU829" s="155">
        <v>19</v>
      </c>
      <c r="AV829" s="155">
        <v>13</v>
      </c>
      <c r="AY829" s="148">
        <v>1</v>
      </c>
      <c r="AZ829" s="155">
        <v>7</v>
      </c>
      <c r="BA829" s="155">
        <v>7</v>
      </c>
      <c r="BB829" s="152" t="s">
        <v>29</v>
      </c>
      <c r="BC829" s="150"/>
      <c r="BD829" s="150"/>
      <c r="BF829" s="152" t="s">
        <v>486</v>
      </c>
    </row>
    <row r="830" spans="1:58" s="152" customFormat="1" ht="14.25" x14ac:dyDescent="0.2">
      <c r="A830" s="160" t="str">
        <f t="shared" si="154"/>
        <v>A3</v>
      </c>
      <c r="B830" s="152" t="s">
        <v>656</v>
      </c>
      <c r="C830" s="160">
        <f t="shared" si="155"/>
        <v>460.4</v>
      </c>
      <c r="D830" s="160"/>
      <c r="E830" s="170" t="str">
        <f>IF(OR(A830="",B830="",C830=""),"eine der Spalten BAB, FR, km leer?",CONCATENATE(VLOOKUP(VALUE(I830),[1]Grundlage!$A$1:$B$14,2,0),IF(LEFT(A830,1)="A",IF(VALUE(MID(A830,2,10))&lt;10,"A00"&amp;VALUE(MID(A830,2,10)),IF(VALUE(MID(A830,2,10))&lt;100,"A0"&amp;VALUE(MID(A830,2,10)),IF(VALUE(MID(A830,2,10))&lt;1000,"A"&amp;VALUE(MID(A830,2,10))))),IF(LEFT(A830,1)="B",IF(VALUE(MID(A830,2,10))&lt;10,"B00"&amp;VALUE(MID(A830,2,10)),IF(VALUE(MID(A830,2,10))&lt;100,"B0"&amp;VALUE(MID(A830,2,10)),IF(VALUE(MID(A830,2,10))&lt;1000,"B"&amp;VALUE(MID(A830,2,10))))),A830)),"_",IF(NOT(OR(C830=1000,C830&gt;1000)),MID(TEXT((C830+1000)*1000,0),2,6),"keine Meter in Spalte km!!!"),IF(VALUE(I830)=1,CONCATENATE("_",VLOOKUP(IF(V830&gt;0,V830,J830),[1]Grundlage!$A$20:$B$181,2,0)),CONCATENATE("_",B830))))</f>
        <v>UQ_A003_460400_N</v>
      </c>
      <c r="F830" s="152" t="s">
        <v>30</v>
      </c>
      <c r="G830" s="171">
        <f t="shared" si="163"/>
        <v>1195</v>
      </c>
      <c r="H830" s="160">
        <f t="shared" si="164"/>
        <v>142</v>
      </c>
      <c r="I830" s="152">
        <f t="shared" si="156"/>
        <v>3</v>
      </c>
      <c r="J830" s="152">
        <f t="shared" si="157"/>
        <v>21</v>
      </c>
      <c r="K830" s="152">
        <f t="shared" si="158"/>
        <v>201</v>
      </c>
      <c r="L830" s="152">
        <f t="shared" si="159"/>
        <v>12</v>
      </c>
      <c r="M830" s="152">
        <f t="shared" si="160"/>
        <v>1</v>
      </c>
      <c r="N830" s="152">
        <f t="shared" si="161"/>
        <v>8</v>
      </c>
      <c r="P830" s="172">
        <f t="shared" si="162"/>
        <v>67</v>
      </c>
      <c r="AI830" s="154"/>
      <c r="AT830" s="148">
        <v>3</v>
      </c>
      <c r="AU830" s="155">
        <v>21</v>
      </c>
      <c r="AV830" s="155">
        <v>15</v>
      </c>
      <c r="AY830" s="148">
        <v>1</v>
      </c>
      <c r="AZ830" s="155">
        <v>8</v>
      </c>
      <c r="BA830" s="155">
        <v>8</v>
      </c>
      <c r="BB830" s="152" t="s">
        <v>30</v>
      </c>
      <c r="BC830" s="150"/>
      <c r="BD830" s="150"/>
      <c r="BF830" s="152" t="s">
        <v>487</v>
      </c>
    </row>
    <row r="831" spans="1:58" s="152" customFormat="1" ht="14.25" x14ac:dyDescent="0.2">
      <c r="A831" s="160" t="str">
        <f t="shared" si="154"/>
        <v>A3</v>
      </c>
      <c r="B831" s="152" t="s">
        <v>656</v>
      </c>
      <c r="C831" s="160">
        <f t="shared" si="155"/>
        <v>460.4</v>
      </c>
      <c r="D831" s="160"/>
      <c r="E831" s="170" t="str">
        <f>IF(OR(A831="",B831="",C831=""),"eine der Spalten BAB, FR, km leer?",CONCATENATE(VLOOKUP(VALUE(I831),[1]Grundlage!$A$1:$B$14,2,0),IF(LEFT(A831,1)="A",IF(VALUE(MID(A831,2,10))&lt;10,"A00"&amp;VALUE(MID(A831,2,10)),IF(VALUE(MID(A831,2,10))&lt;100,"A0"&amp;VALUE(MID(A831,2,10)),IF(VALUE(MID(A831,2,10))&lt;1000,"A"&amp;VALUE(MID(A831,2,10))))),IF(LEFT(A831,1)="B",IF(VALUE(MID(A831,2,10))&lt;10,"B00"&amp;VALUE(MID(A831,2,10)),IF(VALUE(MID(A831,2,10))&lt;100,"B0"&amp;VALUE(MID(A831,2,10)),IF(VALUE(MID(A831,2,10))&lt;1000,"B"&amp;VALUE(MID(A831,2,10))))),A831)),"_",IF(NOT(OR(C831=1000,C831&gt;1000)),MID(TEXT((C831+1000)*1000,0),2,6),"keine Meter in Spalte km!!!"),IF(VALUE(I831)=1,CONCATENATE("_",VLOOKUP(IF(V831&gt;0,V831,J831),[1]Grundlage!$A$20:$B$181,2,0)),CONCATENATE("_",B831))))</f>
        <v>UQ_A003_460400_N</v>
      </c>
      <c r="F831" s="152" t="s">
        <v>41</v>
      </c>
      <c r="G831" s="171">
        <f t="shared" si="163"/>
        <v>1195</v>
      </c>
      <c r="H831" s="160">
        <f t="shared" si="164"/>
        <v>142</v>
      </c>
      <c r="I831" s="152">
        <f t="shared" si="156"/>
        <v>3</v>
      </c>
      <c r="J831" s="152">
        <f t="shared" si="157"/>
        <v>24</v>
      </c>
      <c r="K831" s="152">
        <f t="shared" si="158"/>
        <v>201</v>
      </c>
      <c r="L831" s="152">
        <f t="shared" si="159"/>
        <v>12</v>
      </c>
      <c r="M831" s="152">
        <f t="shared" si="160"/>
        <v>1</v>
      </c>
      <c r="N831" s="152">
        <f t="shared" si="161"/>
        <v>9</v>
      </c>
      <c r="P831" s="172">
        <f t="shared" si="162"/>
        <v>69</v>
      </c>
      <c r="AI831" s="154"/>
      <c r="AT831" s="148">
        <v>3</v>
      </c>
      <c r="AU831" s="155">
        <v>24</v>
      </c>
      <c r="AV831" s="155">
        <v>18</v>
      </c>
      <c r="AY831" s="148">
        <v>1</v>
      </c>
      <c r="AZ831" s="155">
        <v>9</v>
      </c>
      <c r="BA831" s="155">
        <v>9</v>
      </c>
      <c r="BB831" s="152" t="s">
        <v>41</v>
      </c>
      <c r="BC831" s="150"/>
      <c r="BD831" s="150"/>
      <c r="BF831" s="152" t="s">
        <v>562</v>
      </c>
    </row>
    <row r="832" spans="1:58" s="152" customFormat="1" ht="14.25" x14ac:dyDescent="0.2">
      <c r="A832" s="160" t="str">
        <f t="shared" si="154"/>
        <v>A3</v>
      </c>
      <c r="B832" s="152" t="s">
        <v>656</v>
      </c>
      <c r="C832" s="160">
        <f t="shared" si="155"/>
        <v>460.4</v>
      </c>
      <c r="D832" s="160"/>
      <c r="E832" s="170" t="str">
        <f>IF(OR(A832="",B832="",C832=""),"eine der Spalten BAB, FR, km leer?",CONCATENATE(VLOOKUP(VALUE(I832),[1]Grundlage!$A$1:$B$14,2,0),IF(LEFT(A832,1)="A",IF(VALUE(MID(A832,2,10))&lt;10,"A00"&amp;VALUE(MID(A832,2,10)),IF(VALUE(MID(A832,2,10))&lt;100,"A0"&amp;VALUE(MID(A832,2,10)),IF(VALUE(MID(A832,2,10))&lt;1000,"A"&amp;VALUE(MID(A832,2,10))))),IF(LEFT(A832,1)="B",IF(VALUE(MID(A832,2,10))&lt;10,"B00"&amp;VALUE(MID(A832,2,10)),IF(VALUE(MID(A832,2,10))&lt;100,"B0"&amp;VALUE(MID(A832,2,10)),IF(VALUE(MID(A832,2,10))&lt;1000,"B"&amp;VALUE(MID(A832,2,10))))),A832)),"_",IF(NOT(OR(C832=1000,C832&gt;1000)),MID(TEXT((C832+1000)*1000,0),2,6),"keine Meter in Spalte km!!!"),IF(VALUE(I832)=1,CONCATENATE("_",VLOOKUP(IF(V832&gt;0,V832,J832),[1]Grundlage!$A$20:$B$181,2,0)),CONCATENATE("_",B832))))</f>
        <v>UQ_A003_460400_N</v>
      </c>
      <c r="F832" s="152" t="s">
        <v>271</v>
      </c>
      <c r="G832" s="171">
        <f t="shared" si="163"/>
        <v>1195</v>
      </c>
      <c r="H832" s="160">
        <f t="shared" si="164"/>
        <v>142</v>
      </c>
      <c r="I832" s="152">
        <f t="shared" si="156"/>
        <v>3</v>
      </c>
      <c r="J832" s="152">
        <f t="shared" si="157"/>
        <v>67</v>
      </c>
      <c r="K832" s="152">
        <f t="shared" si="158"/>
        <v>201</v>
      </c>
      <c r="L832" s="152">
        <f t="shared" si="159"/>
        <v>12</v>
      </c>
      <c r="M832" s="152">
        <f t="shared" si="160"/>
        <v>1</v>
      </c>
      <c r="N832" s="152">
        <f t="shared" si="161"/>
        <v>10</v>
      </c>
      <c r="P832" s="172">
        <f t="shared" si="162"/>
        <v>53</v>
      </c>
      <c r="AI832" s="154"/>
      <c r="AT832" s="148">
        <v>3</v>
      </c>
      <c r="AU832" s="155">
        <v>67</v>
      </c>
      <c r="AV832" s="155">
        <v>43</v>
      </c>
      <c r="AY832" s="148">
        <v>1</v>
      </c>
      <c r="AZ832" s="155">
        <v>10</v>
      </c>
      <c r="BA832" s="174" t="s">
        <v>95</v>
      </c>
      <c r="BB832" s="152" t="s">
        <v>271</v>
      </c>
      <c r="BC832" s="150"/>
      <c r="BD832" s="150"/>
      <c r="BF832" s="152" t="s">
        <v>444</v>
      </c>
    </row>
    <row r="833" spans="1:58" s="152" customFormat="1" ht="14.25" x14ac:dyDescent="0.2">
      <c r="A833" s="160" t="str">
        <f t="shared" si="154"/>
        <v>A3</v>
      </c>
      <c r="B833" s="152" t="s">
        <v>656</v>
      </c>
      <c r="C833" s="160">
        <f t="shared" si="155"/>
        <v>460.4</v>
      </c>
      <c r="D833" s="160"/>
      <c r="E833" s="170" t="str">
        <f>IF(OR(A833="",B833="",C833=""),"eine der Spalten BAB, FR, km leer?",CONCATENATE(VLOOKUP(VALUE(I833),[1]Grundlage!$A$1:$B$14,2,0),IF(LEFT(A833,1)="A",IF(VALUE(MID(A833,2,10))&lt;10,"A00"&amp;VALUE(MID(A833,2,10)),IF(VALUE(MID(A833,2,10))&lt;100,"A0"&amp;VALUE(MID(A833,2,10)),IF(VALUE(MID(A833,2,10))&lt;1000,"A"&amp;VALUE(MID(A833,2,10))))),IF(LEFT(A833,1)="B",IF(VALUE(MID(A833,2,10))&lt;10,"B00"&amp;VALUE(MID(A833,2,10)),IF(VALUE(MID(A833,2,10))&lt;100,"B0"&amp;VALUE(MID(A833,2,10)),IF(VALUE(MID(A833,2,10))&lt;1000,"B"&amp;VALUE(MID(A833,2,10))))),A833)),"_",IF(NOT(OR(C833=1000,C833&gt;1000)),MID(TEXT((C833+1000)*1000,0),2,6),"keine Meter in Spalte km!!!"),IF(VALUE(I833)=1,CONCATENATE("_",VLOOKUP(IF(V833&gt;0,V833,J833),[1]Grundlage!$A$20:$B$181,2,0)),CONCATENATE("_",B833))))</f>
        <v>UQ_A003_460400_N</v>
      </c>
      <c r="F833" s="152" t="s">
        <v>272</v>
      </c>
      <c r="G833" s="171">
        <f t="shared" si="163"/>
        <v>1195</v>
      </c>
      <c r="H833" s="160">
        <f t="shared" si="164"/>
        <v>142</v>
      </c>
      <c r="I833" s="152">
        <f t="shared" si="156"/>
        <v>3</v>
      </c>
      <c r="J833" s="152">
        <f t="shared" si="157"/>
        <v>82</v>
      </c>
      <c r="K833" s="152">
        <f t="shared" si="158"/>
        <v>201</v>
      </c>
      <c r="L833" s="152">
        <f t="shared" si="159"/>
        <v>12</v>
      </c>
      <c r="M833" s="152">
        <f t="shared" si="160"/>
        <v>1</v>
      </c>
      <c r="N833" s="152">
        <f t="shared" si="161"/>
        <v>11</v>
      </c>
      <c r="P833" s="172">
        <f t="shared" si="162"/>
        <v>72</v>
      </c>
      <c r="AI833" s="154"/>
      <c r="AT833" s="148">
        <v>3</v>
      </c>
      <c r="AU833" s="155">
        <v>82</v>
      </c>
      <c r="AV833" s="155">
        <v>52</v>
      </c>
      <c r="AY833" s="148">
        <v>1</v>
      </c>
      <c r="AZ833" s="155">
        <v>11</v>
      </c>
      <c r="BA833" s="174" t="s">
        <v>78</v>
      </c>
      <c r="BB833" s="152" t="s">
        <v>272</v>
      </c>
      <c r="BC833" s="150"/>
      <c r="BD833" s="150"/>
      <c r="BF833" s="152" t="s">
        <v>488</v>
      </c>
    </row>
    <row r="834" spans="1:58" ht="14.25" x14ac:dyDescent="0.2">
      <c r="A834" t="str">
        <f t="shared" si="154"/>
        <v>A3</v>
      </c>
      <c r="C834">
        <f t="shared" si="155"/>
        <v>460.4</v>
      </c>
      <c r="D834" t="str">
        <f t="shared" si="165"/>
        <v/>
      </c>
      <c r="E834" s="169" t="str">
        <f>IF(OR(A834="",B834="",C834=""),"",CONCATENATE(VLOOKUP(VALUE(I834),[1]Grundlage!$A$1:$B$14,2,0),IF(LEFT(A834,1)="A",IF(VALUE(MID(A834,2,10))&lt;10,"A00"&amp;VALUE(MID(A834,2,10)),IF(VALUE(MID(A834,2,10))&lt;100,"A0"&amp;VALUE(MID(A834,2,10)),IF(VALUE(MID(A834,2,10))&lt;1000,"A"&amp;VALUE(MID(A834,2,10))))),IF(LEFT(A834,1)="B",IF(VALUE(MID(A834,2,10))&lt;10,"B00"&amp;VALUE(MID(A834,2,10)),IF(VALUE(MID(A834,2,10))&lt;100,"B0"&amp;VALUE(MID(A834,2,10)),IF(VALUE(MID(A834,2,10))&lt;1000,"B"&amp;VALUE(MID(A834,2,10))))),A834)),"_",IF(NOT(OR(C834=1000,C834&gt;1000)),MID(TEXT((C834+1000)*1000,0),2,6),"keine Meter in Spalte km!!!"),IF(VALUE(I834)=1,CONCATENATE("_",VLOOKUP(IF(V834&gt;0,V834,J834),[1]Grundlage!$A$20:$B$181,2,0)),CONCATENATE("_",B834))))</f>
        <v/>
      </c>
      <c r="F834" s="2" t="s">
        <v>669</v>
      </c>
      <c r="G834" s="167">
        <f t="shared" si="163"/>
        <v>1195</v>
      </c>
      <c r="H834">
        <f t="shared" si="164"/>
        <v>142</v>
      </c>
      <c r="I834" s="2">
        <f t="shared" si="156"/>
        <v>0</v>
      </c>
      <c r="J834" s="2">
        <f t="shared" si="157"/>
        <v>0</v>
      </c>
      <c r="K834" s="2">
        <f t="shared" si="158"/>
        <v>201</v>
      </c>
      <c r="L834" s="2">
        <f t="shared" si="159"/>
        <v>12</v>
      </c>
      <c r="M834" s="2" t="str">
        <f t="shared" si="160"/>
        <v/>
      </c>
      <c r="N834" s="2" t="str">
        <f t="shared" si="161"/>
        <v/>
      </c>
      <c r="P834" s="168" t="str">
        <f t="shared" si="162"/>
        <v/>
      </c>
      <c r="AT834" s="1"/>
      <c r="AU834" s="11"/>
      <c r="AV834" s="11"/>
      <c r="AY834" s="19"/>
      <c r="AZ834" s="14"/>
      <c r="BA834" s="11"/>
    </row>
    <row r="835" spans="1:58" s="152" customFormat="1" ht="14.25" x14ac:dyDescent="0.2">
      <c r="A835" s="160" t="str">
        <f t="shared" si="154"/>
        <v>A3</v>
      </c>
      <c r="B835" s="152" t="s">
        <v>655</v>
      </c>
      <c r="C835" s="160">
        <f t="shared" si="155"/>
        <v>503.9</v>
      </c>
      <c r="D835" s="160"/>
      <c r="E835" s="170" t="str">
        <f>IF(OR(A835="",B835="",C835=""),"eine der Spalten BAB, FR, km leer?",CONCATENATE(VLOOKUP(VALUE(I835),[1]Grundlage!$A$1:$B$14,2,0),IF(LEFT(A835,1)="A",IF(VALUE(MID(A835,2,10))&lt;10,"A00"&amp;VALUE(MID(A835,2,10)),IF(VALUE(MID(A835,2,10))&lt;100,"A0"&amp;VALUE(MID(A835,2,10)),IF(VALUE(MID(A835,2,10))&lt;1000,"A"&amp;VALUE(MID(A835,2,10))))),IF(LEFT(A835,1)="B",IF(VALUE(MID(A835,2,10))&lt;10,"B00"&amp;VALUE(MID(A835,2,10)),IF(VALUE(MID(A835,2,10))&lt;100,"B0"&amp;VALUE(MID(A835,2,10)),IF(VALUE(MID(A835,2,10))&lt;1000,"B"&amp;VALUE(MID(A835,2,10))))),A835)),"_",IF(NOT(OR(C835=1000,C835&gt;1000)),MID(TEXT((C835+1000)*1000,0),2,6),"keine Meter in Spalte km!!!"),IF(VALUE(I835)=1,CONCATENATE("_",VLOOKUP(IF(V835&gt;0,V835,J835),[1]Grundlage!$A$20:$B$181,2,0)),CONCATENATE("_",B835))))</f>
        <v>SSt_A003_503900_S</v>
      </c>
      <c r="F835" s="152" t="s">
        <v>155</v>
      </c>
      <c r="G835" s="171">
        <f t="shared" si="163"/>
        <v>1199</v>
      </c>
      <c r="H835" s="160">
        <f t="shared" si="164"/>
        <v>186</v>
      </c>
      <c r="I835" s="152">
        <f t="shared" si="156"/>
        <v>0</v>
      </c>
      <c r="J835" s="152">
        <f t="shared" si="157"/>
        <v>0</v>
      </c>
      <c r="K835" s="152">
        <f t="shared" si="158"/>
        <v>201</v>
      </c>
      <c r="L835" s="152">
        <f t="shared" si="159"/>
        <v>18</v>
      </c>
      <c r="M835" s="152">
        <f t="shared" si="160"/>
        <v>18</v>
      </c>
      <c r="N835" s="152" t="str">
        <f t="shared" si="161"/>
        <v/>
      </c>
      <c r="P835" s="172" t="str">
        <f t="shared" si="162"/>
        <v/>
      </c>
      <c r="AI835" s="179">
        <v>503.9</v>
      </c>
      <c r="AJ835" s="148" t="s">
        <v>19</v>
      </c>
      <c r="AK835" s="148" t="s">
        <v>62</v>
      </c>
      <c r="AL835" s="148"/>
      <c r="AM835" s="148"/>
      <c r="AN835" s="148"/>
      <c r="AO835" s="148"/>
      <c r="AP835" s="147">
        <v>307130</v>
      </c>
      <c r="AQ835" s="182" t="s">
        <v>234</v>
      </c>
      <c r="AR835" s="147" t="s">
        <v>241</v>
      </c>
      <c r="AS835" s="147" t="s">
        <v>256</v>
      </c>
      <c r="AT835" s="148"/>
      <c r="AU835" s="148"/>
      <c r="AV835" s="148"/>
      <c r="AW835" s="148">
        <v>201</v>
      </c>
      <c r="AX835" s="148">
        <v>18</v>
      </c>
      <c r="AY835" s="148">
        <v>18</v>
      </c>
      <c r="AZ835" s="148"/>
      <c r="BA835" s="148"/>
      <c r="BB835" s="149" t="s">
        <v>155</v>
      </c>
      <c r="BC835" s="150"/>
      <c r="BD835" s="158" t="s">
        <v>163</v>
      </c>
      <c r="BE835" s="152" t="s">
        <v>127</v>
      </c>
      <c r="BF835" s="152" t="s">
        <v>582</v>
      </c>
    </row>
    <row r="836" spans="1:58" s="152" customFormat="1" ht="14.25" x14ac:dyDescent="0.2">
      <c r="A836" s="160" t="str">
        <f t="shared" si="154"/>
        <v>A3</v>
      </c>
      <c r="B836" s="152" t="s">
        <v>655</v>
      </c>
      <c r="C836" s="160">
        <f t="shared" si="155"/>
        <v>503.9</v>
      </c>
      <c r="D836" s="160"/>
      <c r="E836" s="170" t="str">
        <f>IF(OR(A836="",B836="",C836=""),"eine der Spalten BAB, FR, km leer?",CONCATENATE(VLOOKUP(VALUE(I836),[1]Grundlage!$A$1:$B$14,2,0),IF(LEFT(A836,1)="A",IF(VALUE(MID(A836,2,10))&lt;10,"A00"&amp;VALUE(MID(A836,2,10)),IF(VALUE(MID(A836,2,10))&lt;100,"A0"&amp;VALUE(MID(A836,2,10)),IF(VALUE(MID(A836,2,10))&lt;1000,"A"&amp;VALUE(MID(A836,2,10))))),IF(LEFT(A836,1)="B",IF(VALUE(MID(A836,2,10))&lt;10,"B00"&amp;VALUE(MID(A836,2,10)),IF(VALUE(MID(A836,2,10))&lt;100,"B0"&amp;VALUE(MID(A836,2,10)),IF(VALUE(MID(A836,2,10))&lt;1000,"B"&amp;VALUE(MID(A836,2,10))))),A836)),"_",IF(NOT(OR(C836=1000,C836&gt;1000)),MID(TEXT((C836+1000)*1000,0),2,6),"keine Meter in Spalte km!!!"),IF(VALUE(I836)=1,CONCATENATE("_",VLOOKUP(IF(V836&gt;0,V836,J836),[1]Grundlage!$A$20:$B$181,2,0)),CONCATENATE("_",B836))))</f>
        <v>UQ_A003_503900_S</v>
      </c>
      <c r="F836" s="152" t="s">
        <v>269</v>
      </c>
      <c r="G836" s="171">
        <f t="shared" si="163"/>
        <v>1199</v>
      </c>
      <c r="H836" s="160">
        <f t="shared" si="164"/>
        <v>186</v>
      </c>
      <c r="I836" s="152">
        <f t="shared" si="156"/>
        <v>3</v>
      </c>
      <c r="J836" s="152">
        <f t="shared" si="157"/>
        <v>6</v>
      </c>
      <c r="K836" s="152">
        <f t="shared" si="158"/>
        <v>201</v>
      </c>
      <c r="L836" s="152">
        <f t="shared" si="159"/>
        <v>18</v>
      </c>
      <c r="M836" s="152">
        <f t="shared" si="160"/>
        <v>1</v>
      </c>
      <c r="N836" s="152">
        <f t="shared" si="161"/>
        <v>1</v>
      </c>
      <c r="P836" s="172">
        <f t="shared" si="162"/>
        <v>71</v>
      </c>
      <c r="AI836" s="154"/>
      <c r="AP836" s="147"/>
      <c r="AQ836" s="147">
        <f>HEX2DEC(AQ835)</f>
        <v>4</v>
      </c>
      <c r="AR836" s="147">
        <f>HEX2DEC(AR835)</f>
        <v>175</v>
      </c>
      <c r="AS836" s="147">
        <f>HEX2DEC(AS835)</f>
        <v>186</v>
      </c>
      <c r="AT836" s="148">
        <v>3</v>
      </c>
      <c r="AU836" s="155">
        <v>6</v>
      </c>
      <c r="AV836" s="156">
        <v>6</v>
      </c>
      <c r="AW836" s="148"/>
      <c r="AX836" s="148"/>
      <c r="AY836" s="148">
        <v>1</v>
      </c>
      <c r="AZ836" s="155">
        <v>1</v>
      </c>
      <c r="BA836" s="157" t="s">
        <v>418</v>
      </c>
      <c r="BB836" s="159" t="s">
        <v>269</v>
      </c>
      <c r="BC836" s="150"/>
      <c r="BD836" s="150"/>
      <c r="BF836" s="152" t="s">
        <v>440</v>
      </c>
    </row>
    <row r="837" spans="1:58" s="152" customFormat="1" ht="14.25" x14ac:dyDescent="0.2">
      <c r="A837" s="160" t="str">
        <f t="shared" si="154"/>
        <v>A3</v>
      </c>
      <c r="B837" s="152" t="s">
        <v>655</v>
      </c>
      <c r="C837" s="160">
        <f t="shared" si="155"/>
        <v>503.9</v>
      </c>
      <c r="D837" s="160"/>
      <c r="E837" s="170" t="str">
        <f>IF(OR(A837="",B837="",C837=""),"eine der Spalten BAB, FR, km leer?",CONCATENATE(VLOOKUP(VALUE(I837),[1]Grundlage!$A$1:$B$14,2,0),IF(LEFT(A837,1)="A",IF(VALUE(MID(A837,2,10))&lt;10,"A00"&amp;VALUE(MID(A837,2,10)),IF(VALUE(MID(A837,2,10))&lt;100,"A0"&amp;VALUE(MID(A837,2,10)),IF(VALUE(MID(A837,2,10))&lt;1000,"A"&amp;VALUE(MID(A837,2,10))))),IF(LEFT(A837,1)="B",IF(VALUE(MID(A837,2,10))&lt;10,"B00"&amp;VALUE(MID(A837,2,10)),IF(VALUE(MID(A837,2,10))&lt;100,"B0"&amp;VALUE(MID(A837,2,10)),IF(VALUE(MID(A837,2,10))&lt;1000,"B"&amp;VALUE(MID(A837,2,10))))),A837)),"_",IF(NOT(OR(C837=1000,C837&gt;1000)),MID(TEXT((C837+1000)*1000,0),2,6),"keine Meter in Spalte km!!!"),IF(VALUE(I837)=1,CONCATENATE("_",VLOOKUP(IF(V837&gt;0,V837,J837),[1]Grundlage!$A$20:$B$181,2,0)),CONCATENATE("_",B837))))</f>
        <v>UQ_A003_503900_S</v>
      </c>
      <c r="F837" s="152" t="s">
        <v>270</v>
      </c>
      <c r="G837" s="171">
        <f t="shared" si="163"/>
        <v>1199</v>
      </c>
      <c r="H837" s="160">
        <f t="shared" si="164"/>
        <v>186</v>
      </c>
      <c r="I837" s="152">
        <f t="shared" si="156"/>
        <v>3</v>
      </c>
      <c r="J837" s="152">
        <f t="shared" si="157"/>
        <v>11</v>
      </c>
      <c r="K837" s="152">
        <f t="shared" si="158"/>
        <v>201</v>
      </c>
      <c r="L837" s="152">
        <f t="shared" si="159"/>
        <v>18</v>
      </c>
      <c r="M837" s="152">
        <f t="shared" si="160"/>
        <v>1</v>
      </c>
      <c r="N837" s="152">
        <f t="shared" si="161"/>
        <v>2</v>
      </c>
      <c r="P837" s="172">
        <f t="shared" si="162"/>
        <v>70</v>
      </c>
      <c r="AI837" s="154"/>
      <c r="AT837" s="148">
        <v>3</v>
      </c>
      <c r="AU837" s="155">
        <v>11</v>
      </c>
      <c r="AV837" s="155" t="s">
        <v>78</v>
      </c>
      <c r="AY837" s="148">
        <v>1</v>
      </c>
      <c r="AZ837" s="155">
        <f t="shared" ref="AZ837:AZ844" si="166">AZ836+1</f>
        <v>2</v>
      </c>
      <c r="BA837" s="157" t="s">
        <v>405</v>
      </c>
      <c r="BB837" s="159" t="s">
        <v>270</v>
      </c>
      <c r="BC837" s="150"/>
      <c r="BD837" s="150"/>
      <c r="BF837" s="152" t="s">
        <v>583</v>
      </c>
    </row>
    <row r="838" spans="1:58" s="152" customFormat="1" ht="14.25" x14ac:dyDescent="0.2">
      <c r="A838" s="160" t="str">
        <f t="shared" si="154"/>
        <v>A3</v>
      </c>
      <c r="B838" s="152" t="s">
        <v>655</v>
      </c>
      <c r="C838" s="160">
        <f t="shared" si="155"/>
        <v>503.9</v>
      </c>
      <c r="D838" s="160"/>
      <c r="E838" s="170" t="str">
        <f>IF(OR(A838="",B838="",C838=""),"eine der Spalten BAB, FR, km leer?",CONCATENATE(VLOOKUP(VALUE(I838),[1]Grundlage!$A$1:$B$14,2,0),IF(LEFT(A838,1)="A",IF(VALUE(MID(A838,2,10))&lt;10,"A00"&amp;VALUE(MID(A838,2,10)),IF(VALUE(MID(A838,2,10))&lt;100,"A0"&amp;VALUE(MID(A838,2,10)),IF(VALUE(MID(A838,2,10))&lt;1000,"A"&amp;VALUE(MID(A838,2,10))))),IF(LEFT(A838,1)="B",IF(VALUE(MID(A838,2,10))&lt;10,"B00"&amp;VALUE(MID(A838,2,10)),IF(VALUE(MID(A838,2,10))&lt;100,"B0"&amp;VALUE(MID(A838,2,10)),IF(VALUE(MID(A838,2,10))&lt;1000,"B"&amp;VALUE(MID(A838,2,10))))),A838)),"_",IF(NOT(OR(C838=1000,C838&gt;1000)),MID(TEXT((C838+1000)*1000,0),2,6),"keine Meter in Spalte km!!!"),IF(VALUE(I838)=1,CONCATENATE("_",VLOOKUP(IF(V838&gt;0,V838,J838),[1]Grundlage!$A$20:$B$181,2,0)),CONCATENATE("_",B838))))</f>
        <v>UQ_A003_503900_S</v>
      </c>
      <c r="F838" s="152" t="s">
        <v>25</v>
      </c>
      <c r="G838" s="171">
        <f t="shared" si="163"/>
        <v>1199</v>
      </c>
      <c r="H838" s="160">
        <f t="shared" si="164"/>
        <v>186</v>
      </c>
      <c r="I838" s="152">
        <f t="shared" si="156"/>
        <v>3</v>
      </c>
      <c r="J838" s="152">
        <f t="shared" si="157"/>
        <v>12</v>
      </c>
      <c r="K838" s="152">
        <f t="shared" si="158"/>
        <v>201</v>
      </c>
      <c r="L838" s="152">
        <f t="shared" si="159"/>
        <v>18</v>
      </c>
      <c r="M838" s="152">
        <f t="shared" si="160"/>
        <v>1</v>
      </c>
      <c r="N838" s="152">
        <f t="shared" si="161"/>
        <v>3</v>
      </c>
      <c r="P838" s="172">
        <f t="shared" si="162"/>
        <v>48</v>
      </c>
      <c r="AI838" s="154"/>
      <c r="AT838" s="148">
        <v>3</v>
      </c>
      <c r="AU838" s="155">
        <v>12</v>
      </c>
      <c r="AV838" s="155" t="s">
        <v>79</v>
      </c>
      <c r="AY838" s="148">
        <v>1</v>
      </c>
      <c r="AZ838" s="155">
        <f t="shared" si="166"/>
        <v>3</v>
      </c>
      <c r="BA838" s="157" t="s">
        <v>278</v>
      </c>
      <c r="BB838" s="152" t="s">
        <v>25</v>
      </c>
      <c r="BC838" s="150"/>
      <c r="BD838" s="150"/>
      <c r="BF838" s="152" t="s">
        <v>441</v>
      </c>
    </row>
    <row r="839" spans="1:58" s="152" customFormat="1" ht="14.25" x14ac:dyDescent="0.2">
      <c r="A839" s="160" t="str">
        <f t="shared" si="154"/>
        <v>A3</v>
      </c>
      <c r="B839" s="152" t="s">
        <v>655</v>
      </c>
      <c r="C839" s="160">
        <f t="shared" si="155"/>
        <v>503.9</v>
      </c>
      <c r="D839" s="160"/>
      <c r="E839" s="170" t="str">
        <f>IF(OR(A839="",B839="",C839=""),"eine der Spalten BAB, FR, km leer?",CONCATENATE(VLOOKUP(VALUE(I839),[1]Grundlage!$A$1:$B$14,2,0),IF(LEFT(A839,1)="A",IF(VALUE(MID(A839,2,10))&lt;10,"A00"&amp;VALUE(MID(A839,2,10)),IF(VALUE(MID(A839,2,10))&lt;100,"A0"&amp;VALUE(MID(A839,2,10)),IF(VALUE(MID(A839,2,10))&lt;1000,"A"&amp;VALUE(MID(A839,2,10))))),IF(LEFT(A839,1)="B",IF(VALUE(MID(A839,2,10))&lt;10,"B00"&amp;VALUE(MID(A839,2,10)),IF(VALUE(MID(A839,2,10))&lt;100,"B0"&amp;VALUE(MID(A839,2,10)),IF(VALUE(MID(A839,2,10))&lt;1000,"B"&amp;VALUE(MID(A839,2,10))))),A839)),"_",IF(NOT(OR(C839=1000,C839&gt;1000)),MID(TEXT((C839+1000)*1000,0),2,6),"keine Meter in Spalte km!!!"),IF(VALUE(I839)=1,CONCATENATE("_",VLOOKUP(IF(V839&gt;0,V839,J839),[1]Grundlage!$A$20:$B$181,2,0)),CONCATENATE("_",B839))))</f>
        <v>UQ_A003_503900_S</v>
      </c>
      <c r="F839" s="152" t="s">
        <v>26</v>
      </c>
      <c r="G839" s="171">
        <f t="shared" si="163"/>
        <v>1199</v>
      </c>
      <c r="H839" s="160">
        <f t="shared" si="164"/>
        <v>186</v>
      </c>
      <c r="I839" s="152">
        <f t="shared" si="156"/>
        <v>3</v>
      </c>
      <c r="J839" s="152">
        <f t="shared" si="157"/>
        <v>13</v>
      </c>
      <c r="K839" s="152">
        <f t="shared" si="158"/>
        <v>201</v>
      </c>
      <c r="L839" s="152">
        <f t="shared" si="159"/>
        <v>18</v>
      </c>
      <c r="M839" s="152">
        <f t="shared" si="160"/>
        <v>1</v>
      </c>
      <c r="N839" s="152">
        <f t="shared" si="161"/>
        <v>4</v>
      </c>
      <c r="P839" s="172">
        <f t="shared" si="162"/>
        <v>55</v>
      </c>
      <c r="AI839" s="154"/>
      <c r="AT839" s="148">
        <v>3</v>
      </c>
      <c r="AU839" s="155">
        <v>13</v>
      </c>
      <c r="AV839" s="155" t="s">
        <v>80</v>
      </c>
      <c r="AY839" s="148">
        <v>1</v>
      </c>
      <c r="AZ839" s="155">
        <f t="shared" si="166"/>
        <v>4</v>
      </c>
      <c r="BA839" s="157" t="s">
        <v>277</v>
      </c>
      <c r="BB839" s="152" t="s">
        <v>26</v>
      </c>
      <c r="BC839" s="150"/>
      <c r="BD839" s="150"/>
      <c r="BF839" s="152" t="s">
        <v>581</v>
      </c>
    </row>
    <row r="840" spans="1:58" s="152" customFormat="1" ht="14.25" x14ac:dyDescent="0.2">
      <c r="A840" s="160" t="str">
        <f t="shared" si="154"/>
        <v>A3</v>
      </c>
      <c r="B840" s="152" t="s">
        <v>655</v>
      </c>
      <c r="C840" s="160">
        <f t="shared" si="155"/>
        <v>503.9</v>
      </c>
      <c r="D840" s="160"/>
      <c r="E840" s="170" t="str">
        <f>IF(OR(A840="",B840="",C840=""),"eine der Spalten BAB, FR, km leer?",CONCATENATE(VLOOKUP(VALUE(I840),[1]Grundlage!$A$1:$B$14,2,0),IF(LEFT(A840,1)="A",IF(VALUE(MID(A840,2,10))&lt;10,"A00"&amp;VALUE(MID(A840,2,10)),IF(VALUE(MID(A840,2,10))&lt;100,"A0"&amp;VALUE(MID(A840,2,10)),IF(VALUE(MID(A840,2,10))&lt;1000,"A"&amp;VALUE(MID(A840,2,10))))),IF(LEFT(A840,1)="B",IF(VALUE(MID(A840,2,10))&lt;10,"B00"&amp;VALUE(MID(A840,2,10)),IF(VALUE(MID(A840,2,10))&lt;100,"B0"&amp;VALUE(MID(A840,2,10)),IF(VALUE(MID(A840,2,10))&lt;1000,"B"&amp;VALUE(MID(A840,2,10))))),A840)),"_",IF(NOT(OR(C840=1000,C840&gt;1000)),MID(TEXT((C840+1000)*1000,0),2,6),"keine Meter in Spalte km!!!"),IF(VALUE(I840)=1,CONCATENATE("_",VLOOKUP(IF(V840&gt;0,V840,J840),[1]Grundlage!$A$20:$B$181,2,0)),CONCATENATE("_",B840))))</f>
        <v>UQ_A003_503900_S</v>
      </c>
      <c r="F840" s="152" t="s">
        <v>27</v>
      </c>
      <c r="G840" s="171">
        <f t="shared" si="163"/>
        <v>1199</v>
      </c>
      <c r="H840" s="160">
        <f t="shared" si="164"/>
        <v>186</v>
      </c>
      <c r="I840" s="152">
        <f t="shared" si="156"/>
        <v>3</v>
      </c>
      <c r="J840" s="152">
        <f t="shared" si="157"/>
        <v>14</v>
      </c>
      <c r="K840" s="152">
        <f t="shared" si="158"/>
        <v>201</v>
      </c>
      <c r="L840" s="152">
        <f t="shared" si="159"/>
        <v>18</v>
      </c>
      <c r="M840" s="152">
        <f t="shared" si="160"/>
        <v>1</v>
      </c>
      <c r="N840" s="152">
        <f t="shared" si="161"/>
        <v>5</v>
      </c>
      <c r="P840" s="172">
        <f t="shared" si="162"/>
        <v>66</v>
      </c>
      <c r="AI840" s="154"/>
      <c r="AT840" s="148">
        <v>3</v>
      </c>
      <c r="AU840" s="155">
        <v>14</v>
      </c>
      <c r="AV840" s="155" t="s">
        <v>81</v>
      </c>
      <c r="AY840" s="148">
        <v>1</v>
      </c>
      <c r="AZ840" s="155">
        <f t="shared" si="166"/>
        <v>5</v>
      </c>
      <c r="BA840" s="157" t="s">
        <v>279</v>
      </c>
      <c r="BB840" s="152" t="s">
        <v>27</v>
      </c>
      <c r="BC840" s="150"/>
      <c r="BD840" s="150"/>
      <c r="BF840" s="152" t="s">
        <v>443</v>
      </c>
    </row>
    <row r="841" spans="1:58" s="152" customFormat="1" ht="14.25" x14ac:dyDescent="0.2">
      <c r="A841" s="160" t="str">
        <f t="shared" si="154"/>
        <v>A3</v>
      </c>
      <c r="B841" s="152" t="s">
        <v>655</v>
      </c>
      <c r="C841" s="160">
        <f t="shared" si="155"/>
        <v>503.9</v>
      </c>
      <c r="D841" s="160"/>
      <c r="E841" s="170" t="str">
        <f>IF(OR(A841="",B841="",C841=""),"eine der Spalten BAB, FR, km leer?",CONCATENATE(VLOOKUP(VALUE(I841),[1]Grundlage!$A$1:$B$14,2,0),IF(LEFT(A841,1)="A",IF(VALUE(MID(A841,2,10))&lt;10,"A00"&amp;VALUE(MID(A841,2,10)),IF(VALUE(MID(A841,2,10))&lt;100,"A0"&amp;VALUE(MID(A841,2,10)),IF(VALUE(MID(A841,2,10))&lt;1000,"A"&amp;VALUE(MID(A841,2,10))))),IF(LEFT(A841,1)="B",IF(VALUE(MID(A841,2,10))&lt;10,"B00"&amp;VALUE(MID(A841,2,10)),IF(VALUE(MID(A841,2,10))&lt;100,"B0"&amp;VALUE(MID(A841,2,10)),IF(VALUE(MID(A841,2,10))&lt;1000,"B"&amp;VALUE(MID(A841,2,10))))),A841)),"_",IF(NOT(OR(C841=1000,C841&gt;1000)),MID(TEXT((C841+1000)*1000,0),2,6),"keine Meter in Spalte km!!!"),IF(VALUE(I841)=1,CONCATENATE("_",VLOOKUP(IF(V841&gt;0,V841,J841),[1]Grundlage!$A$20:$B$181,2,0)),CONCATENATE("_",B841))))</f>
        <v>UQ_A003_503900_S</v>
      </c>
      <c r="F841" s="152" t="s">
        <v>28</v>
      </c>
      <c r="G841" s="171">
        <f t="shared" si="163"/>
        <v>1199</v>
      </c>
      <c r="H841" s="160">
        <f t="shared" si="164"/>
        <v>186</v>
      </c>
      <c r="I841" s="152">
        <f t="shared" si="156"/>
        <v>3</v>
      </c>
      <c r="J841" s="152">
        <f t="shared" si="157"/>
        <v>15</v>
      </c>
      <c r="K841" s="152">
        <f t="shared" si="158"/>
        <v>201</v>
      </c>
      <c r="L841" s="152">
        <f t="shared" si="159"/>
        <v>18</v>
      </c>
      <c r="M841" s="152">
        <f t="shared" si="160"/>
        <v>1</v>
      </c>
      <c r="N841" s="152">
        <f t="shared" si="161"/>
        <v>6</v>
      </c>
      <c r="P841" s="172">
        <f t="shared" si="162"/>
        <v>65</v>
      </c>
      <c r="AI841" s="154"/>
      <c r="AT841" s="148">
        <v>3</v>
      </c>
      <c r="AU841" s="155">
        <v>15</v>
      </c>
      <c r="AV841" s="155" t="s">
        <v>82</v>
      </c>
      <c r="AY841" s="148">
        <v>1</v>
      </c>
      <c r="AZ841" s="155">
        <f t="shared" si="166"/>
        <v>6</v>
      </c>
      <c r="BA841" s="157" t="s">
        <v>280</v>
      </c>
      <c r="BB841" s="152" t="s">
        <v>28</v>
      </c>
      <c r="BC841" s="150"/>
      <c r="BD841" s="150"/>
      <c r="BF841" s="152" t="s">
        <v>584</v>
      </c>
    </row>
    <row r="842" spans="1:58" s="152" customFormat="1" ht="14.25" x14ac:dyDescent="0.2">
      <c r="A842" s="160" t="str">
        <f t="shared" ref="A842:A864" si="167">IF(ISBLANK(AK842),A841,AK842)</f>
        <v>A3</v>
      </c>
      <c r="B842" s="152" t="s">
        <v>655</v>
      </c>
      <c r="C842" s="160">
        <f t="shared" ref="C842:C905" si="168">IF(ISBLANK(AI842),C841,AI842)</f>
        <v>503.9</v>
      </c>
      <c r="D842" s="160"/>
      <c r="E842" s="170" t="str">
        <f>IF(OR(A842="",B842="",C842=""),"eine der Spalten BAB, FR, km leer?",CONCATENATE(VLOOKUP(VALUE(I842),[1]Grundlage!$A$1:$B$14,2,0),IF(LEFT(A842,1)="A",IF(VALUE(MID(A842,2,10))&lt;10,"A00"&amp;VALUE(MID(A842,2,10)),IF(VALUE(MID(A842,2,10))&lt;100,"A0"&amp;VALUE(MID(A842,2,10)),IF(VALUE(MID(A842,2,10))&lt;1000,"A"&amp;VALUE(MID(A842,2,10))))),IF(LEFT(A842,1)="B",IF(VALUE(MID(A842,2,10))&lt;10,"B00"&amp;VALUE(MID(A842,2,10)),IF(VALUE(MID(A842,2,10))&lt;100,"B0"&amp;VALUE(MID(A842,2,10)),IF(VALUE(MID(A842,2,10))&lt;1000,"B"&amp;VALUE(MID(A842,2,10))))),A842)),"_",IF(NOT(OR(C842=1000,C842&gt;1000)),MID(TEXT((C842+1000)*1000,0),2,6),"keine Meter in Spalte km!!!"),IF(VALUE(I842)=1,CONCATENATE("_",VLOOKUP(IF(V842&gt;0,V842,J842),[1]Grundlage!$A$20:$B$181,2,0)),CONCATENATE("_",B842))))</f>
        <v>UQ_A003_503900_S</v>
      </c>
      <c r="F842" s="152" t="s">
        <v>29</v>
      </c>
      <c r="G842" s="171">
        <f t="shared" si="163"/>
        <v>1199</v>
      </c>
      <c r="H842" s="160">
        <f t="shared" si="164"/>
        <v>186</v>
      </c>
      <c r="I842" s="152">
        <f t="shared" ref="I842:I905" si="169">IF(D842="SS",254,AT842)</f>
        <v>3</v>
      </c>
      <c r="J842" s="152">
        <f t="shared" ref="J842:J905" si="170">IF(D842="SS",0,AU842)</f>
        <v>19</v>
      </c>
      <c r="K842" s="152">
        <f t="shared" ref="K842:K905" si="171">IF(ISBLANK(AW842),K841,AW842)</f>
        <v>201</v>
      </c>
      <c r="L842" s="152">
        <f t="shared" ref="L842:L905" si="172">IF(ISBLANK(AX842),L841,AX842)</f>
        <v>18</v>
      </c>
      <c r="M842" s="152">
        <f t="shared" ref="M842:M905" si="173">IF(ISBLANK(AY842),"",AY842)</f>
        <v>1</v>
      </c>
      <c r="N842" s="152">
        <f t="shared" ref="N842:N905" si="174">IF(ISBLANK(AZ842),"",AZ842)</f>
        <v>7</v>
      </c>
      <c r="P842" s="172">
        <f t="shared" si="162"/>
        <v>49</v>
      </c>
      <c r="AI842" s="154"/>
      <c r="AT842" s="148">
        <v>3</v>
      </c>
      <c r="AU842" s="155">
        <v>19</v>
      </c>
      <c r="AV842" s="155">
        <v>13</v>
      </c>
      <c r="AY842" s="148">
        <v>1</v>
      </c>
      <c r="AZ842" s="155">
        <f t="shared" si="166"/>
        <v>7</v>
      </c>
      <c r="BA842" s="157" t="s">
        <v>281</v>
      </c>
      <c r="BB842" s="152" t="s">
        <v>29</v>
      </c>
      <c r="BC842" s="150"/>
      <c r="BD842" s="150"/>
      <c r="BF842" s="152" t="s">
        <v>585</v>
      </c>
    </row>
    <row r="843" spans="1:58" s="152" customFormat="1" ht="14.25" x14ac:dyDescent="0.2">
      <c r="A843" s="160" t="str">
        <f t="shared" si="167"/>
        <v>A3</v>
      </c>
      <c r="B843" s="152" t="s">
        <v>655</v>
      </c>
      <c r="C843" s="160">
        <f t="shared" si="168"/>
        <v>503.9</v>
      </c>
      <c r="D843" s="160"/>
      <c r="E843" s="170" t="str">
        <f>IF(OR(A843="",B843="",C843=""),"eine der Spalten BAB, FR, km leer?",CONCATENATE(VLOOKUP(VALUE(I843),[1]Grundlage!$A$1:$B$14,2,0),IF(LEFT(A843,1)="A",IF(VALUE(MID(A843,2,10))&lt;10,"A00"&amp;VALUE(MID(A843,2,10)),IF(VALUE(MID(A843,2,10))&lt;100,"A0"&amp;VALUE(MID(A843,2,10)),IF(VALUE(MID(A843,2,10))&lt;1000,"A"&amp;VALUE(MID(A843,2,10))))),IF(LEFT(A843,1)="B",IF(VALUE(MID(A843,2,10))&lt;10,"B00"&amp;VALUE(MID(A843,2,10)),IF(VALUE(MID(A843,2,10))&lt;100,"B0"&amp;VALUE(MID(A843,2,10)),IF(VALUE(MID(A843,2,10))&lt;1000,"B"&amp;VALUE(MID(A843,2,10))))),A843)),"_",IF(NOT(OR(C843=1000,C843&gt;1000)),MID(TEXT((C843+1000)*1000,0),2,6),"keine Meter in Spalte km!!!"),IF(VALUE(I843)=1,CONCATENATE("_",VLOOKUP(IF(V843&gt;0,V843,J843),[1]Grundlage!$A$20:$B$181,2,0)),CONCATENATE("_",B843))))</f>
        <v>UQ_A003_503900_S</v>
      </c>
      <c r="F843" s="152" t="s">
        <v>30</v>
      </c>
      <c r="G843" s="171">
        <f t="shared" si="163"/>
        <v>1199</v>
      </c>
      <c r="H843" s="160">
        <f t="shared" si="164"/>
        <v>186</v>
      </c>
      <c r="I843" s="152">
        <f t="shared" si="169"/>
        <v>3</v>
      </c>
      <c r="J843" s="152">
        <f t="shared" si="170"/>
        <v>21</v>
      </c>
      <c r="K843" s="152">
        <f t="shared" si="171"/>
        <v>201</v>
      </c>
      <c r="L843" s="152">
        <f t="shared" si="172"/>
        <v>18</v>
      </c>
      <c r="M843" s="152">
        <f t="shared" si="173"/>
        <v>1</v>
      </c>
      <c r="N843" s="152">
        <f t="shared" si="174"/>
        <v>8</v>
      </c>
      <c r="P843" s="172">
        <f t="shared" ref="P843:P906" si="175">IF(AT843&lt;&gt;3,"",IF(BB843="Helligkeitssensor",61,IF(BB843="Helligkeit",61,IF(BB844="Lichtsensor",61,IF(BB843="Lufttemperatur",48,IF(BB843="Niederschlagsart",71,IF(BB843="Niederschlagsintensität",53,IF(BB843="relative Luftfeuchte RLF",55,IF(BB843="Sichtweite",60,IF(BB843="Sichtweite 1",60,IF(BB843="Zustand der Fahrbahnoberfläche FBZ",79,IF(BB843="Wasserfilmdicke WFD",72,IF(BB843="Clusterkanal FG3","",IF(BB843="Gefriertemperatur GT",65,IF(BB843="Fahrbahnoberflächentemperatur FBT",49,VALUE(RIGHT(BB843,2)))))))))))))))))</f>
        <v>67</v>
      </c>
      <c r="AI843" s="154"/>
      <c r="AT843" s="148">
        <v>3</v>
      </c>
      <c r="AU843" s="155">
        <v>21</v>
      </c>
      <c r="AV843" s="155">
        <v>15</v>
      </c>
      <c r="AY843" s="148">
        <v>1</v>
      </c>
      <c r="AZ843" s="155">
        <f t="shared" si="166"/>
        <v>8</v>
      </c>
      <c r="BA843" s="157" t="s">
        <v>282</v>
      </c>
      <c r="BB843" s="152" t="s">
        <v>30</v>
      </c>
      <c r="BC843" s="150"/>
      <c r="BD843" s="150"/>
      <c r="BF843" s="152" t="s">
        <v>586</v>
      </c>
    </row>
    <row r="844" spans="1:58" s="152" customFormat="1" ht="14.25" x14ac:dyDescent="0.2">
      <c r="A844" s="160" t="str">
        <f t="shared" si="167"/>
        <v>A3</v>
      </c>
      <c r="B844" s="152" t="s">
        <v>655</v>
      </c>
      <c r="C844" s="160">
        <f t="shared" si="168"/>
        <v>503.9</v>
      </c>
      <c r="D844" s="160"/>
      <c r="E844" s="170" t="str">
        <f>IF(OR(A844="",B844="",C844=""),"eine der Spalten BAB, FR, km leer?",CONCATENATE(VLOOKUP(VALUE(I844),[1]Grundlage!$A$1:$B$14,2,0),IF(LEFT(A844,1)="A",IF(VALUE(MID(A844,2,10))&lt;10,"A00"&amp;VALUE(MID(A844,2,10)),IF(VALUE(MID(A844,2,10))&lt;100,"A0"&amp;VALUE(MID(A844,2,10)),IF(VALUE(MID(A844,2,10))&lt;1000,"A"&amp;VALUE(MID(A844,2,10))))),IF(LEFT(A844,1)="B",IF(VALUE(MID(A844,2,10))&lt;10,"B00"&amp;VALUE(MID(A844,2,10)),IF(VALUE(MID(A844,2,10))&lt;100,"B0"&amp;VALUE(MID(A844,2,10)),IF(VALUE(MID(A844,2,10))&lt;1000,"B"&amp;VALUE(MID(A844,2,10))))),A844)),"_",IF(NOT(OR(C844=1000,C844&gt;1000)),MID(TEXT((C844+1000)*1000,0),2,6),"keine Meter in Spalte km!!!"),IF(VALUE(I844)=1,CONCATENATE("_",VLOOKUP(IF(V844&gt;0,V844,J844),[1]Grundlage!$A$20:$B$181,2,0)),CONCATENATE("_",B844))))</f>
        <v>UQ_A003_503900_S</v>
      </c>
      <c r="F844" s="152" t="s">
        <v>41</v>
      </c>
      <c r="G844" s="171">
        <f t="shared" si="163"/>
        <v>1199</v>
      </c>
      <c r="H844" s="160">
        <f t="shared" si="164"/>
        <v>186</v>
      </c>
      <c r="I844" s="152">
        <f t="shared" si="169"/>
        <v>3</v>
      </c>
      <c r="J844" s="152">
        <f t="shared" si="170"/>
        <v>24</v>
      </c>
      <c r="K844" s="152">
        <f t="shared" si="171"/>
        <v>201</v>
      </c>
      <c r="L844" s="152">
        <f t="shared" si="172"/>
        <v>18</v>
      </c>
      <c r="M844" s="152">
        <f t="shared" si="173"/>
        <v>1</v>
      </c>
      <c r="N844" s="152">
        <f t="shared" si="174"/>
        <v>9</v>
      </c>
      <c r="P844" s="172">
        <f t="shared" si="175"/>
        <v>69</v>
      </c>
      <c r="AI844" s="154"/>
      <c r="AT844" s="148">
        <v>3</v>
      </c>
      <c r="AU844" s="155">
        <v>24</v>
      </c>
      <c r="AV844" s="155">
        <v>18</v>
      </c>
      <c r="AY844" s="148">
        <v>1</v>
      </c>
      <c r="AZ844" s="155">
        <f t="shared" si="166"/>
        <v>9</v>
      </c>
      <c r="BA844" s="155">
        <v>9</v>
      </c>
      <c r="BB844" s="152" t="s">
        <v>41</v>
      </c>
      <c r="BC844" s="150"/>
      <c r="BD844" s="150"/>
      <c r="BF844" s="152" t="s">
        <v>587</v>
      </c>
    </row>
    <row r="845" spans="1:58" s="152" customFormat="1" ht="14.25" x14ac:dyDescent="0.2">
      <c r="A845" s="160" t="str">
        <f t="shared" si="167"/>
        <v>A3</v>
      </c>
      <c r="B845" s="152" t="s">
        <v>655</v>
      </c>
      <c r="C845" s="160">
        <f t="shared" si="168"/>
        <v>503.9</v>
      </c>
      <c r="D845" s="160"/>
      <c r="E845" s="170" t="str">
        <f>IF(OR(A845="",B845="",C845=""),"eine der Spalten BAB, FR, km leer?",CONCATENATE(VLOOKUP(VALUE(I845),[1]Grundlage!$A$1:$B$14,2,0),IF(LEFT(A845,1)="A",IF(VALUE(MID(A845,2,10))&lt;10,"A00"&amp;VALUE(MID(A845,2,10)),IF(VALUE(MID(A845,2,10))&lt;100,"A0"&amp;VALUE(MID(A845,2,10)),IF(VALUE(MID(A845,2,10))&lt;1000,"A"&amp;VALUE(MID(A845,2,10))))),IF(LEFT(A845,1)="B",IF(VALUE(MID(A845,2,10))&lt;10,"B00"&amp;VALUE(MID(A845,2,10)),IF(VALUE(MID(A845,2,10))&lt;100,"B0"&amp;VALUE(MID(A845,2,10)),IF(VALUE(MID(A845,2,10))&lt;1000,"B"&amp;VALUE(MID(A845,2,10))))),A845)),"_",IF(NOT(OR(C845=1000,C845&gt;1000)),MID(TEXT((C845+1000)*1000,0),2,6),"keine Meter in Spalte km!!!"),IF(VALUE(I845)=1,CONCATENATE("_",VLOOKUP(IF(V845&gt;0,V845,J845),[1]Grundlage!$A$20:$B$181,2,0)),CONCATENATE("_",B845))))</f>
        <v>UQ_A003_503900_S</v>
      </c>
      <c r="F845" s="152" t="s">
        <v>271</v>
      </c>
      <c r="G845" s="171">
        <f t="shared" si="163"/>
        <v>1199</v>
      </c>
      <c r="H845" s="160">
        <f t="shared" si="164"/>
        <v>186</v>
      </c>
      <c r="I845" s="152">
        <f t="shared" si="169"/>
        <v>3</v>
      </c>
      <c r="J845" s="152">
        <f t="shared" si="170"/>
        <v>67</v>
      </c>
      <c r="K845" s="152">
        <f t="shared" si="171"/>
        <v>201</v>
      </c>
      <c r="L845" s="152">
        <f t="shared" si="172"/>
        <v>18</v>
      </c>
      <c r="M845" s="152">
        <f t="shared" si="173"/>
        <v>1</v>
      </c>
      <c r="N845" s="152">
        <f t="shared" si="174"/>
        <v>9</v>
      </c>
      <c r="P845" s="172">
        <f t="shared" si="175"/>
        <v>53</v>
      </c>
      <c r="AI845" s="154"/>
      <c r="AT845" s="148">
        <v>3</v>
      </c>
      <c r="AU845" s="155">
        <v>67</v>
      </c>
      <c r="AV845" s="155">
        <v>43</v>
      </c>
      <c r="AY845" s="148">
        <v>1</v>
      </c>
      <c r="AZ845" s="155">
        <v>9</v>
      </c>
      <c r="BA845" s="174">
        <v>9</v>
      </c>
      <c r="BB845" s="152" t="s">
        <v>271</v>
      </c>
      <c r="BC845" s="150"/>
      <c r="BD845" s="150"/>
      <c r="BF845" s="152" t="s">
        <v>444</v>
      </c>
    </row>
    <row r="846" spans="1:58" s="152" customFormat="1" ht="14.25" x14ac:dyDescent="0.2">
      <c r="A846" s="160" t="str">
        <f t="shared" si="167"/>
        <v>A3</v>
      </c>
      <c r="B846" s="152" t="s">
        <v>655</v>
      </c>
      <c r="C846" s="160">
        <f t="shared" si="168"/>
        <v>503.9</v>
      </c>
      <c r="D846" s="160"/>
      <c r="E846" s="170" t="str">
        <f>IF(OR(A846="",B846="",C846=""),"eine der Spalten BAB, FR, km leer?",CONCATENATE(VLOOKUP(VALUE(I846),[1]Grundlage!$A$1:$B$14,2,0),IF(LEFT(A846,1)="A",IF(VALUE(MID(A846,2,10))&lt;10,"A00"&amp;VALUE(MID(A846,2,10)),IF(VALUE(MID(A846,2,10))&lt;100,"A0"&amp;VALUE(MID(A846,2,10)),IF(VALUE(MID(A846,2,10))&lt;1000,"A"&amp;VALUE(MID(A846,2,10))))),IF(LEFT(A846,1)="B",IF(VALUE(MID(A846,2,10))&lt;10,"B00"&amp;VALUE(MID(A846,2,10)),IF(VALUE(MID(A846,2,10))&lt;100,"B0"&amp;VALUE(MID(A846,2,10)),IF(VALUE(MID(A846,2,10))&lt;1000,"B"&amp;VALUE(MID(A846,2,10))))),A846)),"_",IF(NOT(OR(C846=1000,C846&gt;1000)),MID(TEXT((C846+1000)*1000,0),2,6),"keine Meter in Spalte km!!!"),IF(VALUE(I846)=1,CONCATENATE("_",VLOOKUP(IF(V846&gt;0,V846,J846),[1]Grundlage!$A$20:$B$181,2,0)),CONCATENATE("_",B846))))</f>
        <v>UQ_A003_503900_S</v>
      </c>
      <c r="F846" s="152" t="s">
        <v>337</v>
      </c>
      <c r="G846" s="171">
        <f t="shared" si="163"/>
        <v>1199</v>
      </c>
      <c r="H846" s="160">
        <f t="shared" si="164"/>
        <v>186</v>
      </c>
      <c r="I846" s="152">
        <f t="shared" si="169"/>
        <v>3</v>
      </c>
      <c r="J846" s="152">
        <f t="shared" si="170"/>
        <v>82</v>
      </c>
      <c r="K846" s="152">
        <f t="shared" si="171"/>
        <v>201</v>
      </c>
      <c r="L846" s="152">
        <f t="shared" si="172"/>
        <v>18</v>
      </c>
      <c r="M846" s="152">
        <f t="shared" si="173"/>
        <v>1</v>
      </c>
      <c r="N846" s="152">
        <f t="shared" si="174"/>
        <v>10</v>
      </c>
      <c r="P846" s="172">
        <v>72</v>
      </c>
      <c r="AI846" s="154"/>
      <c r="AT846" s="148">
        <v>3</v>
      </c>
      <c r="AU846" s="155">
        <v>82</v>
      </c>
      <c r="AV846" s="155">
        <v>52</v>
      </c>
      <c r="AY846" s="148">
        <v>1</v>
      </c>
      <c r="AZ846" s="155">
        <v>10</v>
      </c>
      <c r="BA846" s="174" t="s">
        <v>95</v>
      </c>
      <c r="BB846" s="152" t="s">
        <v>337</v>
      </c>
      <c r="BC846" s="150"/>
      <c r="BD846" s="150"/>
      <c r="BF846" s="152" t="s">
        <v>588</v>
      </c>
    </row>
    <row r="847" spans="1:58" s="152" customFormat="1" ht="14.25" x14ac:dyDescent="0.2">
      <c r="A847" s="160" t="str">
        <f t="shared" si="167"/>
        <v>A3</v>
      </c>
      <c r="B847" s="152" t="s">
        <v>655</v>
      </c>
      <c r="C847" s="160">
        <f t="shared" si="168"/>
        <v>503.9</v>
      </c>
      <c r="D847" s="160"/>
      <c r="E847" s="170" t="str">
        <f>IF(OR(A847="",B847="",C847=""),"eine der Spalten BAB, FR, km leer?",CONCATENATE(VLOOKUP(VALUE(I847),[1]Grundlage!$A$1:$B$14,2,0),IF(LEFT(A847,1)="A",IF(VALUE(MID(A847,2,10))&lt;10,"A00"&amp;VALUE(MID(A847,2,10)),IF(VALUE(MID(A847,2,10))&lt;100,"A0"&amp;VALUE(MID(A847,2,10)),IF(VALUE(MID(A847,2,10))&lt;1000,"A"&amp;VALUE(MID(A847,2,10))))),IF(LEFT(A847,1)="B",IF(VALUE(MID(A847,2,10))&lt;10,"B00"&amp;VALUE(MID(A847,2,10)),IF(VALUE(MID(A847,2,10))&lt;100,"B0"&amp;VALUE(MID(A847,2,10)),IF(VALUE(MID(A847,2,10))&lt;1000,"B"&amp;VALUE(MID(A847,2,10))))),A847)),"_",IF(NOT(OR(C847=1000,C847&gt;1000)),MID(TEXT((C847+1000)*1000,0),2,6),"keine Meter in Spalte km!!!"),IF(VALUE(I847)=1,CONCATENATE("_",VLOOKUP(IF(V847&gt;0,V847,J847),[1]Grundlage!$A$20:$B$181,2,0)),CONCATENATE("_",B847))))</f>
        <v>UQ_A003_503900_S</v>
      </c>
      <c r="F847" s="152" t="s">
        <v>333</v>
      </c>
      <c r="G847" s="171">
        <f t="shared" si="163"/>
        <v>1199</v>
      </c>
      <c r="H847" s="160">
        <f t="shared" si="164"/>
        <v>186</v>
      </c>
      <c r="I847" s="152">
        <f t="shared" si="169"/>
        <v>3</v>
      </c>
      <c r="J847" s="152">
        <f t="shared" si="170"/>
        <v>22</v>
      </c>
      <c r="K847" s="152">
        <f t="shared" si="171"/>
        <v>201</v>
      </c>
      <c r="L847" s="152">
        <f t="shared" si="172"/>
        <v>18</v>
      </c>
      <c r="M847" s="152">
        <f t="shared" si="173"/>
        <v>1</v>
      </c>
      <c r="N847" s="152">
        <f t="shared" si="174"/>
        <v>11</v>
      </c>
      <c r="P847" s="172">
        <v>70</v>
      </c>
      <c r="AI847" s="154"/>
      <c r="AT847" s="148">
        <v>3</v>
      </c>
      <c r="AU847" s="155">
        <v>22</v>
      </c>
      <c r="AV847" s="155" t="str">
        <f>DEC2HEX(AU847)</f>
        <v>16</v>
      </c>
      <c r="AY847" s="148">
        <v>1</v>
      </c>
      <c r="AZ847" s="155">
        <v>11</v>
      </c>
      <c r="BA847" s="174" t="s">
        <v>78</v>
      </c>
      <c r="BB847" s="152" t="s">
        <v>333</v>
      </c>
      <c r="BC847" s="158" t="s">
        <v>414</v>
      </c>
      <c r="BD847" s="150"/>
      <c r="BF847" s="152" t="s">
        <v>589</v>
      </c>
    </row>
    <row r="848" spans="1:58" s="152" customFormat="1" ht="14.25" x14ac:dyDescent="0.2">
      <c r="A848" s="160" t="str">
        <f t="shared" si="167"/>
        <v>A3</v>
      </c>
      <c r="B848" s="152" t="s">
        <v>655</v>
      </c>
      <c r="C848" s="160">
        <f t="shared" si="168"/>
        <v>503.9</v>
      </c>
      <c r="D848" s="160"/>
      <c r="E848" s="170" t="str">
        <f>IF(OR(A848="",B848="",C848=""),"eine der Spalten BAB, FR, km leer?",CONCATENATE(VLOOKUP(VALUE(I848),[1]Grundlage!$A$1:$B$14,2,0),IF(LEFT(A848,1)="A",IF(VALUE(MID(A848,2,10))&lt;10,"A00"&amp;VALUE(MID(A848,2,10)),IF(VALUE(MID(A848,2,10))&lt;100,"A0"&amp;VALUE(MID(A848,2,10)),IF(VALUE(MID(A848,2,10))&lt;1000,"A"&amp;VALUE(MID(A848,2,10))))),IF(LEFT(A848,1)="B",IF(VALUE(MID(A848,2,10))&lt;10,"B00"&amp;VALUE(MID(A848,2,10)),IF(VALUE(MID(A848,2,10))&lt;100,"B0"&amp;VALUE(MID(A848,2,10)),IF(VALUE(MID(A848,2,10))&lt;1000,"B"&amp;VALUE(MID(A848,2,10))))),A848)),"_",IF(NOT(OR(C848=1000,C848&gt;1000)),MID(TEXT((C848+1000)*1000,0),2,6),"keine Meter in Spalte km!!!"),IF(VALUE(I848)=1,CONCATENATE("_",VLOOKUP(IF(V848&gt;0,V848,J848),[1]Grundlage!$A$20:$B$181,2,0)),CONCATENATE("_",B848))))</f>
        <v>UQ_A003_503900_S</v>
      </c>
      <c r="F848" s="152" t="s">
        <v>27</v>
      </c>
      <c r="G848" s="171">
        <f t="shared" si="163"/>
        <v>1199</v>
      </c>
      <c r="H848" s="160">
        <f t="shared" si="164"/>
        <v>186</v>
      </c>
      <c r="I848" s="152">
        <f t="shared" si="169"/>
        <v>3</v>
      </c>
      <c r="J848" s="152">
        <f t="shared" si="170"/>
        <v>23</v>
      </c>
      <c r="K848" s="152">
        <f t="shared" si="171"/>
        <v>201</v>
      </c>
      <c r="L848" s="152">
        <f t="shared" si="172"/>
        <v>18</v>
      </c>
      <c r="M848" s="152">
        <f t="shared" si="173"/>
        <v>1</v>
      </c>
      <c r="N848" s="152">
        <f t="shared" si="174"/>
        <v>12</v>
      </c>
      <c r="P848" s="172">
        <f t="shared" si="175"/>
        <v>66</v>
      </c>
      <c r="AI848" s="154"/>
      <c r="AT848" s="148">
        <v>3</v>
      </c>
      <c r="AU848" s="186">
        <v>23</v>
      </c>
      <c r="AV848" s="155" t="str">
        <f>DEC2HEX(AU848)</f>
        <v>17</v>
      </c>
      <c r="AW848" s="186"/>
      <c r="AX848" s="186"/>
      <c r="AY848" s="187">
        <v>1</v>
      </c>
      <c r="AZ848" s="186">
        <v>12</v>
      </c>
      <c r="BA848" s="186" t="s">
        <v>79</v>
      </c>
      <c r="BB848" s="159" t="s">
        <v>27</v>
      </c>
      <c r="BC848" s="158" t="s">
        <v>414</v>
      </c>
      <c r="BD848" s="150"/>
      <c r="BF848" s="152" t="s">
        <v>590</v>
      </c>
    </row>
    <row r="849" spans="1:58" s="152" customFormat="1" ht="14.25" x14ac:dyDescent="0.2">
      <c r="A849" s="160" t="str">
        <f t="shared" si="167"/>
        <v>A3</v>
      </c>
      <c r="B849" s="152" t="s">
        <v>655</v>
      </c>
      <c r="C849" s="160">
        <f t="shared" si="168"/>
        <v>503.9</v>
      </c>
      <c r="D849" s="160"/>
      <c r="E849" s="170" t="str">
        <f>IF(OR(A849="",B849="",C849=""),"eine der Spalten BAB, FR, km leer?",CONCATENATE(VLOOKUP(VALUE(I849),[1]Grundlage!$A$1:$B$14,2,0),IF(LEFT(A849,1)="A",IF(VALUE(MID(A849,2,10))&lt;10,"A00"&amp;VALUE(MID(A849,2,10)),IF(VALUE(MID(A849,2,10))&lt;100,"A0"&amp;VALUE(MID(A849,2,10)),IF(VALUE(MID(A849,2,10))&lt;1000,"A"&amp;VALUE(MID(A849,2,10))))),IF(LEFT(A849,1)="B",IF(VALUE(MID(A849,2,10))&lt;10,"B00"&amp;VALUE(MID(A849,2,10)),IF(VALUE(MID(A849,2,10))&lt;100,"B0"&amp;VALUE(MID(A849,2,10)),IF(VALUE(MID(A849,2,10))&lt;1000,"B"&amp;VALUE(MID(A849,2,10))))),A849)),"_",IF(NOT(OR(C849=1000,C849&gt;1000)),MID(TEXT((C849+1000)*1000,0),2,6),"keine Meter in Spalte km!!!"),IF(VALUE(I849)=1,CONCATENATE("_",VLOOKUP(IF(V849&gt;0,V849,J849),[1]Grundlage!$A$20:$B$181,2,0)),CONCATENATE("_",B849))))</f>
        <v>UQ_A003_503900_S</v>
      </c>
      <c r="F849" s="152" t="s">
        <v>335</v>
      </c>
      <c r="G849" s="171">
        <f t="shared" si="163"/>
        <v>1199</v>
      </c>
      <c r="H849" s="160">
        <f t="shared" si="164"/>
        <v>186</v>
      </c>
      <c r="I849" s="152">
        <f t="shared" si="169"/>
        <v>3</v>
      </c>
      <c r="J849" s="152">
        <f t="shared" si="170"/>
        <v>25</v>
      </c>
      <c r="K849" s="152">
        <f t="shared" si="171"/>
        <v>201</v>
      </c>
      <c r="L849" s="152">
        <f t="shared" si="172"/>
        <v>18</v>
      </c>
      <c r="M849" s="152">
        <f t="shared" si="173"/>
        <v>1</v>
      </c>
      <c r="N849" s="152">
        <f t="shared" si="174"/>
        <v>13</v>
      </c>
      <c r="P849" s="172">
        <v>49</v>
      </c>
      <c r="AI849" s="154"/>
      <c r="AT849" s="148">
        <v>3</v>
      </c>
      <c r="AU849" s="155">
        <v>25</v>
      </c>
      <c r="AV849" s="155" t="str">
        <f>DEC2HEX(AU849)</f>
        <v>19</v>
      </c>
      <c r="AY849" s="148">
        <v>1</v>
      </c>
      <c r="AZ849" s="155">
        <v>13</v>
      </c>
      <c r="BA849" s="174" t="s">
        <v>80</v>
      </c>
      <c r="BB849" s="152" t="s">
        <v>335</v>
      </c>
      <c r="BC849" s="158" t="s">
        <v>413</v>
      </c>
      <c r="BD849" s="150"/>
      <c r="BF849" s="152" t="s">
        <v>591</v>
      </c>
    </row>
    <row r="850" spans="1:58" s="152" customFormat="1" ht="14.25" x14ac:dyDescent="0.2">
      <c r="A850" s="160" t="str">
        <f t="shared" si="167"/>
        <v>A3</v>
      </c>
      <c r="B850" s="152" t="s">
        <v>655</v>
      </c>
      <c r="C850" s="160">
        <f t="shared" si="168"/>
        <v>503.9</v>
      </c>
      <c r="D850" s="160"/>
      <c r="E850" s="170" t="str">
        <f>IF(OR(A850="",B850="",C850=""),"eine der Spalten BAB, FR, km leer?",CONCATENATE(VLOOKUP(VALUE(I850),[1]Grundlage!$A$1:$B$14,2,0),IF(LEFT(A850,1)="A",IF(VALUE(MID(A850,2,10))&lt;10,"A00"&amp;VALUE(MID(A850,2,10)),IF(VALUE(MID(A850,2,10))&lt;100,"A0"&amp;VALUE(MID(A850,2,10)),IF(VALUE(MID(A850,2,10))&lt;1000,"A"&amp;VALUE(MID(A850,2,10))))),IF(LEFT(A850,1)="B",IF(VALUE(MID(A850,2,10))&lt;10,"B00"&amp;VALUE(MID(A850,2,10)),IF(VALUE(MID(A850,2,10))&lt;100,"B0"&amp;VALUE(MID(A850,2,10)),IF(VALUE(MID(A850,2,10))&lt;1000,"B"&amp;VALUE(MID(A850,2,10))))),A850)),"_",IF(NOT(OR(C850=1000,C850&gt;1000)),MID(TEXT((C850+1000)*1000,0),2,6),"keine Meter in Spalte km!!!"),IF(VALUE(I850)=1,CONCATENATE("_",VLOOKUP(IF(V850&gt;0,V850,J850),[1]Grundlage!$A$20:$B$181,2,0)),CONCATENATE("_",B850))))</f>
        <v>UQ_A003_503900_S</v>
      </c>
      <c r="F850" s="152" t="s">
        <v>337</v>
      </c>
      <c r="G850" s="171">
        <f t="shared" si="163"/>
        <v>1199</v>
      </c>
      <c r="H850" s="160">
        <f t="shared" si="164"/>
        <v>186</v>
      </c>
      <c r="I850" s="152">
        <f t="shared" si="169"/>
        <v>3</v>
      </c>
      <c r="J850" s="152">
        <f t="shared" si="170"/>
        <v>102</v>
      </c>
      <c r="K850" s="152">
        <f t="shared" si="171"/>
        <v>201</v>
      </c>
      <c r="L850" s="152">
        <f t="shared" si="172"/>
        <v>18</v>
      </c>
      <c r="M850" s="152">
        <f t="shared" si="173"/>
        <v>1</v>
      </c>
      <c r="N850" s="152">
        <f t="shared" si="174"/>
        <v>14</v>
      </c>
      <c r="P850" s="172">
        <v>72</v>
      </c>
      <c r="AI850" s="154"/>
      <c r="AT850" s="148">
        <v>3</v>
      </c>
      <c r="AU850" s="155">
        <v>102</v>
      </c>
      <c r="AV850" s="155" t="str">
        <f>DEC2HEX(AU850)</f>
        <v>66</v>
      </c>
      <c r="AY850" s="148">
        <v>1</v>
      </c>
      <c r="AZ850" s="155">
        <v>14</v>
      </c>
      <c r="BA850" s="174" t="s">
        <v>81</v>
      </c>
      <c r="BB850" s="152" t="s">
        <v>337</v>
      </c>
      <c r="BC850" s="158" t="s">
        <v>414</v>
      </c>
      <c r="BD850" s="150"/>
      <c r="BF850" s="152" t="s">
        <v>592</v>
      </c>
    </row>
    <row r="851" spans="1:58" s="152" customFormat="1" ht="14.25" x14ac:dyDescent="0.2">
      <c r="A851" s="160" t="str">
        <f t="shared" si="167"/>
        <v>A3</v>
      </c>
      <c r="C851" s="160">
        <f t="shared" si="168"/>
        <v>503.9</v>
      </c>
      <c r="D851" s="160" t="str">
        <f t="shared" si="165"/>
        <v/>
      </c>
      <c r="E851" s="169" t="str">
        <f>IF(OR(A851="",B851="",C851=""),"",CONCATENATE(VLOOKUP(VALUE(I851),[1]Grundlage!$A$1:$B$14,2,0),IF(LEFT(A851,1)="A",IF(VALUE(MID(A851,2,10))&lt;10,"A00"&amp;VALUE(MID(A851,2,10)),IF(VALUE(MID(A851,2,10))&lt;100,"A0"&amp;VALUE(MID(A851,2,10)),IF(VALUE(MID(A851,2,10))&lt;1000,"A"&amp;VALUE(MID(A851,2,10))))),IF(LEFT(A851,1)="B",IF(VALUE(MID(A851,2,10))&lt;10,"B00"&amp;VALUE(MID(A851,2,10)),IF(VALUE(MID(A851,2,10))&lt;100,"B0"&amp;VALUE(MID(A851,2,10)),IF(VALUE(MID(A851,2,10))&lt;1000,"B"&amp;VALUE(MID(A851,2,10))))),A851)),"_",IF(NOT(OR(C851=1000,C851&gt;1000)),MID(TEXT((C851+1000)*1000,0),2,6),"keine Meter in Spalte km!!!"),IF(VALUE(I851)=1,CONCATENATE("_",VLOOKUP(IF(V851&gt;0,V851,J851),[1]Grundlage!$A$20:$B$181,2,0)),CONCATENATE("_",B851))))</f>
        <v/>
      </c>
      <c r="F851" s="152" t="s">
        <v>669</v>
      </c>
      <c r="G851" s="171">
        <f t="shared" si="163"/>
        <v>1199</v>
      </c>
      <c r="H851" s="160">
        <f t="shared" si="164"/>
        <v>186</v>
      </c>
      <c r="I851" s="152">
        <f t="shared" si="169"/>
        <v>0</v>
      </c>
      <c r="J851" s="152">
        <f t="shared" si="170"/>
        <v>0</v>
      </c>
      <c r="K851" s="152">
        <f t="shared" si="171"/>
        <v>201</v>
      </c>
      <c r="L851" s="152">
        <f t="shared" si="172"/>
        <v>18</v>
      </c>
      <c r="M851" s="152" t="str">
        <f t="shared" si="173"/>
        <v/>
      </c>
      <c r="N851" s="152" t="str">
        <f t="shared" si="174"/>
        <v/>
      </c>
      <c r="P851" s="172" t="str">
        <f t="shared" si="175"/>
        <v/>
      </c>
      <c r="AI851" s="154"/>
      <c r="BC851" s="150"/>
      <c r="BD851" s="150"/>
    </row>
    <row r="852" spans="1:58" s="152" customFormat="1" ht="14.25" x14ac:dyDescent="0.2">
      <c r="A852" s="160" t="s">
        <v>58</v>
      </c>
      <c r="B852" s="152" t="s">
        <v>655</v>
      </c>
      <c r="C852" s="160">
        <f t="shared" si="168"/>
        <v>203.05</v>
      </c>
      <c r="D852" s="160"/>
      <c r="E852" s="170" t="str">
        <f>IF(OR(A852="",B852="",C852=""),"eine der Spalten BAB, FR, km leer?",CONCATENATE(VLOOKUP(VALUE(I852),[1]Grundlage!$A$1:$B$14,2,0),IF(LEFT(A852,1)="A",IF(VALUE(MID(A852,2,10))&lt;10,"A00"&amp;VALUE(MID(A852,2,10)),IF(VALUE(MID(A852,2,10))&lt;100,"A0"&amp;VALUE(MID(A852,2,10)),IF(VALUE(MID(A852,2,10))&lt;1000,"A"&amp;VALUE(MID(A852,2,10))))),IF(LEFT(A852,1)="B",IF(VALUE(MID(A852,2,10))&lt;10,"B00"&amp;VALUE(MID(A852,2,10)),IF(VALUE(MID(A852,2,10))&lt;100,"B0"&amp;VALUE(MID(A852,2,10)),IF(VALUE(MID(A852,2,10))&lt;1000,"B"&amp;VALUE(MID(A852,2,10))))),A852)),"_",IF(NOT(OR(C852=1000,C852&gt;1000)),MID(TEXT((C852+1000)*1000,0),2,6),"keine Meter in Spalte km!!!"),IF(VALUE(I852)=1,CONCATENATE("_",VLOOKUP(IF(V852&gt;0,V852,J852),[1]Grundlage!$A$20:$B$181,2,0)),CONCATENATE("_",B852))))</f>
        <v>SSt_A093_203050_S</v>
      </c>
      <c r="F852" s="152" t="s">
        <v>61</v>
      </c>
      <c r="G852" s="171">
        <f t="shared" si="163"/>
        <v>36394</v>
      </c>
      <c r="H852" s="160">
        <f t="shared" si="164"/>
        <v>220</v>
      </c>
      <c r="I852" s="152">
        <f t="shared" si="169"/>
        <v>0</v>
      </c>
      <c r="J852" s="152">
        <f t="shared" si="170"/>
        <v>0</v>
      </c>
      <c r="K852" s="152">
        <f t="shared" si="171"/>
        <v>201</v>
      </c>
      <c r="L852" s="152">
        <f t="shared" si="172"/>
        <v>19</v>
      </c>
      <c r="M852" s="152">
        <f t="shared" si="173"/>
        <v>19</v>
      </c>
      <c r="N852" s="152" t="str">
        <f t="shared" si="174"/>
        <v/>
      </c>
      <c r="P852" s="172" t="str">
        <f t="shared" si="175"/>
        <v/>
      </c>
      <c r="AI852" s="173">
        <v>203.05</v>
      </c>
      <c r="AJ852" s="148" t="s">
        <v>19</v>
      </c>
      <c r="AK852" s="148" t="s">
        <v>122</v>
      </c>
      <c r="AL852" s="148"/>
      <c r="AM852" s="148"/>
      <c r="AN852" s="148"/>
      <c r="AO852" s="148"/>
      <c r="AP852" s="148">
        <v>9317084</v>
      </c>
      <c r="AQ852" s="158" t="s">
        <v>239</v>
      </c>
      <c r="AR852" s="158" t="s">
        <v>152</v>
      </c>
      <c r="AS852" s="158" t="s">
        <v>257</v>
      </c>
      <c r="AT852" s="148"/>
      <c r="AU852" s="148"/>
      <c r="AV852" s="148"/>
      <c r="AW852" s="148">
        <v>201</v>
      </c>
      <c r="AX852" s="148">
        <v>19</v>
      </c>
      <c r="AY852" s="148">
        <v>19</v>
      </c>
      <c r="AZ852" s="148"/>
      <c r="BA852" s="148"/>
      <c r="BB852" s="149" t="s">
        <v>61</v>
      </c>
      <c r="BC852" s="150"/>
      <c r="BD852" s="158" t="s">
        <v>163</v>
      </c>
      <c r="BE852" s="152" t="s">
        <v>61</v>
      </c>
      <c r="BF852" s="152" t="s">
        <v>451</v>
      </c>
    </row>
    <row r="853" spans="1:58" s="152" customFormat="1" ht="14.25" x14ac:dyDescent="0.2">
      <c r="A853" s="160" t="str">
        <f t="shared" si="167"/>
        <v>A93</v>
      </c>
      <c r="B853" s="152" t="s">
        <v>655</v>
      </c>
      <c r="C853" s="160">
        <f t="shared" si="168"/>
        <v>203.05</v>
      </c>
      <c r="D853" s="160"/>
      <c r="E853" s="170" t="str">
        <f>IF(OR(A853="",B853="",C853=""),"eine der Spalten BAB, FR, km leer?",CONCATENATE(VLOOKUP(VALUE(I853),[1]Grundlage!$A$1:$B$14,2,0),IF(LEFT(A853,1)="A",IF(VALUE(MID(A853,2,10))&lt;10,"A00"&amp;VALUE(MID(A853,2,10)),IF(VALUE(MID(A853,2,10))&lt;100,"A0"&amp;VALUE(MID(A853,2,10)),IF(VALUE(MID(A853,2,10))&lt;1000,"A"&amp;VALUE(MID(A853,2,10))))),IF(LEFT(A853,1)="B",IF(VALUE(MID(A853,2,10))&lt;10,"B00"&amp;VALUE(MID(A853,2,10)),IF(VALUE(MID(A853,2,10))&lt;100,"B0"&amp;VALUE(MID(A853,2,10)),IF(VALUE(MID(A853,2,10))&lt;1000,"B"&amp;VALUE(MID(A853,2,10))))),A853)),"_",IF(NOT(OR(C853=1000,C853&gt;1000)),MID(TEXT((C853+1000)*1000,0),2,6),"keine Meter in Spalte km!!!"),IF(VALUE(I853)=1,CONCATENATE("_",VLOOKUP(IF(V853&gt;0,V853,J853),[1]Grundlage!$A$20:$B$181,2,0)),CONCATENATE("_",B853))))</f>
        <v>UQ_A093_203050_S</v>
      </c>
      <c r="F853" s="152" t="s">
        <v>269</v>
      </c>
      <c r="G853" s="171">
        <f t="shared" si="163"/>
        <v>36394</v>
      </c>
      <c r="H853" s="160">
        <f t="shared" si="164"/>
        <v>220</v>
      </c>
      <c r="I853" s="152">
        <f t="shared" si="169"/>
        <v>3</v>
      </c>
      <c r="J853" s="152">
        <f t="shared" si="170"/>
        <v>6</v>
      </c>
      <c r="K853" s="152">
        <f t="shared" si="171"/>
        <v>201</v>
      </c>
      <c r="L853" s="152">
        <f t="shared" si="172"/>
        <v>19</v>
      </c>
      <c r="M853" s="152">
        <f t="shared" si="173"/>
        <v>1</v>
      </c>
      <c r="N853" s="152">
        <f t="shared" si="174"/>
        <v>1</v>
      </c>
      <c r="P853" s="172">
        <f t="shared" si="175"/>
        <v>71</v>
      </c>
      <c r="AI853" s="154"/>
      <c r="AT853" s="148">
        <v>3</v>
      </c>
      <c r="AU853" s="155">
        <v>6</v>
      </c>
      <c r="AV853" s="156">
        <v>6</v>
      </c>
      <c r="AW853" s="148"/>
      <c r="AX853" s="148"/>
      <c r="AY853" s="148">
        <v>1</v>
      </c>
      <c r="AZ853" s="155">
        <v>1</v>
      </c>
      <c r="BA853" s="178">
        <f>AZ853</f>
        <v>1</v>
      </c>
      <c r="BB853" s="159" t="s">
        <v>269</v>
      </c>
      <c r="BC853" s="150"/>
      <c r="BD853" s="150"/>
      <c r="BF853" s="152" t="s">
        <v>440</v>
      </c>
    </row>
    <row r="854" spans="1:58" s="152" customFormat="1" ht="14.25" x14ac:dyDescent="0.2">
      <c r="A854" s="160" t="str">
        <f t="shared" si="167"/>
        <v>A93</v>
      </c>
      <c r="B854" s="152" t="s">
        <v>655</v>
      </c>
      <c r="C854" s="160">
        <f t="shared" si="168"/>
        <v>203.05</v>
      </c>
      <c r="D854" s="160"/>
      <c r="E854" s="170" t="str">
        <f>IF(OR(A854="",B854="",C854=""),"eine der Spalten BAB, FR, km leer?",CONCATENATE(VLOOKUP(VALUE(I854),[1]Grundlage!$A$1:$B$14,2,0),IF(LEFT(A854,1)="A",IF(VALUE(MID(A854,2,10))&lt;10,"A00"&amp;VALUE(MID(A854,2,10)),IF(VALUE(MID(A854,2,10))&lt;100,"A0"&amp;VALUE(MID(A854,2,10)),IF(VALUE(MID(A854,2,10))&lt;1000,"A"&amp;VALUE(MID(A854,2,10))))),IF(LEFT(A854,1)="B",IF(VALUE(MID(A854,2,10))&lt;10,"B00"&amp;VALUE(MID(A854,2,10)),IF(VALUE(MID(A854,2,10))&lt;100,"B0"&amp;VALUE(MID(A854,2,10)),IF(VALUE(MID(A854,2,10))&lt;1000,"B"&amp;VALUE(MID(A854,2,10))))),A854)),"_",IF(NOT(OR(C854=1000,C854&gt;1000)),MID(TEXT((C854+1000)*1000,0),2,6),"keine Meter in Spalte km!!!"),IF(VALUE(I854)=1,CONCATENATE("_",VLOOKUP(IF(V854&gt;0,V854,J854),[1]Grundlage!$A$20:$B$181,2,0)),CONCATENATE("_",B854))))</f>
        <v>UQ_A093_203050_S</v>
      </c>
      <c r="F854" s="152" t="s">
        <v>270</v>
      </c>
      <c r="G854" s="171">
        <f t="shared" si="163"/>
        <v>36394</v>
      </c>
      <c r="H854" s="160">
        <f t="shared" si="164"/>
        <v>220</v>
      </c>
      <c r="I854" s="152">
        <f t="shared" si="169"/>
        <v>3</v>
      </c>
      <c r="J854" s="152">
        <f t="shared" si="170"/>
        <v>11</v>
      </c>
      <c r="K854" s="152">
        <f t="shared" si="171"/>
        <v>201</v>
      </c>
      <c r="L854" s="152">
        <f t="shared" si="172"/>
        <v>19</v>
      </c>
      <c r="M854" s="152">
        <f t="shared" si="173"/>
        <v>1</v>
      </c>
      <c r="N854" s="152">
        <f t="shared" si="174"/>
        <v>2</v>
      </c>
      <c r="P854" s="172">
        <f t="shared" si="175"/>
        <v>70</v>
      </c>
      <c r="AI854" s="154"/>
      <c r="AT854" s="148">
        <v>3</v>
      </c>
      <c r="AU854" s="155">
        <v>11</v>
      </c>
      <c r="AV854" s="155" t="s">
        <v>78</v>
      </c>
      <c r="AY854" s="148">
        <v>1</v>
      </c>
      <c r="AZ854" s="155">
        <v>2</v>
      </c>
      <c r="BA854" s="155">
        <v>2</v>
      </c>
      <c r="BB854" s="159" t="s">
        <v>270</v>
      </c>
      <c r="BC854" s="150"/>
      <c r="BD854" s="150"/>
      <c r="BF854" s="152" t="s">
        <v>478</v>
      </c>
    </row>
    <row r="855" spans="1:58" s="152" customFormat="1" ht="14.25" x14ac:dyDescent="0.2">
      <c r="A855" s="160" t="str">
        <f t="shared" si="167"/>
        <v>A93</v>
      </c>
      <c r="B855" s="152" t="s">
        <v>655</v>
      </c>
      <c r="C855" s="160">
        <f t="shared" si="168"/>
        <v>203.05</v>
      </c>
      <c r="D855" s="160"/>
      <c r="E855" s="170" t="str">
        <f>IF(OR(A855="",B855="",C855=""),"eine der Spalten BAB, FR, km leer?",CONCATENATE(VLOOKUP(VALUE(I855),[1]Grundlage!$A$1:$B$14,2,0),IF(LEFT(A855,1)="A",IF(VALUE(MID(A855,2,10))&lt;10,"A00"&amp;VALUE(MID(A855,2,10)),IF(VALUE(MID(A855,2,10))&lt;100,"A0"&amp;VALUE(MID(A855,2,10)),IF(VALUE(MID(A855,2,10))&lt;1000,"A"&amp;VALUE(MID(A855,2,10))))),IF(LEFT(A855,1)="B",IF(VALUE(MID(A855,2,10))&lt;10,"B00"&amp;VALUE(MID(A855,2,10)),IF(VALUE(MID(A855,2,10))&lt;100,"B0"&amp;VALUE(MID(A855,2,10)),IF(VALUE(MID(A855,2,10))&lt;1000,"B"&amp;VALUE(MID(A855,2,10))))),A855)),"_",IF(NOT(OR(C855=1000,C855&gt;1000)),MID(TEXT((C855+1000)*1000,0),2,6),"keine Meter in Spalte km!!!"),IF(VALUE(I855)=1,CONCATENATE("_",VLOOKUP(IF(V855&gt;0,V855,J855),[1]Grundlage!$A$20:$B$181,2,0)),CONCATENATE("_",B855))))</f>
        <v>UQ_A093_203050_S</v>
      </c>
      <c r="F855" s="152" t="s">
        <v>25</v>
      </c>
      <c r="G855" s="171">
        <f t="shared" si="163"/>
        <v>36394</v>
      </c>
      <c r="H855" s="160">
        <f t="shared" si="164"/>
        <v>220</v>
      </c>
      <c r="I855" s="152">
        <f t="shared" si="169"/>
        <v>3</v>
      </c>
      <c r="J855" s="152">
        <f t="shared" si="170"/>
        <v>12</v>
      </c>
      <c r="K855" s="152">
        <f t="shared" si="171"/>
        <v>201</v>
      </c>
      <c r="L855" s="152">
        <f t="shared" si="172"/>
        <v>19</v>
      </c>
      <c r="M855" s="152">
        <f t="shared" si="173"/>
        <v>1</v>
      </c>
      <c r="N855" s="152">
        <f t="shared" si="174"/>
        <v>3</v>
      </c>
      <c r="P855" s="172">
        <f t="shared" si="175"/>
        <v>48</v>
      </c>
      <c r="AI855" s="154"/>
      <c r="AT855" s="148">
        <v>3</v>
      </c>
      <c r="AU855" s="155">
        <v>12</v>
      </c>
      <c r="AV855" s="155" t="s">
        <v>79</v>
      </c>
      <c r="AY855" s="148">
        <v>1</v>
      </c>
      <c r="AZ855" s="155">
        <v>3</v>
      </c>
      <c r="BA855" s="155">
        <v>3</v>
      </c>
      <c r="BB855" s="152" t="s">
        <v>25</v>
      </c>
      <c r="BC855" s="150"/>
      <c r="BD855" s="150"/>
      <c r="BF855" s="152" t="s">
        <v>441</v>
      </c>
    </row>
    <row r="856" spans="1:58" s="152" customFormat="1" ht="14.25" x14ac:dyDescent="0.2">
      <c r="A856" s="160" t="str">
        <f t="shared" si="167"/>
        <v>A93</v>
      </c>
      <c r="B856" s="152" t="s">
        <v>655</v>
      </c>
      <c r="C856" s="160">
        <f t="shared" si="168"/>
        <v>203.05</v>
      </c>
      <c r="D856" s="160"/>
      <c r="E856" s="170" t="str">
        <f>IF(OR(A856="",B856="",C856=""),"eine der Spalten BAB, FR, km leer?",CONCATENATE(VLOOKUP(VALUE(I856),[1]Grundlage!$A$1:$B$14,2,0),IF(LEFT(A856,1)="A",IF(VALUE(MID(A856,2,10))&lt;10,"A00"&amp;VALUE(MID(A856,2,10)),IF(VALUE(MID(A856,2,10))&lt;100,"A0"&amp;VALUE(MID(A856,2,10)),IF(VALUE(MID(A856,2,10))&lt;1000,"A"&amp;VALUE(MID(A856,2,10))))),IF(LEFT(A856,1)="B",IF(VALUE(MID(A856,2,10))&lt;10,"B00"&amp;VALUE(MID(A856,2,10)),IF(VALUE(MID(A856,2,10))&lt;100,"B0"&amp;VALUE(MID(A856,2,10)),IF(VALUE(MID(A856,2,10))&lt;1000,"B"&amp;VALUE(MID(A856,2,10))))),A856)),"_",IF(NOT(OR(C856=1000,C856&gt;1000)),MID(TEXT((C856+1000)*1000,0),2,6),"keine Meter in Spalte km!!!"),IF(VALUE(I856)=1,CONCATENATE("_",VLOOKUP(IF(V856&gt;0,V856,J856),[1]Grundlage!$A$20:$B$181,2,0)),CONCATENATE("_",B856))))</f>
        <v>UQ_A093_203050_S</v>
      </c>
      <c r="F856" s="152" t="s">
        <v>26</v>
      </c>
      <c r="G856" s="171">
        <f t="shared" si="163"/>
        <v>36394</v>
      </c>
      <c r="H856" s="160">
        <f t="shared" si="164"/>
        <v>220</v>
      </c>
      <c r="I856" s="152">
        <f t="shared" si="169"/>
        <v>3</v>
      </c>
      <c r="J856" s="152">
        <f t="shared" si="170"/>
        <v>13</v>
      </c>
      <c r="K856" s="152">
        <f t="shared" si="171"/>
        <v>201</v>
      </c>
      <c r="L856" s="152">
        <f t="shared" si="172"/>
        <v>19</v>
      </c>
      <c r="M856" s="152">
        <f t="shared" si="173"/>
        <v>1</v>
      </c>
      <c r="N856" s="152">
        <f t="shared" si="174"/>
        <v>4</v>
      </c>
      <c r="P856" s="172">
        <f t="shared" si="175"/>
        <v>55</v>
      </c>
      <c r="AI856" s="154"/>
      <c r="AT856" s="148">
        <v>3</v>
      </c>
      <c r="AU856" s="155">
        <v>13</v>
      </c>
      <c r="AV856" s="155" t="s">
        <v>80</v>
      </c>
      <c r="AY856" s="148">
        <v>1</v>
      </c>
      <c r="AZ856" s="155">
        <v>4</v>
      </c>
      <c r="BA856" s="155">
        <v>4</v>
      </c>
      <c r="BB856" s="152" t="s">
        <v>26</v>
      </c>
      <c r="BC856" s="150"/>
      <c r="BD856" s="150"/>
      <c r="BF856" s="152" t="s">
        <v>442</v>
      </c>
    </row>
    <row r="857" spans="1:58" s="152" customFormat="1" ht="14.25" x14ac:dyDescent="0.2">
      <c r="A857" s="160" t="str">
        <f t="shared" si="167"/>
        <v>A93</v>
      </c>
      <c r="B857" s="152" t="s">
        <v>655</v>
      </c>
      <c r="C857" s="160">
        <f t="shared" si="168"/>
        <v>203.05</v>
      </c>
      <c r="D857" s="160"/>
      <c r="E857" s="170" t="str">
        <f>IF(OR(A857="",B857="",C857=""),"eine der Spalten BAB, FR, km leer?",CONCATENATE(VLOOKUP(VALUE(I857),[1]Grundlage!$A$1:$B$14,2,0),IF(LEFT(A857,1)="A",IF(VALUE(MID(A857,2,10))&lt;10,"A00"&amp;VALUE(MID(A857,2,10)),IF(VALUE(MID(A857,2,10))&lt;100,"A0"&amp;VALUE(MID(A857,2,10)),IF(VALUE(MID(A857,2,10))&lt;1000,"A"&amp;VALUE(MID(A857,2,10))))),IF(LEFT(A857,1)="B",IF(VALUE(MID(A857,2,10))&lt;10,"B00"&amp;VALUE(MID(A857,2,10)),IF(VALUE(MID(A857,2,10))&lt;100,"B0"&amp;VALUE(MID(A857,2,10)),IF(VALUE(MID(A857,2,10))&lt;1000,"B"&amp;VALUE(MID(A857,2,10))))),A857)),"_",IF(NOT(OR(C857=1000,C857&gt;1000)),MID(TEXT((C857+1000)*1000,0),2,6),"keine Meter in Spalte km!!!"),IF(VALUE(I857)=1,CONCATENATE("_",VLOOKUP(IF(V857&gt;0,V857,J857),[1]Grundlage!$A$20:$B$181,2,0)),CONCATENATE("_",B857))))</f>
        <v>UQ_A093_203050_S</v>
      </c>
      <c r="F857" s="152" t="s">
        <v>27</v>
      </c>
      <c r="G857" s="171">
        <f t="shared" si="163"/>
        <v>36394</v>
      </c>
      <c r="H857" s="160">
        <f t="shared" si="164"/>
        <v>220</v>
      </c>
      <c r="I857" s="152">
        <f t="shared" si="169"/>
        <v>3</v>
      </c>
      <c r="J857" s="152">
        <f t="shared" si="170"/>
        <v>14</v>
      </c>
      <c r="K857" s="152">
        <f t="shared" si="171"/>
        <v>201</v>
      </c>
      <c r="L857" s="152">
        <f t="shared" si="172"/>
        <v>19</v>
      </c>
      <c r="M857" s="152">
        <f t="shared" si="173"/>
        <v>1</v>
      </c>
      <c r="N857" s="152">
        <f t="shared" si="174"/>
        <v>5</v>
      </c>
      <c r="P857" s="172">
        <f t="shared" si="175"/>
        <v>66</v>
      </c>
      <c r="AI857" s="154"/>
      <c r="AT857" s="148">
        <v>3</v>
      </c>
      <c r="AU857" s="155">
        <v>14</v>
      </c>
      <c r="AV857" s="155" t="s">
        <v>81</v>
      </c>
      <c r="AY857" s="148">
        <v>1</v>
      </c>
      <c r="AZ857" s="155">
        <v>5</v>
      </c>
      <c r="BA857" s="155">
        <v>5</v>
      </c>
      <c r="BB857" s="152" t="s">
        <v>27</v>
      </c>
      <c r="BC857" s="150"/>
      <c r="BD857" s="150"/>
      <c r="BF857" s="152" t="s">
        <v>443</v>
      </c>
    </row>
    <row r="858" spans="1:58" s="152" customFormat="1" ht="14.25" x14ac:dyDescent="0.2">
      <c r="A858" s="160" t="str">
        <f t="shared" si="167"/>
        <v>A93</v>
      </c>
      <c r="B858" s="152" t="s">
        <v>655</v>
      </c>
      <c r="C858" s="160">
        <f t="shared" si="168"/>
        <v>203.05</v>
      </c>
      <c r="D858" s="160"/>
      <c r="E858" s="170" t="str">
        <f>IF(OR(A858="",B858="",C858=""),"eine der Spalten BAB, FR, km leer?",CONCATENATE(VLOOKUP(VALUE(I858),[1]Grundlage!$A$1:$B$14,2,0),IF(LEFT(A858,1)="A",IF(VALUE(MID(A858,2,10))&lt;10,"A00"&amp;VALUE(MID(A858,2,10)),IF(VALUE(MID(A858,2,10))&lt;100,"A0"&amp;VALUE(MID(A858,2,10)),IF(VALUE(MID(A858,2,10))&lt;1000,"A"&amp;VALUE(MID(A858,2,10))))),IF(LEFT(A858,1)="B",IF(VALUE(MID(A858,2,10))&lt;10,"B00"&amp;VALUE(MID(A858,2,10)),IF(VALUE(MID(A858,2,10))&lt;100,"B0"&amp;VALUE(MID(A858,2,10)),IF(VALUE(MID(A858,2,10))&lt;1000,"B"&amp;VALUE(MID(A858,2,10))))),A858)),"_",IF(NOT(OR(C858=1000,C858&gt;1000)),MID(TEXT((C858+1000)*1000,0),2,6),"keine Meter in Spalte km!!!"),IF(VALUE(I858)=1,CONCATENATE("_",VLOOKUP(IF(V858&gt;0,V858,J858),[1]Grundlage!$A$20:$B$181,2,0)),CONCATENATE("_",B858))))</f>
        <v>UQ_A093_203050_S</v>
      </c>
      <c r="F858" s="152" t="s">
        <v>28</v>
      </c>
      <c r="G858" s="171">
        <f t="shared" si="163"/>
        <v>36394</v>
      </c>
      <c r="H858" s="160">
        <f t="shared" si="164"/>
        <v>220</v>
      </c>
      <c r="I858" s="152">
        <f t="shared" si="169"/>
        <v>3</v>
      </c>
      <c r="J858" s="152">
        <f t="shared" si="170"/>
        <v>15</v>
      </c>
      <c r="K858" s="152">
        <f t="shared" si="171"/>
        <v>201</v>
      </c>
      <c r="L858" s="152">
        <f t="shared" si="172"/>
        <v>19</v>
      </c>
      <c r="M858" s="152">
        <f t="shared" si="173"/>
        <v>1</v>
      </c>
      <c r="N858" s="152">
        <f t="shared" si="174"/>
        <v>6</v>
      </c>
      <c r="P858" s="172">
        <f t="shared" si="175"/>
        <v>65</v>
      </c>
      <c r="AI858" s="154"/>
      <c r="AT858" s="148">
        <v>3</v>
      </c>
      <c r="AU858" s="155">
        <v>15</v>
      </c>
      <c r="AV858" s="155" t="s">
        <v>82</v>
      </c>
      <c r="AY858" s="148">
        <v>1</v>
      </c>
      <c r="AZ858" s="155">
        <v>6</v>
      </c>
      <c r="BA858" s="155">
        <v>6</v>
      </c>
      <c r="BB858" s="152" t="s">
        <v>28</v>
      </c>
      <c r="BC858" s="150"/>
      <c r="BD858" s="150"/>
      <c r="BF858" s="152" t="s">
        <v>482</v>
      </c>
    </row>
    <row r="859" spans="1:58" s="152" customFormat="1" ht="14.25" x14ac:dyDescent="0.2">
      <c r="A859" s="160" t="str">
        <f t="shared" si="167"/>
        <v>A93</v>
      </c>
      <c r="B859" s="152" t="s">
        <v>655</v>
      </c>
      <c r="C859" s="160">
        <f t="shared" si="168"/>
        <v>203.05</v>
      </c>
      <c r="D859" s="160"/>
      <c r="E859" s="170" t="str">
        <f>IF(OR(A859="",B859="",C859=""),"eine der Spalten BAB, FR, km leer?",CONCATENATE(VLOOKUP(VALUE(I859),[1]Grundlage!$A$1:$B$14,2,0),IF(LEFT(A859,1)="A",IF(VALUE(MID(A859,2,10))&lt;10,"A00"&amp;VALUE(MID(A859,2,10)),IF(VALUE(MID(A859,2,10))&lt;100,"A0"&amp;VALUE(MID(A859,2,10)),IF(VALUE(MID(A859,2,10))&lt;1000,"A"&amp;VALUE(MID(A859,2,10))))),IF(LEFT(A859,1)="B",IF(VALUE(MID(A859,2,10))&lt;10,"B00"&amp;VALUE(MID(A859,2,10)),IF(VALUE(MID(A859,2,10))&lt;100,"B0"&amp;VALUE(MID(A859,2,10)),IF(VALUE(MID(A859,2,10))&lt;1000,"B"&amp;VALUE(MID(A859,2,10))))),A859)),"_",IF(NOT(OR(C859=1000,C859&gt;1000)),MID(TEXT((C859+1000)*1000,0),2,6),"keine Meter in Spalte km!!!"),IF(VALUE(I859)=1,CONCATENATE("_",VLOOKUP(IF(V859&gt;0,V859,J859),[1]Grundlage!$A$20:$B$181,2,0)),CONCATENATE("_",B859))))</f>
        <v>UQ_A093_203050_S</v>
      </c>
      <c r="F859" s="152" t="s">
        <v>29</v>
      </c>
      <c r="G859" s="171">
        <f t="shared" si="163"/>
        <v>36394</v>
      </c>
      <c r="H859" s="160">
        <f t="shared" si="164"/>
        <v>220</v>
      </c>
      <c r="I859" s="152">
        <f t="shared" si="169"/>
        <v>3</v>
      </c>
      <c r="J859" s="152">
        <f t="shared" si="170"/>
        <v>19</v>
      </c>
      <c r="K859" s="152">
        <f t="shared" si="171"/>
        <v>201</v>
      </c>
      <c r="L859" s="152">
        <f t="shared" si="172"/>
        <v>19</v>
      </c>
      <c r="M859" s="152">
        <f t="shared" si="173"/>
        <v>1</v>
      </c>
      <c r="N859" s="152">
        <f t="shared" si="174"/>
        <v>7</v>
      </c>
      <c r="P859" s="172">
        <f t="shared" si="175"/>
        <v>49</v>
      </c>
      <c r="AI859" s="154"/>
      <c r="AT859" s="148">
        <v>3</v>
      </c>
      <c r="AU859" s="155">
        <v>19</v>
      </c>
      <c r="AV859" s="155">
        <v>13</v>
      </c>
      <c r="AY859" s="148">
        <v>1</v>
      </c>
      <c r="AZ859" s="155">
        <v>7</v>
      </c>
      <c r="BA859" s="155">
        <v>7</v>
      </c>
      <c r="BB859" s="152" t="s">
        <v>29</v>
      </c>
      <c r="BC859" s="150"/>
      <c r="BD859" s="150"/>
      <c r="BF859" s="152" t="s">
        <v>479</v>
      </c>
    </row>
    <row r="860" spans="1:58" s="152" customFormat="1" ht="14.25" x14ac:dyDescent="0.2">
      <c r="A860" s="160" t="str">
        <f t="shared" si="167"/>
        <v>A93</v>
      </c>
      <c r="B860" s="152" t="s">
        <v>655</v>
      </c>
      <c r="C860" s="160">
        <f t="shared" si="168"/>
        <v>203.05</v>
      </c>
      <c r="D860" s="160"/>
      <c r="E860" s="170" t="str">
        <f>IF(OR(A860="",B860="",C860=""),"eine der Spalten BAB, FR, km leer?",CONCATENATE(VLOOKUP(VALUE(I860),[1]Grundlage!$A$1:$B$14,2,0),IF(LEFT(A860,1)="A",IF(VALUE(MID(A860,2,10))&lt;10,"A00"&amp;VALUE(MID(A860,2,10)),IF(VALUE(MID(A860,2,10))&lt;100,"A0"&amp;VALUE(MID(A860,2,10)),IF(VALUE(MID(A860,2,10))&lt;1000,"A"&amp;VALUE(MID(A860,2,10))))),IF(LEFT(A860,1)="B",IF(VALUE(MID(A860,2,10))&lt;10,"B00"&amp;VALUE(MID(A860,2,10)),IF(VALUE(MID(A860,2,10))&lt;100,"B0"&amp;VALUE(MID(A860,2,10)),IF(VALUE(MID(A860,2,10))&lt;1000,"B"&amp;VALUE(MID(A860,2,10))))),A860)),"_",IF(NOT(OR(C860=1000,C860&gt;1000)),MID(TEXT((C860+1000)*1000,0),2,6),"keine Meter in Spalte km!!!"),IF(VALUE(I860)=1,CONCATENATE("_",VLOOKUP(IF(V860&gt;0,V860,J860),[1]Grundlage!$A$20:$B$181,2,0)),CONCATENATE("_",B860))))</f>
        <v>UQ_A093_203050_S</v>
      </c>
      <c r="F860" s="152" t="s">
        <v>30</v>
      </c>
      <c r="G860" s="171">
        <f t="shared" si="163"/>
        <v>36394</v>
      </c>
      <c r="H860" s="160">
        <f t="shared" si="164"/>
        <v>220</v>
      </c>
      <c r="I860" s="152">
        <f t="shared" si="169"/>
        <v>3</v>
      </c>
      <c r="J860" s="152">
        <f t="shared" si="170"/>
        <v>21</v>
      </c>
      <c r="K860" s="152">
        <f t="shared" si="171"/>
        <v>201</v>
      </c>
      <c r="L860" s="152">
        <f t="shared" si="172"/>
        <v>19</v>
      </c>
      <c r="M860" s="152">
        <f t="shared" si="173"/>
        <v>1</v>
      </c>
      <c r="N860" s="152">
        <f t="shared" si="174"/>
        <v>8</v>
      </c>
      <c r="P860" s="172">
        <f t="shared" si="175"/>
        <v>67</v>
      </c>
      <c r="AI860" s="154"/>
      <c r="AT860" s="148">
        <v>3</v>
      </c>
      <c r="AU860" s="155">
        <v>21</v>
      </c>
      <c r="AV860" s="155">
        <v>15</v>
      </c>
      <c r="AY860" s="148">
        <v>1</v>
      </c>
      <c r="AZ860" s="155">
        <v>8</v>
      </c>
      <c r="BA860" s="155">
        <v>8</v>
      </c>
      <c r="BB860" s="152" t="s">
        <v>30</v>
      </c>
      <c r="BC860" s="150"/>
      <c r="BD860" s="150"/>
      <c r="BF860" s="152" t="s">
        <v>480</v>
      </c>
    </row>
    <row r="861" spans="1:58" s="152" customFormat="1" ht="14.25" x14ac:dyDescent="0.2">
      <c r="A861" s="160" t="str">
        <f t="shared" si="167"/>
        <v>A93</v>
      </c>
      <c r="B861" s="152" t="s">
        <v>655</v>
      </c>
      <c r="C861" s="160">
        <f t="shared" si="168"/>
        <v>203.05</v>
      </c>
      <c r="D861" s="160"/>
      <c r="E861" s="170" t="str">
        <f>IF(OR(A861="",B861="",C861=""),"eine der Spalten BAB, FR, km leer?",CONCATENATE(VLOOKUP(VALUE(I861),[1]Grundlage!$A$1:$B$14,2,0),IF(LEFT(A861,1)="A",IF(VALUE(MID(A861,2,10))&lt;10,"A00"&amp;VALUE(MID(A861,2,10)),IF(VALUE(MID(A861,2,10))&lt;100,"A0"&amp;VALUE(MID(A861,2,10)),IF(VALUE(MID(A861,2,10))&lt;1000,"A"&amp;VALUE(MID(A861,2,10))))),IF(LEFT(A861,1)="B",IF(VALUE(MID(A861,2,10))&lt;10,"B00"&amp;VALUE(MID(A861,2,10)),IF(VALUE(MID(A861,2,10))&lt;100,"B0"&amp;VALUE(MID(A861,2,10)),IF(VALUE(MID(A861,2,10))&lt;1000,"B"&amp;VALUE(MID(A861,2,10))))),A861)),"_",IF(NOT(OR(C861=1000,C861&gt;1000)),MID(TEXT((C861+1000)*1000,0),2,6),"keine Meter in Spalte km!!!"),IF(VALUE(I861)=1,CONCATENATE("_",VLOOKUP(IF(V861&gt;0,V861,J861),[1]Grundlage!$A$20:$B$181,2,0)),CONCATENATE("_",B861))))</f>
        <v>UQ_A093_203050_S</v>
      </c>
      <c r="F861" s="152" t="s">
        <v>41</v>
      </c>
      <c r="G861" s="171">
        <f t="shared" si="163"/>
        <v>36394</v>
      </c>
      <c r="H861" s="160">
        <f t="shared" si="164"/>
        <v>220</v>
      </c>
      <c r="I861" s="152">
        <f t="shared" si="169"/>
        <v>3</v>
      </c>
      <c r="J861" s="152">
        <f t="shared" si="170"/>
        <v>24</v>
      </c>
      <c r="K861" s="152">
        <f t="shared" si="171"/>
        <v>201</v>
      </c>
      <c r="L861" s="152">
        <f t="shared" si="172"/>
        <v>19</v>
      </c>
      <c r="M861" s="152">
        <f t="shared" si="173"/>
        <v>1</v>
      </c>
      <c r="N861" s="152">
        <f t="shared" si="174"/>
        <v>9</v>
      </c>
      <c r="P861" s="172">
        <f t="shared" si="175"/>
        <v>69</v>
      </c>
      <c r="AI861" s="154"/>
      <c r="AT861" s="148">
        <v>3</v>
      </c>
      <c r="AU861" s="155">
        <v>24</v>
      </c>
      <c r="AV861" s="155">
        <v>18</v>
      </c>
      <c r="AY861" s="148">
        <v>1</v>
      </c>
      <c r="AZ861" s="155">
        <v>9</v>
      </c>
      <c r="BA861" s="155">
        <v>9</v>
      </c>
      <c r="BB861" s="152" t="s">
        <v>41</v>
      </c>
      <c r="BC861" s="150"/>
      <c r="BD861" s="150"/>
      <c r="BF861" s="152" t="s">
        <v>465</v>
      </c>
    </row>
    <row r="862" spans="1:58" s="152" customFormat="1" ht="14.25" x14ac:dyDescent="0.2">
      <c r="A862" s="160" t="str">
        <f t="shared" si="167"/>
        <v>A93</v>
      </c>
      <c r="B862" s="152" t="s">
        <v>655</v>
      </c>
      <c r="C862" s="160">
        <f t="shared" si="168"/>
        <v>203.05</v>
      </c>
      <c r="D862" s="160"/>
      <c r="E862" s="170" t="str">
        <f>IF(OR(A862="",B862="",C862=""),"eine der Spalten BAB, FR, km leer?",CONCATENATE(VLOOKUP(VALUE(I862),[1]Grundlage!$A$1:$B$14,2,0),IF(LEFT(A862,1)="A",IF(VALUE(MID(A862,2,10))&lt;10,"A00"&amp;VALUE(MID(A862,2,10)),IF(VALUE(MID(A862,2,10))&lt;100,"A0"&amp;VALUE(MID(A862,2,10)),IF(VALUE(MID(A862,2,10))&lt;1000,"A"&amp;VALUE(MID(A862,2,10))))),IF(LEFT(A862,1)="B",IF(VALUE(MID(A862,2,10))&lt;10,"B00"&amp;VALUE(MID(A862,2,10)),IF(VALUE(MID(A862,2,10))&lt;100,"B0"&amp;VALUE(MID(A862,2,10)),IF(VALUE(MID(A862,2,10))&lt;1000,"B"&amp;VALUE(MID(A862,2,10))))),A862)),"_",IF(NOT(OR(C862=1000,C862&gt;1000)),MID(TEXT((C862+1000)*1000,0),2,6),"keine Meter in Spalte km!!!"),IF(VALUE(I862)=1,CONCATENATE("_",VLOOKUP(IF(V862&gt;0,V862,J862),[1]Grundlage!$A$20:$B$181,2,0)),CONCATENATE("_",B862))))</f>
        <v>UQ_A093_203050_S</v>
      </c>
      <c r="F862" s="152" t="s">
        <v>271</v>
      </c>
      <c r="G862" s="171">
        <f t="shared" si="163"/>
        <v>36394</v>
      </c>
      <c r="H862" s="160">
        <f t="shared" si="164"/>
        <v>220</v>
      </c>
      <c r="I862" s="152">
        <f t="shared" si="169"/>
        <v>3</v>
      </c>
      <c r="J862" s="152">
        <f t="shared" si="170"/>
        <v>67</v>
      </c>
      <c r="K862" s="152">
        <f t="shared" si="171"/>
        <v>201</v>
      </c>
      <c r="L862" s="152">
        <f t="shared" si="172"/>
        <v>19</v>
      </c>
      <c r="M862" s="152">
        <f t="shared" si="173"/>
        <v>1</v>
      </c>
      <c r="N862" s="152">
        <f t="shared" si="174"/>
        <v>10</v>
      </c>
      <c r="P862" s="172">
        <f t="shared" si="175"/>
        <v>53</v>
      </c>
      <c r="AI862" s="154"/>
      <c r="AT862" s="148">
        <v>3</v>
      </c>
      <c r="AU862" s="155">
        <v>67</v>
      </c>
      <c r="AV862" s="155">
        <v>43</v>
      </c>
      <c r="AY862" s="148">
        <v>1</v>
      </c>
      <c r="AZ862" s="155">
        <v>10</v>
      </c>
      <c r="BA862" s="174" t="s">
        <v>95</v>
      </c>
      <c r="BB862" s="152" t="s">
        <v>271</v>
      </c>
      <c r="BC862" s="150"/>
      <c r="BD862" s="150"/>
      <c r="BF862" s="152" t="s">
        <v>444</v>
      </c>
    </row>
    <row r="863" spans="1:58" s="152" customFormat="1" ht="14.25" x14ac:dyDescent="0.2">
      <c r="A863" s="160" t="str">
        <f t="shared" si="167"/>
        <v>A93</v>
      </c>
      <c r="B863" s="152" t="s">
        <v>655</v>
      </c>
      <c r="C863" s="160">
        <f t="shared" si="168"/>
        <v>203.05</v>
      </c>
      <c r="D863" s="160"/>
      <c r="E863" s="170" t="str">
        <f>IF(OR(A863="",B863="",C863=""),"eine der Spalten BAB, FR, km leer?",CONCATENATE(VLOOKUP(VALUE(I863),[1]Grundlage!$A$1:$B$14,2,0),IF(LEFT(A863,1)="A",IF(VALUE(MID(A863,2,10))&lt;10,"A00"&amp;VALUE(MID(A863,2,10)),IF(VALUE(MID(A863,2,10))&lt;100,"A0"&amp;VALUE(MID(A863,2,10)),IF(VALUE(MID(A863,2,10))&lt;1000,"A"&amp;VALUE(MID(A863,2,10))))),IF(LEFT(A863,1)="B",IF(VALUE(MID(A863,2,10))&lt;10,"B00"&amp;VALUE(MID(A863,2,10)),IF(VALUE(MID(A863,2,10))&lt;100,"B0"&amp;VALUE(MID(A863,2,10)),IF(VALUE(MID(A863,2,10))&lt;1000,"B"&amp;VALUE(MID(A863,2,10))))),A863)),"_",IF(NOT(OR(C863=1000,C863&gt;1000)),MID(TEXT((C863+1000)*1000,0),2,6),"keine Meter in Spalte km!!!"),IF(VALUE(I863)=1,CONCATENATE("_",VLOOKUP(IF(V863&gt;0,V863,J863),[1]Grundlage!$A$20:$B$181,2,0)),CONCATENATE("_",B863))))</f>
        <v>UQ_A093_203050_S</v>
      </c>
      <c r="F863" s="152" t="s">
        <v>272</v>
      </c>
      <c r="G863" s="171">
        <f t="shared" si="163"/>
        <v>36394</v>
      </c>
      <c r="H863" s="160">
        <f t="shared" si="164"/>
        <v>220</v>
      </c>
      <c r="I863" s="152">
        <f t="shared" si="169"/>
        <v>3</v>
      </c>
      <c r="J863" s="152">
        <f t="shared" si="170"/>
        <v>82</v>
      </c>
      <c r="K863" s="152">
        <f t="shared" si="171"/>
        <v>201</v>
      </c>
      <c r="L863" s="152">
        <f t="shared" si="172"/>
        <v>19</v>
      </c>
      <c r="M863" s="152">
        <f t="shared" si="173"/>
        <v>1</v>
      </c>
      <c r="N863" s="152">
        <f t="shared" si="174"/>
        <v>11</v>
      </c>
      <c r="P863" s="172">
        <f t="shared" si="175"/>
        <v>72</v>
      </c>
      <c r="AI863" s="154"/>
      <c r="AT863" s="148">
        <v>3</v>
      </c>
      <c r="AU863" s="155">
        <v>82</v>
      </c>
      <c r="AV863" s="155">
        <v>52</v>
      </c>
      <c r="AY863" s="148">
        <v>1</v>
      </c>
      <c r="AZ863" s="155">
        <v>11</v>
      </c>
      <c r="BA863" s="174" t="s">
        <v>78</v>
      </c>
      <c r="BB863" s="152" t="s">
        <v>272</v>
      </c>
      <c r="BC863" s="150"/>
      <c r="BD863" s="150"/>
      <c r="BF863" s="152" t="s">
        <v>481</v>
      </c>
    </row>
    <row r="864" spans="1:58" ht="14.25" x14ac:dyDescent="0.2">
      <c r="A864" t="str">
        <f t="shared" si="167"/>
        <v>A93</v>
      </c>
      <c r="C864">
        <f t="shared" si="168"/>
        <v>203.05</v>
      </c>
      <c r="D864" t="str">
        <f t="shared" ref="D864" si="176">IF(AJ864="SST","SS",IF(AND(AJ864="",ISTEXT(BF864)),"UFD",""))</f>
        <v/>
      </c>
      <c r="E864" s="169" t="str">
        <f>IF(OR(A864="",B864="",C864=""),"",CONCATENATE(VLOOKUP(VALUE(I864),[1]Grundlage!$A$1:$B$14,2,0),IF(LEFT(A864,1)="A",IF(VALUE(MID(A864,2,10))&lt;10,"A00"&amp;VALUE(MID(A864,2,10)),IF(VALUE(MID(A864,2,10))&lt;100,"A0"&amp;VALUE(MID(A864,2,10)),IF(VALUE(MID(A864,2,10))&lt;1000,"A"&amp;VALUE(MID(A864,2,10))))),IF(LEFT(A864,1)="B",IF(VALUE(MID(A864,2,10))&lt;10,"B00"&amp;VALUE(MID(A864,2,10)),IF(VALUE(MID(A864,2,10))&lt;100,"B0"&amp;VALUE(MID(A864,2,10)),IF(VALUE(MID(A864,2,10))&lt;1000,"B"&amp;VALUE(MID(A864,2,10))))),A864)),"_",IF(NOT(OR(C864=1000,C864&gt;1000)),MID(TEXT((C864+1000)*1000,0),2,6),"keine Meter in Spalte km!!!"),IF(VALUE(I864)=1,CONCATENATE("_",VLOOKUP(IF(V864&gt;0,V864,J864),[1]Grundlage!$A$20:$B$181,2,0)),CONCATENATE("_",B864))))</f>
        <v/>
      </c>
      <c r="F864" s="2" t="s">
        <v>669</v>
      </c>
      <c r="G864" s="167">
        <f t="shared" si="163"/>
        <v>36394</v>
      </c>
      <c r="H864">
        <f t="shared" si="164"/>
        <v>220</v>
      </c>
      <c r="I864" s="2">
        <f t="shared" si="169"/>
        <v>0</v>
      </c>
      <c r="J864" s="2">
        <f t="shared" si="170"/>
        <v>0</v>
      </c>
      <c r="K864" s="2">
        <f t="shared" si="171"/>
        <v>201</v>
      </c>
      <c r="L864" s="2">
        <f t="shared" si="172"/>
        <v>19</v>
      </c>
      <c r="M864" s="2" t="str">
        <f t="shared" si="173"/>
        <v/>
      </c>
      <c r="N864" s="2" t="str">
        <f t="shared" si="174"/>
        <v/>
      </c>
      <c r="P864" s="168" t="str">
        <f t="shared" si="175"/>
        <v/>
      </c>
      <c r="AT864" s="19"/>
      <c r="AU864" s="14"/>
      <c r="AV864" s="14"/>
      <c r="AY864" s="1"/>
      <c r="AZ864" s="14"/>
      <c r="BB864" s="13"/>
    </row>
    <row r="865" spans="1:58" s="152" customFormat="1" ht="14.25" x14ac:dyDescent="0.2">
      <c r="A865" s="160" t="s">
        <v>659</v>
      </c>
      <c r="B865" s="152" t="s">
        <v>655</v>
      </c>
      <c r="C865" s="160">
        <f t="shared" si="168"/>
        <v>0.03</v>
      </c>
      <c r="D865" s="160"/>
      <c r="E865" s="170" t="str">
        <f>IF(OR(A865="",B865="",C865=""),"eine der Spalten BAB, FR, km leer?",CONCATENATE(VLOOKUP(VALUE(I865),[1]Grundlage!$A$1:$B$14,2,0),IF(LEFT(A865,1)="A",IF(VALUE(MID(A865,2,10))&lt;10,"A00"&amp;VALUE(MID(A865,2,10)),IF(VALUE(MID(A865,2,10))&lt;100,"A0"&amp;VALUE(MID(A865,2,10)),IF(VALUE(MID(A865,2,10))&lt;1000,"A"&amp;VALUE(MID(A865,2,10))))),IF(LEFT(A865,1)="B",IF(VALUE(MID(A865,2,10))&lt;10,"B00"&amp;VALUE(MID(A865,2,10)),IF(VALUE(MID(A865,2,10))&lt;100,"B0"&amp;VALUE(MID(A865,2,10)),IF(VALUE(MID(A865,2,10))&lt;1000,"B"&amp;VALUE(MID(A865,2,10))))),A865)),"_",IF(NOT(OR(C865=1000,C865&gt;1000)),MID(TEXT((C865+1000)*1000,0),2,6),"keine Meter in Spalte km!!!"),IF(VALUE(I865)=1,CONCATENATE("_",VLOOKUP(IF(V865&gt;0,V865,J865),[1]Grundlage!$A$20:$B$181,2,0)),CONCATENATE("_",B865))))</f>
        <v>SSt_B015_000030_S</v>
      </c>
      <c r="F865" s="152" t="s">
        <v>170</v>
      </c>
      <c r="G865" s="171">
        <f t="shared" si="163"/>
        <v>43027</v>
      </c>
      <c r="H865" s="160">
        <f t="shared" si="164"/>
        <v>99</v>
      </c>
      <c r="I865" s="152">
        <f t="shared" si="169"/>
        <v>0</v>
      </c>
      <c r="J865" s="152">
        <f t="shared" si="170"/>
        <v>0</v>
      </c>
      <c r="K865" s="152">
        <f t="shared" si="171"/>
        <v>202</v>
      </c>
      <c r="L865" s="152">
        <f t="shared" si="172"/>
        <v>19</v>
      </c>
      <c r="M865" s="152">
        <f t="shared" si="173"/>
        <v>22</v>
      </c>
      <c r="N865" s="152" t="str">
        <f t="shared" si="174"/>
        <v/>
      </c>
      <c r="P865" s="172" t="str">
        <f t="shared" si="175"/>
        <v/>
      </c>
      <c r="AI865" s="188">
        <v>0.03</v>
      </c>
      <c r="AJ865" s="189" t="s">
        <v>19</v>
      </c>
      <c r="AK865" s="189" t="s">
        <v>164</v>
      </c>
      <c r="AL865" s="189"/>
      <c r="AM865" s="189"/>
      <c r="AN865" s="189"/>
      <c r="AO865" s="189"/>
      <c r="AP865" s="189">
        <v>11015011</v>
      </c>
      <c r="AQ865" s="189" t="s">
        <v>168</v>
      </c>
      <c r="AR865" s="189">
        <v>13</v>
      </c>
      <c r="AS865" s="189">
        <v>63</v>
      </c>
      <c r="AW865" s="189">
        <v>202</v>
      </c>
      <c r="AX865" s="189"/>
      <c r="AY865" s="189">
        <v>22</v>
      </c>
      <c r="AZ865" s="189"/>
      <c r="BA865" s="189"/>
      <c r="BB865" s="190" t="s">
        <v>170</v>
      </c>
      <c r="BC865" s="158" t="s">
        <v>163</v>
      </c>
      <c r="BD865" s="158"/>
      <c r="BE865" s="152" t="s">
        <v>61</v>
      </c>
      <c r="BF865" s="152" t="s">
        <v>451</v>
      </c>
    </row>
    <row r="866" spans="1:58" s="152" customFormat="1" ht="14.25" x14ac:dyDescent="0.2">
      <c r="A866" s="160" t="s">
        <v>659</v>
      </c>
      <c r="B866" s="152" t="s">
        <v>655</v>
      </c>
      <c r="C866" s="160">
        <f t="shared" si="168"/>
        <v>0.03</v>
      </c>
      <c r="D866" s="160"/>
      <c r="E866" s="170" t="str">
        <f>IF(OR(A866="",B866="",C866=""),"eine der Spalten BAB, FR, km leer?",CONCATENATE(VLOOKUP(VALUE(I866),[1]Grundlage!$A$1:$B$14,2,0),IF(LEFT(A866,1)="A",IF(VALUE(MID(A866,2,10))&lt;10,"A00"&amp;VALUE(MID(A866,2,10)),IF(VALUE(MID(A866,2,10))&lt;100,"A0"&amp;VALUE(MID(A866,2,10)),IF(VALUE(MID(A866,2,10))&lt;1000,"A"&amp;VALUE(MID(A866,2,10))))),IF(LEFT(A866,1)="B",IF(VALUE(MID(A866,2,10))&lt;10,"B00"&amp;VALUE(MID(A866,2,10)),IF(VALUE(MID(A866,2,10))&lt;100,"B0"&amp;VALUE(MID(A866,2,10)),IF(VALUE(MID(A866,2,10))&lt;1000,"B"&amp;VALUE(MID(A866,2,10))))),A866)),"_",IF(NOT(OR(C866=1000,C866&gt;1000)),MID(TEXT((C866+1000)*1000,0),2,6),"keine Meter in Spalte km!!!"),IF(VALUE(I866)=1,CONCATENATE("_",VLOOKUP(IF(V866&gt;0,V866,J866),[1]Grundlage!$A$20:$B$181,2,0)),CONCATENATE("_",B866))))</f>
        <v>UQ_B015_000030_S</v>
      </c>
      <c r="F866" s="152" t="s">
        <v>269</v>
      </c>
      <c r="G866" s="171">
        <f t="shared" si="163"/>
        <v>43027</v>
      </c>
      <c r="H866" s="160">
        <f t="shared" si="164"/>
        <v>99</v>
      </c>
      <c r="I866" s="152">
        <f t="shared" si="169"/>
        <v>3</v>
      </c>
      <c r="J866" s="152">
        <f t="shared" si="170"/>
        <v>6</v>
      </c>
      <c r="K866" s="152">
        <f t="shared" si="171"/>
        <v>202</v>
      </c>
      <c r="L866" s="152">
        <f t="shared" si="172"/>
        <v>19</v>
      </c>
      <c r="M866" s="152">
        <f t="shared" si="173"/>
        <v>1</v>
      </c>
      <c r="N866" s="152">
        <f t="shared" si="174"/>
        <v>1</v>
      </c>
      <c r="P866" s="172">
        <f t="shared" si="175"/>
        <v>71</v>
      </c>
      <c r="AI866" s="191"/>
      <c r="AJ866" s="189"/>
      <c r="AK866" s="189" t="s">
        <v>164</v>
      </c>
      <c r="AL866" s="189"/>
      <c r="AM866" s="189"/>
      <c r="AN866" s="189"/>
      <c r="AO866" s="189"/>
      <c r="AT866" s="148">
        <v>3</v>
      </c>
      <c r="AU866" s="148">
        <v>6</v>
      </c>
      <c r="AV866" s="192">
        <v>6</v>
      </c>
      <c r="AW866" s="148"/>
      <c r="AX866" s="148"/>
      <c r="AY866" s="148">
        <v>1</v>
      </c>
      <c r="AZ866" s="189">
        <v>1</v>
      </c>
      <c r="BA866" s="196">
        <v>1</v>
      </c>
      <c r="BB866" s="152" t="s">
        <v>269</v>
      </c>
      <c r="BC866" s="150"/>
      <c r="BD866" s="150"/>
      <c r="BF866" s="152" t="s">
        <v>440</v>
      </c>
    </row>
    <row r="867" spans="1:58" s="152" customFormat="1" ht="14.25" x14ac:dyDescent="0.2">
      <c r="A867" s="160" t="s">
        <v>659</v>
      </c>
      <c r="B867" s="152" t="s">
        <v>655</v>
      </c>
      <c r="C867" s="160">
        <f t="shared" si="168"/>
        <v>0.03</v>
      </c>
      <c r="D867" s="160"/>
      <c r="E867" s="170" t="str">
        <f>IF(OR(A867="",B867="",C867=""),"eine der Spalten BAB, FR, km leer?",CONCATENATE(VLOOKUP(VALUE(I867),[1]Grundlage!$A$1:$B$14,2,0),IF(LEFT(A867,1)="A",IF(VALUE(MID(A867,2,10))&lt;10,"A00"&amp;VALUE(MID(A867,2,10)),IF(VALUE(MID(A867,2,10))&lt;100,"A0"&amp;VALUE(MID(A867,2,10)),IF(VALUE(MID(A867,2,10))&lt;1000,"A"&amp;VALUE(MID(A867,2,10))))),IF(LEFT(A867,1)="B",IF(VALUE(MID(A867,2,10))&lt;10,"B00"&amp;VALUE(MID(A867,2,10)),IF(VALUE(MID(A867,2,10))&lt;100,"B0"&amp;VALUE(MID(A867,2,10)),IF(VALUE(MID(A867,2,10))&lt;1000,"B"&amp;VALUE(MID(A867,2,10))))),A867)),"_",IF(NOT(OR(C867=1000,C867&gt;1000)),MID(TEXT((C867+1000)*1000,0),2,6),"keine Meter in Spalte km!!!"),IF(VALUE(I867)=1,CONCATENATE("_",VLOOKUP(IF(V867&gt;0,V867,J867),[1]Grundlage!$A$20:$B$181,2,0)),CONCATENATE("_",B867))))</f>
        <v>UQ_B015_000030_S</v>
      </c>
      <c r="F867" s="152" t="s">
        <v>270</v>
      </c>
      <c r="G867" s="171">
        <f t="shared" si="163"/>
        <v>43027</v>
      </c>
      <c r="H867" s="160">
        <f t="shared" si="164"/>
        <v>99</v>
      </c>
      <c r="I867" s="152">
        <f t="shared" si="169"/>
        <v>3</v>
      </c>
      <c r="J867" s="152">
        <f t="shared" si="170"/>
        <v>11</v>
      </c>
      <c r="K867" s="152">
        <f t="shared" si="171"/>
        <v>202</v>
      </c>
      <c r="L867" s="152">
        <f t="shared" si="172"/>
        <v>19</v>
      </c>
      <c r="M867" s="152">
        <f t="shared" si="173"/>
        <v>1</v>
      </c>
      <c r="N867" s="152">
        <f t="shared" si="174"/>
        <v>2</v>
      </c>
      <c r="P867" s="172">
        <f t="shared" si="175"/>
        <v>70</v>
      </c>
      <c r="AI867" s="191"/>
      <c r="AJ867" s="189"/>
      <c r="AK867" s="189" t="s">
        <v>164</v>
      </c>
      <c r="AL867" s="189"/>
      <c r="AM867" s="189"/>
      <c r="AN867" s="189"/>
      <c r="AO867" s="189"/>
      <c r="AP867" s="189"/>
      <c r="AQ867" s="189"/>
      <c r="AR867" s="189"/>
      <c r="AS867" s="189"/>
      <c r="AT867" s="148">
        <v>3</v>
      </c>
      <c r="AU867" s="148">
        <v>11</v>
      </c>
      <c r="AV867" s="148" t="s">
        <v>78</v>
      </c>
      <c r="AY867" s="148">
        <v>1</v>
      </c>
      <c r="AZ867" s="189">
        <v>2</v>
      </c>
      <c r="BA867" s="189">
        <v>2</v>
      </c>
      <c r="BB867" s="152" t="s">
        <v>270</v>
      </c>
      <c r="BC867" s="150"/>
      <c r="BD867" s="150"/>
      <c r="BF867" s="152" t="s">
        <v>593</v>
      </c>
    </row>
    <row r="868" spans="1:58" s="152" customFormat="1" ht="14.25" x14ac:dyDescent="0.2">
      <c r="A868" s="160" t="s">
        <v>659</v>
      </c>
      <c r="B868" s="152" t="s">
        <v>655</v>
      </c>
      <c r="C868" s="160">
        <f t="shared" si="168"/>
        <v>0.03</v>
      </c>
      <c r="D868" s="160"/>
      <c r="E868" s="170" t="str">
        <f>IF(OR(A868="",B868="",C868=""),"eine der Spalten BAB, FR, km leer?",CONCATENATE(VLOOKUP(VALUE(I868),[1]Grundlage!$A$1:$B$14,2,0),IF(LEFT(A868,1)="A",IF(VALUE(MID(A868,2,10))&lt;10,"A00"&amp;VALUE(MID(A868,2,10)),IF(VALUE(MID(A868,2,10))&lt;100,"A0"&amp;VALUE(MID(A868,2,10)),IF(VALUE(MID(A868,2,10))&lt;1000,"A"&amp;VALUE(MID(A868,2,10))))),IF(LEFT(A868,1)="B",IF(VALUE(MID(A868,2,10))&lt;10,"B00"&amp;VALUE(MID(A868,2,10)),IF(VALUE(MID(A868,2,10))&lt;100,"B0"&amp;VALUE(MID(A868,2,10)),IF(VALUE(MID(A868,2,10))&lt;1000,"B"&amp;VALUE(MID(A868,2,10))))),A868)),"_",IF(NOT(OR(C868=1000,C868&gt;1000)),MID(TEXT((C868+1000)*1000,0),2,6),"keine Meter in Spalte km!!!"),IF(VALUE(I868)=1,CONCATENATE("_",VLOOKUP(IF(V868&gt;0,V868,J868),[1]Grundlage!$A$20:$B$181,2,0)),CONCATENATE("_",B868))))</f>
        <v>UQ_B015_000030_S</v>
      </c>
      <c r="F868" s="152" t="s">
        <v>25</v>
      </c>
      <c r="G868" s="171">
        <f t="shared" si="163"/>
        <v>43027</v>
      </c>
      <c r="H868" s="160">
        <f t="shared" si="164"/>
        <v>99</v>
      </c>
      <c r="I868" s="152">
        <f t="shared" si="169"/>
        <v>3</v>
      </c>
      <c r="J868" s="152">
        <f t="shared" si="170"/>
        <v>12</v>
      </c>
      <c r="K868" s="152">
        <f t="shared" si="171"/>
        <v>202</v>
      </c>
      <c r="L868" s="152">
        <f t="shared" si="172"/>
        <v>19</v>
      </c>
      <c r="M868" s="152">
        <f t="shared" si="173"/>
        <v>1</v>
      </c>
      <c r="N868" s="152">
        <f t="shared" si="174"/>
        <v>3</v>
      </c>
      <c r="P868" s="172">
        <f t="shared" si="175"/>
        <v>48</v>
      </c>
      <c r="AI868" s="191"/>
      <c r="AJ868" s="189"/>
      <c r="AK868" s="189" t="s">
        <v>164</v>
      </c>
      <c r="AL868" s="189"/>
      <c r="AM868" s="189"/>
      <c r="AN868" s="189"/>
      <c r="AO868" s="189"/>
      <c r="AP868" s="189"/>
      <c r="AQ868" s="189"/>
      <c r="AR868" s="189"/>
      <c r="AS868" s="189"/>
      <c r="AT868" s="189">
        <v>3</v>
      </c>
      <c r="AU868" s="189">
        <v>12</v>
      </c>
      <c r="AV868" s="189"/>
      <c r="AW868" s="189"/>
      <c r="AX868" s="189"/>
      <c r="AY868" s="189">
        <v>1</v>
      </c>
      <c r="AZ868" s="189">
        <v>3</v>
      </c>
      <c r="BA868" s="189">
        <v>3</v>
      </c>
      <c r="BB868" s="152" t="s">
        <v>25</v>
      </c>
      <c r="BC868" s="150"/>
      <c r="BD868" s="150"/>
      <c r="BF868" s="152" t="s">
        <v>441</v>
      </c>
    </row>
    <row r="869" spans="1:58" s="152" customFormat="1" ht="14.25" x14ac:dyDescent="0.2">
      <c r="A869" s="160" t="s">
        <v>659</v>
      </c>
      <c r="B869" s="152" t="s">
        <v>655</v>
      </c>
      <c r="C869" s="160">
        <f t="shared" si="168"/>
        <v>0.03</v>
      </c>
      <c r="D869" s="160"/>
      <c r="E869" s="170" t="str">
        <f>IF(OR(A869="",B869="",C869=""),"eine der Spalten BAB, FR, km leer?",CONCATENATE(VLOOKUP(VALUE(I869),[1]Grundlage!$A$1:$B$14,2,0),IF(LEFT(A869,1)="A",IF(VALUE(MID(A869,2,10))&lt;10,"A00"&amp;VALUE(MID(A869,2,10)),IF(VALUE(MID(A869,2,10))&lt;100,"A0"&amp;VALUE(MID(A869,2,10)),IF(VALUE(MID(A869,2,10))&lt;1000,"A"&amp;VALUE(MID(A869,2,10))))),IF(LEFT(A869,1)="B",IF(VALUE(MID(A869,2,10))&lt;10,"B00"&amp;VALUE(MID(A869,2,10)),IF(VALUE(MID(A869,2,10))&lt;100,"B0"&amp;VALUE(MID(A869,2,10)),IF(VALUE(MID(A869,2,10))&lt;1000,"B"&amp;VALUE(MID(A869,2,10))))),A869)),"_",IF(NOT(OR(C869=1000,C869&gt;1000)),MID(TEXT((C869+1000)*1000,0),2,6),"keine Meter in Spalte km!!!"),IF(VALUE(I869)=1,CONCATENATE("_",VLOOKUP(IF(V869&gt;0,V869,J869),[1]Grundlage!$A$20:$B$181,2,0)),CONCATENATE("_",B869))))</f>
        <v>UQ_B015_000030_S</v>
      </c>
      <c r="F869" s="152" t="s">
        <v>26</v>
      </c>
      <c r="G869" s="171">
        <f t="shared" si="163"/>
        <v>43027</v>
      </c>
      <c r="H869" s="160">
        <f t="shared" si="164"/>
        <v>99</v>
      </c>
      <c r="I869" s="152">
        <f t="shared" si="169"/>
        <v>3</v>
      </c>
      <c r="J869" s="152">
        <f t="shared" si="170"/>
        <v>13</v>
      </c>
      <c r="K869" s="152">
        <f t="shared" si="171"/>
        <v>202</v>
      </c>
      <c r="L869" s="152">
        <f t="shared" si="172"/>
        <v>19</v>
      </c>
      <c r="M869" s="152">
        <f t="shared" si="173"/>
        <v>1</v>
      </c>
      <c r="N869" s="152">
        <f t="shared" si="174"/>
        <v>4</v>
      </c>
      <c r="P869" s="172">
        <f t="shared" si="175"/>
        <v>55</v>
      </c>
      <c r="AI869" s="191"/>
      <c r="AJ869" s="189"/>
      <c r="AK869" s="189" t="s">
        <v>164</v>
      </c>
      <c r="AL869" s="189"/>
      <c r="AM869" s="189"/>
      <c r="AN869" s="189"/>
      <c r="AO869" s="189"/>
      <c r="AP869" s="189"/>
      <c r="AQ869" s="189"/>
      <c r="AR869" s="189"/>
      <c r="AS869" s="189"/>
      <c r="AT869" s="189">
        <v>3</v>
      </c>
      <c r="AU869" s="189">
        <v>13</v>
      </c>
      <c r="AV869" s="189"/>
      <c r="AW869" s="189"/>
      <c r="AX869" s="189"/>
      <c r="AY869" s="189">
        <v>1</v>
      </c>
      <c r="AZ869" s="189">
        <v>4</v>
      </c>
      <c r="BA869" s="189">
        <v>4</v>
      </c>
      <c r="BB869" s="152" t="s">
        <v>26</v>
      </c>
      <c r="BC869" s="150"/>
      <c r="BD869" s="150"/>
      <c r="BF869" s="152" t="s">
        <v>442</v>
      </c>
    </row>
    <row r="870" spans="1:58" s="152" customFormat="1" ht="14.25" x14ac:dyDescent="0.2">
      <c r="A870" s="160" t="s">
        <v>659</v>
      </c>
      <c r="B870" s="152" t="s">
        <v>655</v>
      </c>
      <c r="C870" s="160">
        <f t="shared" si="168"/>
        <v>0.03</v>
      </c>
      <c r="D870" s="160"/>
      <c r="E870" s="170" t="str">
        <f>IF(OR(A870="",B870="",C870=""),"eine der Spalten BAB, FR, km leer?",CONCATENATE(VLOOKUP(VALUE(I870),[1]Grundlage!$A$1:$B$14,2,0),IF(LEFT(A870,1)="A",IF(VALUE(MID(A870,2,10))&lt;10,"A00"&amp;VALUE(MID(A870,2,10)),IF(VALUE(MID(A870,2,10))&lt;100,"A0"&amp;VALUE(MID(A870,2,10)),IF(VALUE(MID(A870,2,10))&lt;1000,"A"&amp;VALUE(MID(A870,2,10))))),IF(LEFT(A870,1)="B",IF(VALUE(MID(A870,2,10))&lt;10,"B00"&amp;VALUE(MID(A870,2,10)),IF(VALUE(MID(A870,2,10))&lt;100,"B0"&amp;VALUE(MID(A870,2,10)),IF(VALUE(MID(A870,2,10))&lt;1000,"B"&amp;VALUE(MID(A870,2,10))))),A870)),"_",IF(NOT(OR(C870=1000,C870&gt;1000)),MID(TEXT((C870+1000)*1000,0),2,6),"keine Meter in Spalte km!!!"),IF(VALUE(I870)=1,CONCATENATE("_",VLOOKUP(IF(V870&gt;0,V870,J870),[1]Grundlage!$A$20:$B$181,2,0)),CONCATENATE("_",B870))))</f>
        <v>UQ_B015_000030_S</v>
      </c>
      <c r="F870" s="152" t="s">
        <v>27</v>
      </c>
      <c r="G870" s="171">
        <f t="shared" si="163"/>
        <v>43027</v>
      </c>
      <c r="H870" s="160">
        <f t="shared" si="164"/>
        <v>99</v>
      </c>
      <c r="I870" s="152">
        <f t="shared" si="169"/>
        <v>3</v>
      </c>
      <c r="J870" s="152">
        <f t="shared" si="170"/>
        <v>14</v>
      </c>
      <c r="K870" s="152">
        <f t="shared" si="171"/>
        <v>202</v>
      </c>
      <c r="L870" s="152">
        <f t="shared" si="172"/>
        <v>19</v>
      </c>
      <c r="M870" s="152">
        <f t="shared" si="173"/>
        <v>1</v>
      </c>
      <c r="N870" s="152">
        <f t="shared" si="174"/>
        <v>5</v>
      </c>
      <c r="P870" s="172">
        <f t="shared" si="175"/>
        <v>66</v>
      </c>
      <c r="AI870" s="191"/>
      <c r="AJ870" s="189"/>
      <c r="AK870" s="189" t="s">
        <v>164</v>
      </c>
      <c r="AL870" s="189"/>
      <c r="AM870" s="189"/>
      <c r="AN870" s="189"/>
      <c r="AO870" s="189"/>
      <c r="AP870" s="189"/>
      <c r="AQ870" s="189"/>
      <c r="AR870" s="189"/>
      <c r="AS870" s="189"/>
      <c r="AT870" s="189">
        <v>3</v>
      </c>
      <c r="AU870" s="189">
        <v>14</v>
      </c>
      <c r="AV870" s="189"/>
      <c r="AW870" s="189"/>
      <c r="AX870" s="189"/>
      <c r="AY870" s="189">
        <v>1</v>
      </c>
      <c r="AZ870" s="189">
        <v>5</v>
      </c>
      <c r="BA870" s="189">
        <v>5</v>
      </c>
      <c r="BB870" s="152" t="s">
        <v>27</v>
      </c>
      <c r="BC870" s="150"/>
      <c r="BD870" s="150"/>
      <c r="BF870" s="152" t="s">
        <v>443</v>
      </c>
    </row>
    <row r="871" spans="1:58" s="152" customFormat="1" ht="14.25" x14ac:dyDescent="0.2">
      <c r="A871" s="160" t="s">
        <v>659</v>
      </c>
      <c r="B871" s="152" t="s">
        <v>655</v>
      </c>
      <c r="C871" s="160">
        <f t="shared" si="168"/>
        <v>0.03</v>
      </c>
      <c r="D871" s="160"/>
      <c r="E871" s="170" t="str">
        <f>IF(OR(A871="",B871="",C871=""),"eine der Spalten BAB, FR, km leer?",CONCATENATE(VLOOKUP(VALUE(I871),[1]Grundlage!$A$1:$B$14,2,0),IF(LEFT(A871,1)="A",IF(VALUE(MID(A871,2,10))&lt;10,"A00"&amp;VALUE(MID(A871,2,10)),IF(VALUE(MID(A871,2,10))&lt;100,"A0"&amp;VALUE(MID(A871,2,10)),IF(VALUE(MID(A871,2,10))&lt;1000,"A"&amp;VALUE(MID(A871,2,10))))),IF(LEFT(A871,1)="B",IF(VALUE(MID(A871,2,10))&lt;10,"B00"&amp;VALUE(MID(A871,2,10)),IF(VALUE(MID(A871,2,10))&lt;100,"B0"&amp;VALUE(MID(A871,2,10)),IF(VALUE(MID(A871,2,10))&lt;1000,"B"&amp;VALUE(MID(A871,2,10))))),A871)),"_",IF(NOT(OR(C871=1000,C871&gt;1000)),MID(TEXT((C871+1000)*1000,0),2,6),"keine Meter in Spalte km!!!"),IF(VALUE(I871)=1,CONCATENATE("_",VLOOKUP(IF(V871&gt;0,V871,J871),[1]Grundlage!$A$20:$B$181,2,0)),CONCATENATE("_",B871))))</f>
        <v>UQ_B015_000030_S</v>
      </c>
      <c r="F871" s="152" t="s">
        <v>28</v>
      </c>
      <c r="G871" s="171">
        <f t="shared" ref="G871:G934" si="177">IF(ISBLANK(AP871),G870,INT(AP871/256))</f>
        <v>43027</v>
      </c>
      <c r="H871" s="160">
        <f t="shared" ref="H871:H934" si="178">IF(ISBLANK(AP871),H870,MOD(AP871,256))</f>
        <v>99</v>
      </c>
      <c r="I871" s="152">
        <f t="shared" si="169"/>
        <v>3</v>
      </c>
      <c r="J871" s="152">
        <f t="shared" si="170"/>
        <v>15</v>
      </c>
      <c r="K871" s="152">
        <f t="shared" si="171"/>
        <v>202</v>
      </c>
      <c r="L871" s="152">
        <f t="shared" si="172"/>
        <v>19</v>
      </c>
      <c r="M871" s="152">
        <f t="shared" si="173"/>
        <v>1</v>
      </c>
      <c r="N871" s="152">
        <f t="shared" si="174"/>
        <v>6</v>
      </c>
      <c r="P871" s="172">
        <f t="shared" si="175"/>
        <v>65</v>
      </c>
      <c r="AI871" s="191"/>
      <c r="AJ871" s="189"/>
      <c r="AK871" s="189" t="s">
        <v>164</v>
      </c>
      <c r="AL871" s="189"/>
      <c r="AM871" s="189"/>
      <c r="AN871" s="189"/>
      <c r="AO871" s="189"/>
      <c r="AP871" s="189"/>
      <c r="AQ871" s="189"/>
      <c r="AR871" s="189"/>
      <c r="AS871" s="189"/>
      <c r="AT871" s="189">
        <v>3</v>
      </c>
      <c r="AU871" s="189">
        <v>15</v>
      </c>
      <c r="AV871" s="189"/>
      <c r="AW871" s="189"/>
      <c r="AX871" s="189"/>
      <c r="AY871" s="189">
        <v>1</v>
      </c>
      <c r="AZ871" s="189">
        <v>6</v>
      </c>
      <c r="BA871" s="189">
        <v>6</v>
      </c>
      <c r="BB871" s="152" t="s">
        <v>28</v>
      </c>
      <c r="BC871" s="150"/>
      <c r="BD871" s="150"/>
      <c r="BF871" s="152" t="s">
        <v>594</v>
      </c>
    </row>
    <row r="872" spans="1:58" s="152" customFormat="1" ht="14.25" x14ac:dyDescent="0.2">
      <c r="A872" s="160" t="s">
        <v>659</v>
      </c>
      <c r="B872" s="152" t="s">
        <v>655</v>
      </c>
      <c r="C872" s="160">
        <f t="shared" si="168"/>
        <v>0.03</v>
      </c>
      <c r="D872" s="160"/>
      <c r="E872" s="170" t="str">
        <f>IF(OR(A872="",B872="",C872=""),"eine der Spalten BAB, FR, km leer?",CONCATENATE(VLOOKUP(VALUE(I872),[1]Grundlage!$A$1:$B$14,2,0),IF(LEFT(A872,1)="A",IF(VALUE(MID(A872,2,10))&lt;10,"A00"&amp;VALUE(MID(A872,2,10)),IF(VALUE(MID(A872,2,10))&lt;100,"A0"&amp;VALUE(MID(A872,2,10)),IF(VALUE(MID(A872,2,10))&lt;1000,"A"&amp;VALUE(MID(A872,2,10))))),IF(LEFT(A872,1)="B",IF(VALUE(MID(A872,2,10))&lt;10,"B00"&amp;VALUE(MID(A872,2,10)),IF(VALUE(MID(A872,2,10))&lt;100,"B0"&amp;VALUE(MID(A872,2,10)),IF(VALUE(MID(A872,2,10))&lt;1000,"B"&amp;VALUE(MID(A872,2,10))))),A872)),"_",IF(NOT(OR(C872=1000,C872&gt;1000)),MID(TEXT((C872+1000)*1000,0),2,6),"keine Meter in Spalte km!!!"),IF(VALUE(I872)=1,CONCATENATE("_",VLOOKUP(IF(V872&gt;0,V872,J872),[1]Grundlage!$A$20:$B$181,2,0)),CONCATENATE("_",B872))))</f>
        <v>UQ_B015_000030_S</v>
      </c>
      <c r="F872" s="152" t="s">
        <v>29</v>
      </c>
      <c r="G872" s="171">
        <f t="shared" si="177"/>
        <v>43027</v>
      </c>
      <c r="H872" s="160">
        <f t="shared" si="178"/>
        <v>99</v>
      </c>
      <c r="I872" s="152">
        <f t="shared" si="169"/>
        <v>3</v>
      </c>
      <c r="J872" s="152">
        <f t="shared" si="170"/>
        <v>19</v>
      </c>
      <c r="K872" s="152">
        <f t="shared" si="171"/>
        <v>202</v>
      </c>
      <c r="L872" s="152">
        <f t="shared" si="172"/>
        <v>19</v>
      </c>
      <c r="M872" s="152">
        <f t="shared" si="173"/>
        <v>1</v>
      </c>
      <c r="N872" s="152">
        <f t="shared" si="174"/>
        <v>7</v>
      </c>
      <c r="P872" s="172">
        <f t="shared" si="175"/>
        <v>49</v>
      </c>
      <c r="AI872" s="191"/>
      <c r="AJ872" s="189"/>
      <c r="AK872" s="189" t="s">
        <v>164</v>
      </c>
      <c r="AL872" s="189"/>
      <c r="AM872" s="189"/>
      <c r="AN872" s="189"/>
      <c r="AO872" s="189"/>
      <c r="AP872" s="189"/>
      <c r="AQ872" s="189"/>
      <c r="AR872" s="189"/>
      <c r="AS872" s="189"/>
      <c r="AT872" s="189">
        <v>3</v>
      </c>
      <c r="AU872" s="189">
        <v>19</v>
      </c>
      <c r="AV872" s="189"/>
      <c r="AW872" s="189"/>
      <c r="AX872" s="189"/>
      <c r="AY872" s="189">
        <v>1</v>
      </c>
      <c r="AZ872" s="189">
        <v>7</v>
      </c>
      <c r="BA872" s="189">
        <v>7</v>
      </c>
      <c r="BB872" s="152" t="s">
        <v>29</v>
      </c>
      <c r="BC872" s="150"/>
      <c r="BD872" s="150"/>
      <c r="BF872" s="152" t="s">
        <v>595</v>
      </c>
    </row>
    <row r="873" spans="1:58" s="152" customFormat="1" ht="14.25" x14ac:dyDescent="0.2">
      <c r="A873" s="160" t="s">
        <v>659</v>
      </c>
      <c r="B873" s="152" t="s">
        <v>655</v>
      </c>
      <c r="C873" s="160">
        <f t="shared" si="168"/>
        <v>0.03</v>
      </c>
      <c r="D873" s="160"/>
      <c r="E873" s="170" t="str">
        <f>IF(OR(A873="",B873="",C873=""),"eine der Spalten BAB, FR, km leer?",CONCATENATE(VLOOKUP(VALUE(I873),[1]Grundlage!$A$1:$B$14,2,0),IF(LEFT(A873,1)="A",IF(VALUE(MID(A873,2,10))&lt;10,"A00"&amp;VALUE(MID(A873,2,10)),IF(VALUE(MID(A873,2,10))&lt;100,"A0"&amp;VALUE(MID(A873,2,10)),IF(VALUE(MID(A873,2,10))&lt;1000,"A"&amp;VALUE(MID(A873,2,10))))),IF(LEFT(A873,1)="B",IF(VALUE(MID(A873,2,10))&lt;10,"B00"&amp;VALUE(MID(A873,2,10)),IF(VALUE(MID(A873,2,10))&lt;100,"B0"&amp;VALUE(MID(A873,2,10)),IF(VALUE(MID(A873,2,10))&lt;1000,"B"&amp;VALUE(MID(A873,2,10))))),A873)),"_",IF(NOT(OR(C873=1000,C873&gt;1000)),MID(TEXT((C873+1000)*1000,0),2,6),"keine Meter in Spalte km!!!"),IF(VALUE(I873)=1,CONCATENATE("_",VLOOKUP(IF(V873&gt;0,V873,J873),[1]Grundlage!$A$20:$B$181,2,0)),CONCATENATE("_",B873))))</f>
        <v>UQ_B015_000030_S</v>
      </c>
      <c r="F873" s="152" t="s">
        <v>30</v>
      </c>
      <c r="G873" s="171">
        <f t="shared" si="177"/>
        <v>43027</v>
      </c>
      <c r="H873" s="160">
        <f t="shared" si="178"/>
        <v>99</v>
      </c>
      <c r="I873" s="152">
        <f t="shared" si="169"/>
        <v>3</v>
      </c>
      <c r="J873" s="152">
        <f t="shared" si="170"/>
        <v>21</v>
      </c>
      <c r="K873" s="152">
        <f t="shared" si="171"/>
        <v>202</v>
      </c>
      <c r="L873" s="152">
        <f t="shared" si="172"/>
        <v>19</v>
      </c>
      <c r="M873" s="152">
        <f t="shared" si="173"/>
        <v>1</v>
      </c>
      <c r="N873" s="152">
        <f t="shared" si="174"/>
        <v>8</v>
      </c>
      <c r="P873" s="172">
        <f t="shared" si="175"/>
        <v>67</v>
      </c>
      <c r="AI873" s="191"/>
      <c r="AJ873" s="189"/>
      <c r="AK873" s="189" t="s">
        <v>164</v>
      </c>
      <c r="AL873" s="189"/>
      <c r="AM873" s="189"/>
      <c r="AN873" s="189"/>
      <c r="AO873" s="189"/>
      <c r="AP873" s="189"/>
      <c r="AQ873" s="189"/>
      <c r="AR873" s="189"/>
      <c r="AS873" s="189"/>
      <c r="AT873" s="189">
        <v>3</v>
      </c>
      <c r="AU873" s="189">
        <v>21</v>
      </c>
      <c r="AV873" s="189"/>
      <c r="AW873" s="189"/>
      <c r="AX873" s="189"/>
      <c r="AY873" s="189">
        <v>1</v>
      </c>
      <c r="AZ873" s="189">
        <v>8</v>
      </c>
      <c r="BA873" s="189">
        <v>8</v>
      </c>
      <c r="BB873" s="152" t="s">
        <v>30</v>
      </c>
      <c r="BC873" s="150"/>
      <c r="BD873" s="150"/>
      <c r="BF873" s="152" t="s">
        <v>596</v>
      </c>
    </row>
    <row r="874" spans="1:58" s="152" customFormat="1" ht="14.25" x14ac:dyDescent="0.2">
      <c r="A874" s="160" t="s">
        <v>659</v>
      </c>
      <c r="B874" s="152" t="s">
        <v>655</v>
      </c>
      <c r="C874" s="160">
        <f t="shared" si="168"/>
        <v>0.03</v>
      </c>
      <c r="D874" s="160"/>
      <c r="E874" s="170" t="str">
        <f>IF(OR(A874="",B874="",C874=""),"eine der Spalten BAB, FR, km leer?",CONCATENATE(VLOOKUP(VALUE(I874),[1]Grundlage!$A$1:$B$14,2,0),IF(LEFT(A874,1)="A",IF(VALUE(MID(A874,2,10))&lt;10,"A00"&amp;VALUE(MID(A874,2,10)),IF(VALUE(MID(A874,2,10))&lt;100,"A0"&amp;VALUE(MID(A874,2,10)),IF(VALUE(MID(A874,2,10))&lt;1000,"A"&amp;VALUE(MID(A874,2,10))))),IF(LEFT(A874,1)="B",IF(VALUE(MID(A874,2,10))&lt;10,"B00"&amp;VALUE(MID(A874,2,10)),IF(VALUE(MID(A874,2,10))&lt;100,"B0"&amp;VALUE(MID(A874,2,10)),IF(VALUE(MID(A874,2,10))&lt;1000,"B"&amp;VALUE(MID(A874,2,10))))),A874)),"_",IF(NOT(OR(C874=1000,C874&gt;1000)),MID(TEXT((C874+1000)*1000,0),2,6),"keine Meter in Spalte km!!!"),IF(VALUE(I874)=1,CONCATENATE("_",VLOOKUP(IF(V874&gt;0,V874,J874),[1]Grundlage!$A$20:$B$181,2,0)),CONCATENATE("_",B874))))</f>
        <v>UQ_B015_000030_S</v>
      </c>
      <c r="F874" s="152" t="s">
        <v>271</v>
      </c>
      <c r="G874" s="171">
        <f t="shared" si="177"/>
        <v>43027</v>
      </c>
      <c r="H874" s="160">
        <f t="shared" si="178"/>
        <v>99</v>
      </c>
      <c r="I874" s="152">
        <f t="shared" si="169"/>
        <v>3</v>
      </c>
      <c r="J874" s="152">
        <f t="shared" si="170"/>
        <v>67</v>
      </c>
      <c r="K874" s="152">
        <f t="shared" si="171"/>
        <v>202</v>
      </c>
      <c r="L874" s="152">
        <f t="shared" si="172"/>
        <v>19</v>
      </c>
      <c r="M874" s="152">
        <f t="shared" si="173"/>
        <v>1</v>
      </c>
      <c r="N874" s="152">
        <f t="shared" si="174"/>
        <v>9</v>
      </c>
      <c r="P874" s="172">
        <f t="shared" si="175"/>
        <v>53</v>
      </c>
      <c r="AI874" s="191"/>
      <c r="AJ874" s="189"/>
      <c r="AK874" s="189"/>
      <c r="AL874" s="189"/>
      <c r="AM874" s="189"/>
      <c r="AN874" s="189"/>
      <c r="AO874" s="189"/>
      <c r="AP874" s="189"/>
      <c r="AQ874" s="189"/>
      <c r="AR874" s="189"/>
      <c r="AS874" s="189"/>
      <c r="AT874" s="148">
        <v>3</v>
      </c>
      <c r="AU874" s="189">
        <v>67</v>
      </c>
      <c r="AV874" s="189">
        <v>43</v>
      </c>
      <c r="AY874" s="148">
        <v>1</v>
      </c>
      <c r="AZ874" s="189">
        <v>9</v>
      </c>
      <c r="BA874" s="187">
        <v>9</v>
      </c>
      <c r="BB874" s="152" t="s">
        <v>271</v>
      </c>
      <c r="BC874" s="150"/>
      <c r="BD874" s="150"/>
      <c r="BF874" s="152" t="s">
        <v>444</v>
      </c>
    </row>
    <row r="875" spans="1:58" s="152" customFormat="1" ht="14.25" x14ac:dyDescent="0.2">
      <c r="A875" s="160" t="s">
        <v>659</v>
      </c>
      <c r="B875" s="152" t="s">
        <v>655</v>
      </c>
      <c r="C875" s="160">
        <f t="shared" si="168"/>
        <v>0.03</v>
      </c>
      <c r="D875" s="160"/>
      <c r="E875" s="170" t="str">
        <f>IF(OR(A875="",B875="",C875=""),"eine der Spalten BAB, FR, km leer?",CONCATENATE(VLOOKUP(VALUE(I875),[1]Grundlage!$A$1:$B$14,2,0),IF(LEFT(A875,1)="A",IF(VALUE(MID(A875,2,10))&lt;10,"A00"&amp;VALUE(MID(A875,2,10)),IF(VALUE(MID(A875,2,10))&lt;100,"A0"&amp;VALUE(MID(A875,2,10)),IF(VALUE(MID(A875,2,10))&lt;1000,"A"&amp;VALUE(MID(A875,2,10))))),IF(LEFT(A875,1)="B",IF(VALUE(MID(A875,2,10))&lt;10,"B00"&amp;VALUE(MID(A875,2,10)),IF(VALUE(MID(A875,2,10))&lt;100,"B0"&amp;VALUE(MID(A875,2,10)),IF(VALUE(MID(A875,2,10))&lt;1000,"B"&amp;VALUE(MID(A875,2,10))))),A875)),"_",IF(NOT(OR(C875=1000,C875&gt;1000)),MID(TEXT((C875+1000)*1000,0),2,6),"keine Meter in Spalte km!!!"),IF(VALUE(I875)=1,CONCATENATE("_",VLOOKUP(IF(V875&gt;0,V875,J875),[1]Grundlage!$A$20:$B$181,2,0)),CONCATENATE("_",B875))))</f>
        <v>UQ_B015_000030_S</v>
      </c>
      <c r="F875" s="152" t="s">
        <v>272</v>
      </c>
      <c r="G875" s="171">
        <f t="shared" si="177"/>
        <v>43027</v>
      </c>
      <c r="H875" s="160">
        <f t="shared" si="178"/>
        <v>99</v>
      </c>
      <c r="I875" s="152">
        <f t="shared" si="169"/>
        <v>3</v>
      </c>
      <c r="J875" s="152">
        <f t="shared" si="170"/>
        <v>82</v>
      </c>
      <c r="K875" s="152">
        <f t="shared" si="171"/>
        <v>202</v>
      </c>
      <c r="L875" s="152">
        <f t="shared" si="172"/>
        <v>19</v>
      </c>
      <c r="M875" s="152">
        <f t="shared" si="173"/>
        <v>1</v>
      </c>
      <c r="N875" s="152">
        <f t="shared" si="174"/>
        <v>10</v>
      </c>
      <c r="P875" s="172">
        <f t="shared" si="175"/>
        <v>72</v>
      </c>
      <c r="AI875" s="191"/>
      <c r="AJ875" s="189"/>
      <c r="AK875" s="189"/>
      <c r="AL875" s="189"/>
      <c r="AM875" s="189"/>
      <c r="AN875" s="189"/>
      <c r="AO875" s="189"/>
      <c r="AP875" s="189"/>
      <c r="AQ875" s="189"/>
      <c r="AR875" s="189"/>
      <c r="AS875" s="189"/>
      <c r="AT875" s="148">
        <v>3</v>
      </c>
      <c r="AU875" s="189">
        <v>82</v>
      </c>
      <c r="AV875" s="189">
        <v>52</v>
      </c>
      <c r="AY875" s="148">
        <v>1</v>
      </c>
      <c r="AZ875" s="189">
        <v>10</v>
      </c>
      <c r="BA875" s="187" t="s">
        <v>95</v>
      </c>
      <c r="BB875" s="152" t="s">
        <v>272</v>
      </c>
      <c r="BC875" s="150"/>
      <c r="BD875" s="150"/>
      <c r="BF875" s="152" t="s">
        <v>597</v>
      </c>
    </row>
    <row r="876" spans="1:58" s="152" customFormat="1" ht="14.25" x14ac:dyDescent="0.2">
      <c r="A876" s="160" t="s">
        <v>58</v>
      </c>
      <c r="B876" s="152" t="s">
        <v>655</v>
      </c>
      <c r="C876" s="160">
        <f t="shared" si="168"/>
        <v>0.03</v>
      </c>
      <c r="D876" s="160"/>
      <c r="E876" s="170" t="str">
        <f>IF(OR(A876="",B876="",C876=""),"eine der Spalten BAB, FR, km leer?",CONCATENATE(VLOOKUP(VALUE(I876),[1]Grundlage!$A$1:$B$14,2,0),IF(LEFT(A876,1)="A",IF(VALUE(MID(A876,2,10))&lt;10,"A00"&amp;VALUE(MID(A876,2,10)),IF(VALUE(MID(A876,2,10))&lt;100,"A0"&amp;VALUE(MID(A876,2,10)),IF(VALUE(MID(A876,2,10))&lt;1000,"A"&amp;VALUE(MID(A876,2,10))))),IF(LEFT(A876,1)="B",IF(VALUE(MID(A876,2,10))&lt;10,"B00"&amp;VALUE(MID(A876,2,10)),IF(VALUE(MID(A876,2,10))&lt;100,"B0"&amp;VALUE(MID(A876,2,10)),IF(VALUE(MID(A876,2,10))&lt;1000,"B"&amp;VALUE(MID(A876,2,10))))),A876)),"_",IF(NOT(OR(C876=1000,C876&gt;1000)),MID(TEXT((C876+1000)*1000,0),2,6),"keine Meter in Spalte km!!!"),IF(VALUE(I876)=1,CONCATENATE("_",VLOOKUP(IF(V876&gt;0,V876,J876),[1]Grundlage!$A$20:$B$181,2,0)),CONCATENATE("_",B876))))</f>
        <v>UQ_A093_000030_S</v>
      </c>
      <c r="F876" s="152" t="s">
        <v>171</v>
      </c>
      <c r="G876" s="171">
        <f t="shared" si="177"/>
        <v>43027</v>
      </c>
      <c r="H876" s="160">
        <f t="shared" si="178"/>
        <v>99</v>
      </c>
      <c r="I876" s="152">
        <f t="shared" si="169"/>
        <v>3</v>
      </c>
      <c r="J876" s="152">
        <f t="shared" si="170"/>
        <v>22</v>
      </c>
      <c r="K876" s="152">
        <f t="shared" si="171"/>
        <v>202</v>
      </c>
      <c r="L876" s="152">
        <f t="shared" si="172"/>
        <v>19</v>
      </c>
      <c r="M876" s="152">
        <f t="shared" si="173"/>
        <v>1</v>
      </c>
      <c r="N876" s="152">
        <f t="shared" si="174"/>
        <v>11</v>
      </c>
      <c r="P876" s="172">
        <f t="shared" si="175"/>
        <v>51</v>
      </c>
      <c r="AI876" s="191"/>
      <c r="AJ876" s="189"/>
      <c r="AK876" s="189" t="s">
        <v>169</v>
      </c>
      <c r="AL876" s="189"/>
      <c r="AM876" s="189"/>
      <c r="AN876" s="189"/>
      <c r="AO876" s="189"/>
      <c r="AP876" s="189"/>
      <c r="AQ876" s="189"/>
      <c r="AR876" s="189"/>
      <c r="AS876" s="189"/>
      <c r="AT876" s="189">
        <v>3</v>
      </c>
      <c r="AU876" s="189">
        <v>22</v>
      </c>
      <c r="AV876" s="189"/>
      <c r="AW876" s="189"/>
      <c r="AX876" s="189"/>
      <c r="AY876" s="189">
        <v>1</v>
      </c>
      <c r="AZ876" s="189">
        <v>11</v>
      </c>
      <c r="BA876" s="187" t="s">
        <v>78</v>
      </c>
      <c r="BB876" s="152" t="s">
        <v>171</v>
      </c>
      <c r="BC876" s="150"/>
      <c r="BD876" s="150"/>
      <c r="BF876" s="152" t="s">
        <v>478</v>
      </c>
    </row>
    <row r="877" spans="1:58" s="152" customFormat="1" ht="14.25" x14ac:dyDescent="0.2">
      <c r="A877" s="160" t="s">
        <v>58</v>
      </c>
      <c r="B877" s="152" t="s">
        <v>655</v>
      </c>
      <c r="C877" s="160">
        <f t="shared" si="168"/>
        <v>0.03</v>
      </c>
      <c r="D877" s="160"/>
      <c r="E877" s="170" t="str">
        <f>IF(OR(A877="",B877="",C877=""),"eine der Spalten BAB, FR, km leer?",CONCATENATE(VLOOKUP(VALUE(I877),[1]Grundlage!$A$1:$B$14,2,0),IF(LEFT(A877,1)="A",IF(VALUE(MID(A877,2,10))&lt;10,"A00"&amp;VALUE(MID(A877,2,10)),IF(VALUE(MID(A877,2,10))&lt;100,"A0"&amp;VALUE(MID(A877,2,10)),IF(VALUE(MID(A877,2,10))&lt;1000,"A"&amp;VALUE(MID(A877,2,10))))),IF(LEFT(A877,1)="B",IF(VALUE(MID(A877,2,10))&lt;10,"B00"&amp;VALUE(MID(A877,2,10)),IF(VALUE(MID(A877,2,10))&lt;100,"B0"&amp;VALUE(MID(A877,2,10)),IF(VALUE(MID(A877,2,10))&lt;1000,"B"&amp;VALUE(MID(A877,2,10))))),A877)),"_",IF(NOT(OR(C877=1000,C877&gt;1000)),MID(TEXT((C877+1000)*1000,0),2,6),"keine Meter in Spalte km!!!"),IF(VALUE(I877)=1,CONCATENATE("_",VLOOKUP(IF(V877&gt;0,V877,J877),[1]Grundlage!$A$20:$B$181,2,0)),CONCATENATE("_",B877))))</f>
        <v>UQ_A093_000030_S</v>
      </c>
      <c r="F877" s="152" t="s">
        <v>27</v>
      </c>
      <c r="G877" s="171">
        <f t="shared" si="177"/>
        <v>43027</v>
      </c>
      <c r="H877" s="160">
        <f t="shared" si="178"/>
        <v>99</v>
      </c>
      <c r="I877" s="152">
        <f t="shared" si="169"/>
        <v>3</v>
      </c>
      <c r="J877" s="152">
        <f t="shared" si="170"/>
        <v>23</v>
      </c>
      <c r="K877" s="152">
        <f t="shared" si="171"/>
        <v>202</v>
      </c>
      <c r="L877" s="152">
        <f t="shared" si="172"/>
        <v>19</v>
      </c>
      <c r="M877" s="152">
        <f t="shared" si="173"/>
        <v>1</v>
      </c>
      <c r="N877" s="152">
        <f t="shared" si="174"/>
        <v>12</v>
      </c>
      <c r="P877" s="172">
        <f t="shared" si="175"/>
        <v>66</v>
      </c>
      <c r="AI877" s="197"/>
      <c r="AJ877" s="198"/>
      <c r="AK877" s="198" t="s">
        <v>169</v>
      </c>
      <c r="AL877" s="198"/>
      <c r="AM877" s="198"/>
      <c r="AN877" s="198"/>
      <c r="AO877" s="198"/>
      <c r="AP877" s="198"/>
      <c r="AQ877" s="198"/>
      <c r="AR877" s="198"/>
      <c r="AS877" s="198"/>
      <c r="AT877" s="198">
        <v>3</v>
      </c>
      <c r="AU877" s="198">
        <v>23</v>
      </c>
      <c r="AV877" s="198"/>
      <c r="AW877" s="198"/>
      <c r="AX877" s="198"/>
      <c r="AY877" s="198">
        <v>1</v>
      </c>
      <c r="AZ877" s="198">
        <v>12</v>
      </c>
      <c r="BA877" s="198" t="s">
        <v>79</v>
      </c>
      <c r="BB877" s="199" t="s">
        <v>27</v>
      </c>
      <c r="BC877" s="200"/>
      <c r="BD877" s="200"/>
      <c r="BE877" s="199"/>
    </row>
    <row r="878" spans="1:58" s="152" customFormat="1" ht="14.25" x14ac:dyDescent="0.2">
      <c r="A878" s="160" t="s">
        <v>58</v>
      </c>
      <c r="B878" s="152" t="s">
        <v>655</v>
      </c>
      <c r="C878" s="160">
        <f t="shared" si="168"/>
        <v>0.03</v>
      </c>
      <c r="D878" s="160"/>
      <c r="E878" s="170" t="str">
        <f>IF(OR(A878="",B878="",C878=""),"eine der Spalten BAB, FR, km leer?",CONCATENATE(VLOOKUP(VALUE(I878),[1]Grundlage!$A$1:$B$14,2,0),IF(LEFT(A878,1)="A",IF(VALUE(MID(A878,2,10))&lt;10,"A00"&amp;VALUE(MID(A878,2,10)),IF(VALUE(MID(A878,2,10))&lt;100,"A0"&amp;VALUE(MID(A878,2,10)),IF(VALUE(MID(A878,2,10))&lt;1000,"A"&amp;VALUE(MID(A878,2,10))))),IF(LEFT(A878,1)="B",IF(VALUE(MID(A878,2,10))&lt;10,"B00"&amp;VALUE(MID(A878,2,10)),IF(VALUE(MID(A878,2,10))&lt;100,"B0"&amp;VALUE(MID(A878,2,10)),IF(VALUE(MID(A878,2,10))&lt;1000,"B"&amp;VALUE(MID(A878,2,10))))),A878)),"_",IF(NOT(OR(C878=1000,C878&gt;1000)),MID(TEXT((C878+1000)*1000,0),2,6),"keine Meter in Spalte km!!!"),IF(VALUE(I878)=1,CONCATENATE("_",VLOOKUP(IF(V878&gt;0,V878,J878),[1]Grundlage!$A$20:$B$181,2,0)),CONCATENATE("_",B878))))</f>
        <v>UQ_A093_000030_S</v>
      </c>
      <c r="F878" s="152" t="s">
        <v>28</v>
      </c>
      <c r="G878" s="171">
        <f t="shared" si="177"/>
        <v>43027</v>
      </c>
      <c r="H878" s="160">
        <f t="shared" si="178"/>
        <v>99</v>
      </c>
      <c r="I878" s="152">
        <f t="shared" si="169"/>
        <v>3</v>
      </c>
      <c r="J878" s="152">
        <f t="shared" si="170"/>
        <v>24</v>
      </c>
      <c r="K878" s="152">
        <f t="shared" si="171"/>
        <v>202</v>
      </c>
      <c r="L878" s="152">
        <f t="shared" si="172"/>
        <v>19</v>
      </c>
      <c r="M878" s="152">
        <f t="shared" si="173"/>
        <v>1</v>
      </c>
      <c r="N878" s="152">
        <f t="shared" si="174"/>
        <v>12</v>
      </c>
      <c r="P878" s="172">
        <f t="shared" si="175"/>
        <v>65</v>
      </c>
      <c r="AI878" s="191"/>
      <c r="AJ878" s="189"/>
      <c r="AK878" s="189" t="s">
        <v>169</v>
      </c>
      <c r="AL878" s="189"/>
      <c r="AM878" s="189"/>
      <c r="AN878" s="189"/>
      <c r="AO878" s="189"/>
      <c r="AP878" s="189"/>
      <c r="AQ878" s="189"/>
      <c r="AR878" s="189"/>
      <c r="AS878" s="189"/>
      <c r="AT878" s="189">
        <v>3</v>
      </c>
      <c r="AU878" s="189">
        <v>24</v>
      </c>
      <c r="AV878" s="189"/>
      <c r="AW878" s="189"/>
      <c r="AX878" s="189"/>
      <c r="AY878" s="189">
        <v>1</v>
      </c>
      <c r="AZ878" s="189">
        <v>12</v>
      </c>
      <c r="BA878" s="187" t="s">
        <v>80</v>
      </c>
      <c r="BB878" s="152" t="s">
        <v>28</v>
      </c>
      <c r="BC878" s="150"/>
      <c r="BD878" s="150"/>
      <c r="BF878" s="152" t="s">
        <v>482</v>
      </c>
    </row>
    <row r="879" spans="1:58" s="152" customFormat="1" ht="14.25" x14ac:dyDescent="0.2">
      <c r="A879" s="160" t="s">
        <v>58</v>
      </c>
      <c r="B879" s="152" t="s">
        <v>655</v>
      </c>
      <c r="C879" s="160">
        <f t="shared" si="168"/>
        <v>0.03</v>
      </c>
      <c r="D879" s="160"/>
      <c r="E879" s="170" t="str">
        <f>IF(OR(A879="",B879="",C879=""),"eine der Spalten BAB, FR, km leer?",CONCATENATE(VLOOKUP(VALUE(I879),[1]Grundlage!$A$1:$B$14,2,0),IF(LEFT(A879,1)="A",IF(VALUE(MID(A879,2,10))&lt;10,"A00"&amp;VALUE(MID(A879,2,10)),IF(VALUE(MID(A879,2,10))&lt;100,"A0"&amp;VALUE(MID(A879,2,10)),IF(VALUE(MID(A879,2,10))&lt;1000,"A"&amp;VALUE(MID(A879,2,10))))),IF(LEFT(A879,1)="B",IF(VALUE(MID(A879,2,10))&lt;10,"B00"&amp;VALUE(MID(A879,2,10)),IF(VALUE(MID(A879,2,10))&lt;100,"B0"&amp;VALUE(MID(A879,2,10)),IF(VALUE(MID(A879,2,10))&lt;1000,"B"&amp;VALUE(MID(A879,2,10))))),A879)),"_",IF(NOT(OR(C879=1000,C879&gt;1000)),MID(TEXT((C879+1000)*1000,0),2,6),"keine Meter in Spalte km!!!"),IF(VALUE(I879)=1,CONCATENATE("_",VLOOKUP(IF(V879&gt;0,V879,J879),[1]Grundlage!$A$20:$B$181,2,0)),CONCATENATE("_",B879))))</f>
        <v>UQ_A093_000030_S</v>
      </c>
      <c r="F879" s="152" t="s">
        <v>29</v>
      </c>
      <c r="G879" s="171">
        <f t="shared" si="177"/>
        <v>43027</v>
      </c>
      <c r="H879" s="160">
        <f t="shared" si="178"/>
        <v>99</v>
      </c>
      <c r="I879" s="152">
        <f t="shared" si="169"/>
        <v>3</v>
      </c>
      <c r="J879" s="152">
        <f t="shared" si="170"/>
        <v>25</v>
      </c>
      <c r="K879" s="152">
        <f t="shared" si="171"/>
        <v>202</v>
      </c>
      <c r="L879" s="152">
        <f t="shared" si="172"/>
        <v>19</v>
      </c>
      <c r="M879" s="152">
        <f t="shared" si="173"/>
        <v>1</v>
      </c>
      <c r="N879" s="152">
        <f t="shared" si="174"/>
        <v>13</v>
      </c>
      <c r="P879" s="172">
        <f t="shared" si="175"/>
        <v>49</v>
      </c>
      <c r="AI879" s="154"/>
      <c r="AJ879" s="189"/>
      <c r="AK879" s="189" t="s">
        <v>169</v>
      </c>
      <c r="AL879" s="189"/>
      <c r="AM879" s="189"/>
      <c r="AN879" s="189"/>
      <c r="AO879" s="189"/>
      <c r="AP879" s="189"/>
      <c r="AQ879" s="189"/>
      <c r="AR879" s="189"/>
      <c r="AS879" s="189"/>
      <c r="AT879" s="189">
        <v>3</v>
      </c>
      <c r="AU879" s="189">
        <v>25</v>
      </c>
      <c r="AV879" s="189"/>
      <c r="AW879" s="189"/>
      <c r="AX879" s="189"/>
      <c r="AY879" s="189">
        <v>1</v>
      </c>
      <c r="AZ879" s="189">
        <v>13</v>
      </c>
      <c r="BA879" s="187" t="s">
        <v>81</v>
      </c>
      <c r="BB879" s="152" t="s">
        <v>29</v>
      </c>
      <c r="BC879" s="150"/>
      <c r="BD879" s="150"/>
      <c r="BF879" s="152" t="s">
        <v>479</v>
      </c>
    </row>
    <row r="880" spans="1:58" s="152" customFormat="1" ht="14.25" x14ac:dyDescent="0.2">
      <c r="A880" s="160" t="s">
        <v>58</v>
      </c>
      <c r="B880" s="152" t="s">
        <v>655</v>
      </c>
      <c r="C880" s="160">
        <f t="shared" si="168"/>
        <v>0.03</v>
      </c>
      <c r="D880" s="160"/>
      <c r="E880" s="170" t="str">
        <f>IF(OR(A880="",B880="",C880=""),"eine der Spalten BAB, FR, km leer?",CONCATENATE(VLOOKUP(VALUE(I880),[1]Grundlage!$A$1:$B$14,2,0),IF(LEFT(A880,1)="A",IF(VALUE(MID(A880,2,10))&lt;10,"A00"&amp;VALUE(MID(A880,2,10)),IF(VALUE(MID(A880,2,10))&lt;100,"A0"&amp;VALUE(MID(A880,2,10)),IF(VALUE(MID(A880,2,10))&lt;1000,"A"&amp;VALUE(MID(A880,2,10))))),IF(LEFT(A880,1)="B",IF(VALUE(MID(A880,2,10))&lt;10,"B00"&amp;VALUE(MID(A880,2,10)),IF(VALUE(MID(A880,2,10))&lt;100,"B0"&amp;VALUE(MID(A880,2,10)),IF(VALUE(MID(A880,2,10))&lt;1000,"B"&amp;VALUE(MID(A880,2,10))))),A880)),"_",IF(NOT(OR(C880=1000,C880&gt;1000)),MID(TEXT((C880+1000)*1000,0),2,6),"keine Meter in Spalte km!!!"),IF(VALUE(I880)=1,CONCATENATE("_",VLOOKUP(IF(V880&gt;0,V880,J880),[1]Grundlage!$A$20:$B$181,2,0)),CONCATENATE("_",B880))))</f>
        <v>UQ_A093_000030_S</v>
      </c>
      <c r="F880" s="152" t="s">
        <v>30</v>
      </c>
      <c r="G880" s="171">
        <f t="shared" si="177"/>
        <v>43027</v>
      </c>
      <c r="H880" s="160">
        <f t="shared" si="178"/>
        <v>99</v>
      </c>
      <c r="I880" s="152">
        <f t="shared" si="169"/>
        <v>3</v>
      </c>
      <c r="J880" s="152">
        <f t="shared" si="170"/>
        <v>26</v>
      </c>
      <c r="K880" s="152">
        <f t="shared" si="171"/>
        <v>202</v>
      </c>
      <c r="L880" s="152">
        <f t="shared" si="172"/>
        <v>19</v>
      </c>
      <c r="M880" s="152">
        <f t="shared" si="173"/>
        <v>1</v>
      </c>
      <c r="N880" s="152">
        <f t="shared" si="174"/>
        <v>14</v>
      </c>
      <c r="P880" s="172">
        <f t="shared" si="175"/>
        <v>67</v>
      </c>
      <c r="AI880" s="154"/>
      <c r="AJ880" s="189"/>
      <c r="AK880" s="189" t="s">
        <v>169</v>
      </c>
      <c r="AL880" s="189"/>
      <c r="AM880" s="189"/>
      <c r="AN880" s="189"/>
      <c r="AO880" s="189"/>
      <c r="AP880" s="189"/>
      <c r="AQ880" s="189"/>
      <c r="AR880" s="189"/>
      <c r="AS880" s="189"/>
      <c r="AT880" s="189">
        <v>3</v>
      </c>
      <c r="AU880" s="189">
        <v>26</v>
      </c>
      <c r="AV880" s="189"/>
      <c r="AW880" s="189"/>
      <c r="AX880" s="189"/>
      <c r="AY880" s="189">
        <v>1</v>
      </c>
      <c r="AZ880" s="189">
        <v>14</v>
      </c>
      <c r="BA880" s="187" t="s">
        <v>82</v>
      </c>
      <c r="BB880" s="152" t="s">
        <v>30</v>
      </c>
      <c r="BC880" s="150"/>
      <c r="BD880" s="150"/>
      <c r="BF880" s="152" t="s">
        <v>480</v>
      </c>
    </row>
    <row r="881" spans="1:58" s="152" customFormat="1" ht="14.25" x14ac:dyDescent="0.2">
      <c r="A881" s="160" t="s">
        <v>58</v>
      </c>
      <c r="B881" s="152" t="s">
        <v>655</v>
      </c>
      <c r="C881" s="160">
        <f t="shared" si="168"/>
        <v>0.03</v>
      </c>
      <c r="D881" s="160"/>
      <c r="E881" s="170" t="str">
        <f>IF(OR(A881="",B881="",C881=""),"eine der Spalten BAB, FR, km leer?",CONCATENATE(VLOOKUP(VALUE(I881),[1]Grundlage!$A$1:$B$14,2,0),IF(LEFT(A881,1)="A",IF(VALUE(MID(A881,2,10))&lt;10,"A00"&amp;VALUE(MID(A881,2,10)),IF(VALUE(MID(A881,2,10))&lt;100,"A0"&amp;VALUE(MID(A881,2,10)),IF(VALUE(MID(A881,2,10))&lt;1000,"A"&amp;VALUE(MID(A881,2,10))))),IF(LEFT(A881,1)="B",IF(VALUE(MID(A881,2,10))&lt;10,"B00"&amp;VALUE(MID(A881,2,10)),IF(VALUE(MID(A881,2,10))&lt;100,"B0"&amp;VALUE(MID(A881,2,10)),IF(VALUE(MID(A881,2,10))&lt;1000,"B"&amp;VALUE(MID(A881,2,10))))),A881)),"_",IF(NOT(OR(C881=1000,C881&gt;1000)),MID(TEXT((C881+1000)*1000,0),2,6),"keine Meter in Spalte km!!!"),IF(VALUE(I881)=1,CONCATENATE("_",VLOOKUP(IF(V881&gt;0,V881,J881),[1]Grundlage!$A$20:$B$181,2,0)),CONCATENATE("_",B881))))</f>
        <v>UQ_A093_000030_S</v>
      </c>
      <c r="F881" s="152" t="s">
        <v>41</v>
      </c>
      <c r="G881" s="171">
        <f t="shared" si="177"/>
        <v>43027</v>
      </c>
      <c r="H881" s="160">
        <f t="shared" si="178"/>
        <v>99</v>
      </c>
      <c r="I881" s="152">
        <f t="shared" si="169"/>
        <v>3</v>
      </c>
      <c r="J881" s="152">
        <f t="shared" si="170"/>
        <v>27</v>
      </c>
      <c r="K881" s="152">
        <f t="shared" si="171"/>
        <v>202</v>
      </c>
      <c r="L881" s="152">
        <f t="shared" si="172"/>
        <v>19</v>
      </c>
      <c r="M881" s="152">
        <f t="shared" si="173"/>
        <v>1</v>
      </c>
      <c r="N881" s="152">
        <f t="shared" si="174"/>
        <v>15</v>
      </c>
      <c r="P881" s="172">
        <f t="shared" si="175"/>
        <v>69</v>
      </c>
      <c r="AK881" s="189" t="s">
        <v>169</v>
      </c>
      <c r="AL881" s="189"/>
      <c r="AM881" s="189"/>
      <c r="AN881" s="189"/>
      <c r="AO881" s="189"/>
      <c r="AP881" s="189"/>
      <c r="AQ881" s="189"/>
      <c r="AR881" s="189"/>
      <c r="AS881" s="189"/>
      <c r="AT881" s="189">
        <v>3</v>
      </c>
      <c r="AU881" s="189">
        <v>27</v>
      </c>
      <c r="AV881" s="189"/>
      <c r="AW881" s="189"/>
      <c r="AY881" s="148">
        <v>1</v>
      </c>
      <c r="AZ881" s="189">
        <v>15</v>
      </c>
      <c r="BA881" s="189">
        <v>10</v>
      </c>
      <c r="BB881" s="152" t="s">
        <v>41</v>
      </c>
      <c r="BC881" s="150"/>
      <c r="BD881" s="150"/>
      <c r="BF881" s="152" t="s">
        <v>465</v>
      </c>
    </row>
    <row r="882" spans="1:58" s="152" customFormat="1" ht="14.25" x14ac:dyDescent="0.2">
      <c r="A882" s="160" t="s">
        <v>58</v>
      </c>
      <c r="B882" s="152" t="s">
        <v>655</v>
      </c>
      <c r="C882" s="160">
        <f t="shared" si="168"/>
        <v>0.03</v>
      </c>
      <c r="D882" s="160"/>
      <c r="E882" s="170" t="str">
        <f>IF(OR(A882="",B882="",C882=""),"eine der Spalten BAB, FR, km leer?",CONCATENATE(VLOOKUP(VALUE(I882),[1]Grundlage!$A$1:$B$14,2,0),IF(LEFT(A882,1)="A",IF(VALUE(MID(A882,2,10))&lt;10,"A00"&amp;VALUE(MID(A882,2,10)),IF(VALUE(MID(A882,2,10))&lt;100,"A0"&amp;VALUE(MID(A882,2,10)),IF(VALUE(MID(A882,2,10))&lt;1000,"A"&amp;VALUE(MID(A882,2,10))))),IF(LEFT(A882,1)="B",IF(VALUE(MID(A882,2,10))&lt;10,"B00"&amp;VALUE(MID(A882,2,10)),IF(VALUE(MID(A882,2,10))&lt;100,"B0"&amp;VALUE(MID(A882,2,10)),IF(VALUE(MID(A882,2,10))&lt;1000,"B"&amp;VALUE(MID(A882,2,10))))),A882)),"_",IF(NOT(OR(C882=1000,C882&gt;1000)),MID(TEXT((C882+1000)*1000,0),2,6),"keine Meter in Spalte km!!!"),IF(VALUE(I882)=1,CONCATENATE("_",VLOOKUP(IF(V882&gt;0,V882,J882),[1]Grundlage!$A$20:$B$181,2,0)),CONCATENATE("_",B882))))</f>
        <v>UQ_A093_000030_S</v>
      </c>
      <c r="F882" s="152" t="s">
        <v>272</v>
      </c>
      <c r="G882" s="171">
        <f t="shared" si="177"/>
        <v>43027</v>
      </c>
      <c r="H882" s="160">
        <f t="shared" si="178"/>
        <v>99</v>
      </c>
      <c r="I882" s="152">
        <f t="shared" si="169"/>
        <v>3</v>
      </c>
      <c r="J882" s="152">
        <f t="shared" si="170"/>
        <v>102</v>
      </c>
      <c r="K882" s="152">
        <f t="shared" si="171"/>
        <v>202</v>
      </c>
      <c r="L882" s="152">
        <f t="shared" si="172"/>
        <v>19</v>
      </c>
      <c r="M882" s="152">
        <f t="shared" si="173"/>
        <v>1</v>
      </c>
      <c r="N882" s="152">
        <f t="shared" si="174"/>
        <v>16</v>
      </c>
      <c r="P882" s="172">
        <f t="shared" si="175"/>
        <v>72</v>
      </c>
      <c r="AI882" s="191"/>
      <c r="AK882" s="189"/>
      <c r="AL882" s="189"/>
      <c r="AM882" s="189"/>
      <c r="AN882" s="189"/>
      <c r="AO882" s="189"/>
      <c r="AP882" s="189"/>
      <c r="AQ882" s="189"/>
      <c r="AR882" s="189"/>
      <c r="AS882" s="189"/>
      <c r="AT882" s="148">
        <v>3</v>
      </c>
      <c r="AU882" s="189">
        <v>102</v>
      </c>
      <c r="AV882" s="155"/>
      <c r="AY882" s="148">
        <v>1</v>
      </c>
      <c r="AZ882" s="189">
        <v>16</v>
      </c>
      <c r="BA882" s="187">
        <v>12</v>
      </c>
      <c r="BB882" s="152" t="s">
        <v>272</v>
      </c>
      <c r="BC882" s="150"/>
      <c r="BD882" s="150"/>
      <c r="BF882" s="152" t="s">
        <v>481</v>
      </c>
    </row>
    <row r="883" spans="1:58" s="152" customFormat="1" ht="14.25" x14ac:dyDescent="0.2">
      <c r="A883" s="160" t="s">
        <v>58</v>
      </c>
      <c r="B883" s="152" t="s">
        <v>655</v>
      </c>
      <c r="C883" s="160">
        <f t="shared" si="168"/>
        <v>0.03</v>
      </c>
      <c r="D883" s="160"/>
      <c r="E883" s="170" t="str">
        <f>IF(OR(A883="",B883="",C883=""),"eine der Spalten BAB, FR, km leer?",CONCATENATE(VLOOKUP(VALUE(I883),[1]Grundlage!$A$1:$B$14,2,0),IF(LEFT(A883,1)="A",IF(VALUE(MID(A883,2,10))&lt;10,"A00"&amp;VALUE(MID(A883,2,10)),IF(VALUE(MID(A883,2,10))&lt;100,"A0"&amp;VALUE(MID(A883,2,10)),IF(VALUE(MID(A883,2,10))&lt;1000,"A"&amp;VALUE(MID(A883,2,10))))),IF(LEFT(A883,1)="B",IF(VALUE(MID(A883,2,10))&lt;10,"B00"&amp;VALUE(MID(A883,2,10)),IF(VALUE(MID(A883,2,10))&lt;100,"B0"&amp;VALUE(MID(A883,2,10)),IF(VALUE(MID(A883,2,10))&lt;1000,"B"&amp;VALUE(MID(A883,2,10))))),A883)),"_",IF(NOT(OR(C883=1000,C883&gt;1000)),MID(TEXT((C883+1000)*1000,0),2,6),"keine Meter in Spalte km!!!"),IF(VALUE(I883)=1,CONCATENATE("_",VLOOKUP(IF(V883&gt;0,V883,J883),[1]Grundlage!$A$20:$B$181,2,0)),CONCATENATE("_",B883))))</f>
        <v>SSt_A093_000030_S</v>
      </c>
      <c r="F883" s="152" t="s">
        <v>669</v>
      </c>
      <c r="G883" s="171">
        <f t="shared" si="177"/>
        <v>43027</v>
      </c>
      <c r="H883" s="160">
        <f t="shared" si="178"/>
        <v>99</v>
      </c>
      <c r="I883" s="152">
        <f t="shared" si="169"/>
        <v>0</v>
      </c>
      <c r="J883" s="152">
        <f t="shared" si="170"/>
        <v>0</v>
      </c>
      <c r="K883" s="152">
        <f t="shared" si="171"/>
        <v>202</v>
      </c>
      <c r="L883" s="152">
        <f t="shared" si="172"/>
        <v>19</v>
      </c>
      <c r="M883" s="152" t="str">
        <f t="shared" si="173"/>
        <v/>
      </c>
      <c r="N883" s="152" t="str">
        <f t="shared" si="174"/>
        <v/>
      </c>
      <c r="P883" s="172" t="str">
        <f t="shared" si="175"/>
        <v/>
      </c>
      <c r="AI883" s="191"/>
      <c r="AT883" s="148"/>
      <c r="AU883" s="155"/>
      <c r="AV883" s="155"/>
      <c r="AY883" s="148"/>
      <c r="AZ883" s="155"/>
      <c r="BC883" s="150"/>
      <c r="BD883" s="150"/>
    </row>
    <row r="884" spans="1:58" s="152" customFormat="1" ht="14.25" x14ac:dyDescent="0.2">
      <c r="A884" s="160" t="s">
        <v>659</v>
      </c>
      <c r="B884" s="152" t="s">
        <v>656</v>
      </c>
      <c r="C884" s="160">
        <f t="shared" si="168"/>
        <v>8.1</v>
      </c>
      <c r="D884" s="160"/>
      <c r="E884" s="170" t="str">
        <f>IF(OR(A884="",B884="",C884=""),"eine der Spalten BAB, FR, km leer?",CONCATENATE(VLOOKUP(VALUE(I884),[1]Grundlage!$A$1:$B$14,2,0),IF(LEFT(A884,1)="A",IF(VALUE(MID(A884,2,10))&lt;10,"A00"&amp;VALUE(MID(A884,2,10)),IF(VALUE(MID(A884,2,10))&lt;100,"A0"&amp;VALUE(MID(A884,2,10)),IF(VALUE(MID(A884,2,10))&lt;1000,"A"&amp;VALUE(MID(A884,2,10))))),IF(LEFT(A884,1)="B",IF(VALUE(MID(A884,2,10))&lt;10,"B00"&amp;VALUE(MID(A884,2,10)),IF(VALUE(MID(A884,2,10))&lt;100,"B0"&amp;VALUE(MID(A884,2,10)),IF(VALUE(MID(A884,2,10))&lt;1000,"B"&amp;VALUE(MID(A884,2,10))))),A884)),"_",IF(NOT(OR(C884=1000,C884&gt;1000)),MID(TEXT((C884+1000)*1000,0),2,6),"keine Meter in Spalte km!!!"),IF(VALUE(I884)=1,CONCATENATE("_",VLOOKUP(IF(V884&gt;0,V884,J884),[1]Grundlage!$A$20:$B$181,2,0)),CONCATENATE("_",B884))))</f>
        <v>SSt_B015_008100_N</v>
      </c>
      <c r="F884" s="152" t="s">
        <v>172</v>
      </c>
      <c r="G884" s="171">
        <f t="shared" si="177"/>
        <v>43027</v>
      </c>
      <c r="H884" s="160">
        <f t="shared" si="178"/>
        <v>107</v>
      </c>
      <c r="I884" s="152">
        <f t="shared" si="169"/>
        <v>0</v>
      </c>
      <c r="J884" s="152">
        <f t="shared" si="170"/>
        <v>0</v>
      </c>
      <c r="K884" s="152">
        <f t="shared" si="171"/>
        <v>202</v>
      </c>
      <c r="L884" s="152">
        <f t="shared" si="172"/>
        <v>19</v>
      </c>
      <c r="M884" s="152">
        <f t="shared" si="173"/>
        <v>23</v>
      </c>
      <c r="N884" s="152" t="str">
        <f t="shared" si="174"/>
        <v/>
      </c>
      <c r="P884" s="172" t="str">
        <f t="shared" si="175"/>
        <v/>
      </c>
      <c r="AI884" s="188">
        <v>8.1</v>
      </c>
      <c r="AJ884" s="189" t="s">
        <v>19</v>
      </c>
      <c r="AK884" s="189" t="s">
        <v>164</v>
      </c>
      <c r="AL884" s="189"/>
      <c r="AM884" s="189"/>
      <c r="AN884" s="189"/>
      <c r="AO884" s="189"/>
      <c r="AP884" s="189">
        <v>11015019</v>
      </c>
      <c r="AQ884" s="189" t="s">
        <v>168</v>
      </c>
      <c r="AR884" s="189">
        <v>13</v>
      </c>
      <c r="AS884" s="187" t="s">
        <v>173</v>
      </c>
      <c r="AW884" s="189">
        <v>202</v>
      </c>
      <c r="AX884" s="189"/>
      <c r="AY884" s="189">
        <v>23</v>
      </c>
      <c r="AZ884" s="189"/>
      <c r="BA884" s="189"/>
      <c r="BB884" s="190" t="s">
        <v>172</v>
      </c>
      <c r="BC884" s="158" t="s">
        <v>163</v>
      </c>
      <c r="BD884" s="158"/>
      <c r="BE884" s="152" t="s">
        <v>61</v>
      </c>
      <c r="BF884" s="152" t="s">
        <v>564</v>
      </c>
    </row>
    <row r="885" spans="1:58" s="152" customFormat="1" ht="14.25" x14ac:dyDescent="0.2">
      <c r="A885" s="160" t="s">
        <v>659</v>
      </c>
      <c r="B885" s="152" t="s">
        <v>656</v>
      </c>
      <c r="C885" s="160">
        <f t="shared" si="168"/>
        <v>8.1</v>
      </c>
      <c r="D885" s="160"/>
      <c r="E885" s="170" t="str">
        <f>IF(OR(A885="",B885="",C885=""),"eine der Spalten BAB, FR, km leer?",CONCATENATE(VLOOKUP(VALUE(I885),[1]Grundlage!$A$1:$B$14,2,0),IF(LEFT(A885,1)="A",IF(VALUE(MID(A885,2,10))&lt;10,"A00"&amp;VALUE(MID(A885,2,10)),IF(VALUE(MID(A885,2,10))&lt;100,"A0"&amp;VALUE(MID(A885,2,10)),IF(VALUE(MID(A885,2,10))&lt;1000,"A"&amp;VALUE(MID(A885,2,10))))),IF(LEFT(A885,1)="B",IF(VALUE(MID(A885,2,10))&lt;10,"B00"&amp;VALUE(MID(A885,2,10)),IF(VALUE(MID(A885,2,10))&lt;100,"B0"&amp;VALUE(MID(A885,2,10)),IF(VALUE(MID(A885,2,10))&lt;1000,"B"&amp;VALUE(MID(A885,2,10))))),A885)),"_",IF(NOT(OR(C885=1000,C885&gt;1000)),MID(TEXT((C885+1000)*1000,0),2,6),"keine Meter in Spalte km!!!"),IF(VALUE(I885)=1,CONCATENATE("_",VLOOKUP(IF(V885&gt;0,V885,J885),[1]Grundlage!$A$20:$B$181,2,0)),CONCATENATE("_",B885))))</f>
        <v>UQ_B015_008100_N</v>
      </c>
      <c r="F885" s="152" t="s">
        <v>269</v>
      </c>
      <c r="G885" s="171">
        <f t="shared" si="177"/>
        <v>43027</v>
      </c>
      <c r="H885" s="160">
        <f t="shared" si="178"/>
        <v>107</v>
      </c>
      <c r="I885" s="152">
        <f t="shared" si="169"/>
        <v>3</v>
      </c>
      <c r="J885" s="152">
        <f t="shared" si="170"/>
        <v>6</v>
      </c>
      <c r="K885" s="152">
        <f t="shared" si="171"/>
        <v>202</v>
      </c>
      <c r="L885" s="152">
        <f t="shared" si="172"/>
        <v>19</v>
      </c>
      <c r="M885" s="152">
        <f t="shared" si="173"/>
        <v>1</v>
      </c>
      <c r="N885" s="152">
        <f t="shared" si="174"/>
        <v>1</v>
      </c>
      <c r="P885" s="172">
        <f t="shared" si="175"/>
        <v>71</v>
      </c>
      <c r="AI885" s="191"/>
      <c r="AJ885" s="189"/>
      <c r="AK885" s="189" t="s">
        <v>164</v>
      </c>
      <c r="AL885" s="189"/>
      <c r="AM885" s="189"/>
      <c r="AN885" s="189"/>
      <c r="AO885" s="189"/>
      <c r="AT885" s="148">
        <v>3</v>
      </c>
      <c r="AU885" s="189">
        <v>6</v>
      </c>
      <c r="AV885" s="196">
        <v>6</v>
      </c>
      <c r="AW885" s="148"/>
      <c r="AX885" s="148"/>
      <c r="AY885" s="148">
        <v>1</v>
      </c>
      <c r="AZ885" s="189">
        <v>1</v>
      </c>
      <c r="BA885" s="196">
        <v>1</v>
      </c>
      <c r="BB885" s="152" t="s">
        <v>269</v>
      </c>
      <c r="BC885" s="150"/>
      <c r="BD885" s="150"/>
      <c r="BF885" s="152" t="s">
        <v>440</v>
      </c>
    </row>
    <row r="886" spans="1:58" s="152" customFormat="1" ht="14.25" x14ac:dyDescent="0.2">
      <c r="A886" s="160" t="s">
        <v>659</v>
      </c>
      <c r="B886" s="152" t="s">
        <v>656</v>
      </c>
      <c r="C886" s="160">
        <f t="shared" si="168"/>
        <v>8.1</v>
      </c>
      <c r="D886" s="160"/>
      <c r="E886" s="170" t="str">
        <f>IF(OR(A886="",B886="",C886=""),"eine der Spalten BAB, FR, km leer?",CONCATENATE(VLOOKUP(VALUE(I886),[1]Grundlage!$A$1:$B$14,2,0),IF(LEFT(A886,1)="A",IF(VALUE(MID(A886,2,10))&lt;10,"A00"&amp;VALUE(MID(A886,2,10)),IF(VALUE(MID(A886,2,10))&lt;100,"A0"&amp;VALUE(MID(A886,2,10)),IF(VALUE(MID(A886,2,10))&lt;1000,"A"&amp;VALUE(MID(A886,2,10))))),IF(LEFT(A886,1)="B",IF(VALUE(MID(A886,2,10))&lt;10,"B00"&amp;VALUE(MID(A886,2,10)),IF(VALUE(MID(A886,2,10))&lt;100,"B0"&amp;VALUE(MID(A886,2,10)),IF(VALUE(MID(A886,2,10))&lt;1000,"B"&amp;VALUE(MID(A886,2,10))))),A886)),"_",IF(NOT(OR(C886=1000,C886&gt;1000)),MID(TEXT((C886+1000)*1000,0),2,6),"keine Meter in Spalte km!!!"),IF(VALUE(I886)=1,CONCATENATE("_",VLOOKUP(IF(V886&gt;0,V886,J886),[1]Grundlage!$A$20:$B$181,2,0)),CONCATENATE("_",B886))))</f>
        <v>UQ_B015_008100_N</v>
      </c>
      <c r="F886" s="152" t="s">
        <v>270</v>
      </c>
      <c r="G886" s="171">
        <f t="shared" si="177"/>
        <v>43027</v>
      </c>
      <c r="H886" s="160">
        <f t="shared" si="178"/>
        <v>107</v>
      </c>
      <c r="I886" s="152">
        <f t="shared" si="169"/>
        <v>3</v>
      </c>
      <c r="J886" s="152">
        <f t="shared" si="170"/>
        <v>11</v>
      </c>
      <c r="K886" s="152">
        <f t="shared" si="171"/>
        <v>202</v>
      </c>
      <c r="L886" s="152">
        <f t="shared" si="172"/>
        <v>19</v>
      </c>
      <c r="M886" s="152">
        <f t="shared" si="173"/>
        <v>1</v>
      </c>
      <c r="N886" s="152">
        <f t="shared" si="174"/>
        <v>2</v>
      </c>
      <c r="P886" s="172">
        <f t="shared" si="175"/>
        <v>70</v>
      </c>
      <c r="AI886" s="191"/>
      <c r="AJ886" s="189"/>
      <c r="AK886" s="189" t="s">
        <v>164</v>
      </c>
      <c r="AL886" s="189"/>
      <c r="AM886" s="189"/>
      <c r="AN886" s="189"/>
      <c r="AO886" s="189"/>
      <c r="AP886" s="189"/>
      <c r="AQ886" s="189"/>
      <c r="AR886" s="189"/>
      <c r="AS886" s="189"/>
      <c r="AT886" s="148">
        <v>3</v>
      </c>
      <c r="AU886" s="189">
        <v>11</v>
      </c>
      <c r="AV886" s="189" t="s">
        <v>78</v>
      </c>
      <c r="AY886" s="148">
        <v>1</v>
      </c>
      <c r="AZ886" s="189">
        <v>2</v>
      </c>
      <c r="BA886" s="189">
        <v>2</v>
      </c>
      <c r="BB886" s="152" t="s">
        <v>270</v>
      </c>
      <c r="BC886" s="150"/>
      <c r="BD886" s="150"/>
      <c r="BF886" s="152" t="s">
        <v>565</v>
      </c>
    </row>
    <row r="887" spans="1:58" s="152" customFormat="1" ht="14.25" x14ac:dyDescent="0.2">
      <c r="A887" s="160" t="s">
        <v>659</v>
      </c>
      <c r="B887" s="152" t="s">
        <v>656</v>
      </c>
      <c r="C887" s="160">
        <f t="shared" si="168"/>
        <v>8.1</v>
      </c>
      <c r="D887" s="160"/>
      <c r="E887" s="170" t="str">
        <f>IF(OR(A887="",B887="",C887=""),"eine der Spalten BAB, FR, km leer?",CONCATENATE(VLOOKUP(VALUE(I887),[1]Grundlage!$A$1:$B$14,2,0),IF(LEFT(A887,1)="A",IF(VALUE(MID(A887,2,10))&lt;10,"A00"&amp;VALUE(MID(A887,2,10)),IF(VALUE(MID(A887,2,10))&lt;100,"A0"&amp;VALUE(MID(A887,2,10)),IF(VALUE(MID(A887,2,10))&lt;1000,"A"&amp;VALUE(MID(A887,2,10))))),IF(LEFT(A887,1)="B",IF(VALUE(MID(A887,2,10))&lt;10,"B00"&amp;VALUE(MID(A887,2,10)),IF(VALUE(MID(A887,2,10))&lt;100,"B0"&amp;VALUE(MID(A887,2,10)),IF(VALUE(MID(A887,2,10))&lt;1000,"B"&amp;VALUE(MID(A887,2,10))))),A887)),"_",IF(NOT(OR(C887=1000,C887&gt;1000)),MID(TEXT((C887+1000)*1000,0),2,6),"keine Meter in Spalte km!!!"),IF(VALUE(I887)=1,CONCATENATE("_",VLOOKUP(IF(V887&gt;0,V887,J887),[1]Grundlage!$A$20:$B$181,2,0)),CONCATENATE("_",B887))))</f>
        <v>UQ_B015_008100_N</v>
      </c>
      <c r="F887" s="152" t="s">
        <v>25</v>
      </c>
      <c r="G887" s="171">
        <f t="shared" si="177"/>
        <v>43027</v>
      </c>
      <c r="H887" s="160">
        <f t="shared" si="178"/>
        <v>107</v>
      </c>
      <c r="I887" s="152">
        <f t="shared" si="169"/>
        <v>3</v>
      </c>
      <c r="J887" s="152">
        <f t="shared" si="170"/>
        <v>12</v>
      </c>
      <c r="K887" s="152">
        <f t="shared" si="171"/>
        <v>202</v>
      </c>
      <c r="L887" s="152">
        <f t="shared" si="172"/>
        <v>19</v>
      </c>
      <c r="M887" s="152">
        <f t="shared" si="173"/>
        <v>1</v>
      </c>
      <c r="N887" s="152">
        <f t="shared" si="174"/>
        <v>3</v>
      </c>
      <c r="P887" s="172">
        <f t="shared" si="175"/>
        <v>48</v>
      </c>
      <c r="AI887" s="191"/>
      <c r="AJ887" s="189"/>
      <c r="AK887" s="189" t="s">
        <v>164</v>
      </c>
      <c r="AL887" s="189"/>
      <c r="AM887" s="189"/>
      <c r="AN887" s="189"/>
      <c r="AO887" s="189"/>
      <c r="AP887" s="189"/>
      <c r="AQ887" s="189"/>
      <c r="AR887" s="189"/>
      <c r="AS887" s="189"/>
      <c r="AT887" s="189">
        <v>3</v>
      </c>
      <c r="AU887" s="189">
        <v>12</v>
      </c>
      <c r="AV887" s="189"/>
      <c r="AW887" s="189"/>
      <c r="AX887" s="189"/>
      <c r="AY887" s="189">
        <v>1</v>
      </c>
      <c r="AZ887" s="189">
        <v>3</v>
      </c>
      <c r="BA887" s="189">
        <v>3</v>
      </c>
      <c r="BB887" s="152" t="s">
        <v>25</v>
      </c>
      <c r="BC887" s="150"/>
      <c r="BD887" s="150"/>
      <c r="BF887" s="152" t="s">
        <v>441</v>
      </c>
    </row>
    <row r="888" spans="1:58" s="152" customFormat="1" ht="14.25" x14ac:dyDescent="0.2">
      <c r="A888" s="160" t="s">
        <v>659</v>
      </c>
      <c r="B888" s="152" t="s">
        <v>656</v>
      </c>
      <c r="C888" s="160">
        <f t="shared" si="168"/>
        <v>8.1</v>
      </c>
      <c r="D888" s="160"/>
      <c r="E888" s="170" t="str">
        <f>IF(OR(A888="",B888="",C888=""),"eine der Spalten BAB, FR, km leer?",CONCATENATE(VLOOKUP(VALUE(I888),[1]Grundlage!$A$1:$B$14,2,0),IF(LEFT(A888,1)="A",IF(VALUE(MID(A888,2,10))&lt;10,"A00"&amp;VALUE(MID(A888,2,10)),IF(VALUE(MID(A888,2,10))&lt;100,"A0"&amp;VALUE(MID(A888,2,10)),IF(VALUE(MID(A888,2,10))&lt;1000,"A"&amp;VALUE(MID(A888,2,10))))),IF(LEFT(A888,1)="B",IF(VALUE(MID(A888,2,10))&lt;10,"B00"&amp;VALUE(MID(A888,2,10)),IF(VALUE(MID(A888,2,10))&lt;100,"B0"&amp;VALUE(MID(A888,2,10)),IF(VALUE(MID(A888,2,10))&lt;1000,"B"&amp;VALUE(MID(A888,2,10))))),A888)),"_",IF(NOT(OR(C888=1000,C888&gt;1000)),MID(TEXT((C888+1000)*1000,0),2,6),"keine Meter in Spalte km!!!"),IF(VALUE(I888)=1,CONCATENATE("_",VLOOKUP(IF(V888&gt;0,V888,J888),[1]Grundlage!$A$20:$B$181,2,0)),CONCATENATE("_",B888))))</f>
        <v>UQ_B015_008100_N</v>
      </c>
      <c r="F888" s="152" t="s">
        <v>26</v>
      </c>
      <c r="G888" s="171">
        <f t="shared" si="177"/>
        <v>43027</v>
      </c>
      <c r="H888" s="160">
        <f t="shared" si="178"/>
        <v>107</v>
      </c>
      <c r="I888" s="152">
        <f t="shared" si="169"/>
        <v>3</v>
      </c>
      <c r="J888" s="152">
        <f t="shared" si="170"/>
        <v>13</v>
      </c>
      <c r="K888" s="152">
        <f t="shared" si="171"/>
        <v>202</v>
      </c>
      <c r="L888" s="152">
        <f t="shared" si="172"/>
        <v>19</v>
      </c>
      <c r="M888" s="152">
        <f t="shared" si="173"/>
        <v>1</v>
      </c>
      <c r="N888" s="152">
        <f t="shared" si="174"/>
        <v>4</v>
      </c>
      <c r="P888" s="172">
        <f t="shared" si="175"/>
        <v>55</v>
      </c>
      <c r="AI888" s="191"/>
      <c r="AJ888" s="189"/>
      <c r="AK888" s="189" t="s">
        <v>164</v>
      </c>
      <c r="AL888" s="189"/>
      <c r="AM888" s="189"/>
      <c r="AN888" s="189"/>
      <c r="AO888" s="189"/>
      <c r="AP888" s="189"/>
      <c r="AQ888" s="189"/>
      <c r="AR888" s="189"/>
      <c r="AS888" s="189"/>
      <c r="AT888" s="189">
        <v>3</v>
      </c>
      <c r="AU888" s="189">
        <v>13</v>
      </c>
      <c r="AV888" s="189"/>
      <c r="AW888" s="189"/>
      <c r="AX888" s="189"/>
      <c r="AY888" s="189">
        <v>1</v>
      </c>
      <c r="AZ888" s="189">
        <v>4</v>
      </c>
      <c r="BA888" s="189">
        <v>4</v>
      </c>
      <c r="BB888" s="152" t="s">
        <v>26</v>
      </c>
      <c r="BC888" s="150"/>
      <c r="BD888" s="150"/>
      <c r="BF888" s="152" t="s">
        <v>442</v>
      </c>
    </row>
    <row r="889" spans="1:58" s="152" customFormat="1" ht="14.25" x14ac:dyDescent="0.2">
      <c r="A889" s="160" t="s">
        <v>659</v>
      </c>
      <c r="B889" s="152" t="s">
        <v>656</v>
      </c>
      <c r="C889" s="160">
        <f t="shared" si="168"/>
        <v>8.1</v>
      </c>
      <c r="D889" s="160"/>
      <c r="E889" s="170" t="str">
        <f>IF(OR(A889="",B889="",C889=""),"eine der Spalten BAB, FR, km leer?",CONCATENATE(VLOOKUP(VALUE(I889),[1]Grundlage!$A$1:$B$14,2,0),IF(LEFT(A889,1)="A",IF(VALUE(MID(A889,2,10))&lt;10,"A00"&amp;VALUE(MID(A889,2,10)),IF(VALUE(MID(A889,2,10))&lt;100,"A0"&amp;VALUE(MID(A889,2,10)),IF(VALUE(MID(A889,2,10))&lt;1000,"A"&amp;VALUE(MID(A889,2,10))))),IF(LEFT(A889,1)="B",IF(VALUE(MID(A889,2,10))&lt;10,"B00"&amp;VALUE(MID(A889,2,10)),IF(VALUE(MID(A889,2,10))&lt;100,"B0"&amp;VALUE(MID(A889,2,10)),IF(VALUE(MID(A889,2,10))&lt;1000,"B"&amp;VALUE(MID(A889,2,10))))),A889)),"_",IF(NOT(OR(C889=1000,C889&gt;1000)),MID(TEXT((C889+1000)*1000,0),2,6),"keine Meter in Spalte km!!!"),IF(VALUE(I889)=1,CONCATENATE("_",VLOOKUP(IF(V889&gt;0,V889,J889),[1]Grundlage!$A$20:$B$181,2,0)),CONCATENATE("_",B889))))</f>
        <v>UQ_B015_008100_N</v>
      </c>
      <c r="F889" s="152" t="s">
        <v>27</v>
      </c>
      <c r="G889" s="171">
        <f t="shared" si="177"/>
        <v>43027</v>
      </c>
      <c r="H889" s="160">
        <f t="shared" si="178"/>
        <v>107</v>
      </c>
      <c r="I889" s="152">
        <f t="shared" si="169"/>
        <v>3</v>
      </c>
      <c r="J889" s="152">
        <f t="shared" si="170"/>
        <v>14</v>
      </c>
      <c r="K889" s="152">
        <f t="shared" si="171"/>
        <v>202</v>
      </c>
      <c r="L889" s="152">
        <f t="shared" si="172"/>
        <v>19</v>
      </c>
      <c r="M889" s="152">
        <f t="shared" si="173"/>
        <v>1</v>
      </c>
      <c r="N889" s="152">
        <f t="shared" si="174"/>
        <v>5</v>
      </c>
      <c r="P889" s="172">
        <f t="shared" si="175"/>
        <v>66</v>
      </c>
      <c r="AI889" s="154"/>
      <c r="AJ889" s="189"/>
      <c r="AK889" s="189" t="s">
        <v>164</v>
      </c>
      <c r="AL889" s="189"/>
      <c r="AM889" s="189"/>
      <c r="AN889" s="189"/>
      <c r="AO889" s="189"/>
      <c r="AP889" s="189"/>
      <c r="AQ889" s="189"/>
      <c r="AR889" s="189"/>
      <c r="AS889" s="189"/>
      <c r="AT889" s="189">
        <v>3</v>
      </c>
      <c r="AU889" s="189">
        <v>14</v>
      </c>
      <c r="AV889" s="189"/>
      <c r="AW889" s="189"/>
      <c r="AX889" s="189"/>
      <c r="AY889" s="189">
        <v>1</v>
      </c>
      <c r="AZ889" s="189">
        <v>5</v>
      </c>
      <c r="BA889" s="189">
        <v>5</v>
      </c>
      <c r="BB889" s="152" t="s">
        <v>27</v>
      </c>
      <c r="BC889" s="150"/>
      <c r="BD889" s="150"/>
      <c r="BF889" s="152" t="s">
        <v>443</v>
      </c>
    </row>
    <row r="890" spans="1:58" s="152" customFormat="1" ht="14.25" x14ac:dyDescent="0.2">
      <c r="A890" s="160" t="s">
        <v>659</v>
      </c>
      <c r="B890" s="152" t="s">
        <v>656</v>
      </c>
      <c r="C890" s="160">
        <f t="shared" si="168"/>
        <v>8.1</v>
      </c>
      <c r="D890" s="160"/>
      <c r="E890" s="170" t="str">
        <f>IF(OR(A890="",B890="",C890=""),"eine der Spalten BAB, FR, km leer?",CONCATENATE(VLOOKUP(VALUE(I890),[1]Grundlage!$A$1:$B$14,2,0),IF(LEFT(A890,1)="A",IF(VALUE(MID(A890,2,10))&lt;10,"A00"&amp;VALUE(MID(A890,2,10)),IF(VALUE(MID(A890,2,10))&lt;100,"A0"&amp;VALUE(MID(A890,2,10)),IF(VALUE(MID(A890,2,10))&lt;1000,"A"&amp;VALUE(MID(A890,2,10))))),IF(LEFT(A890,1)="B",IF(VALUE(MID(A890,2,10))&lt;10,"B00"&amp;VALUE(MID(A890,2,10)),IF(VALUE(MID(A890,2,10))&lt;100,"B0"&amp;VALUE(MID(A890,2,10)),IF(VALUE(MID(A890,2,10))&lt;1000,"B"&amp;VALUE(MID(A890,2,10))))),A890)),"_",IF(NOT(OR(C890=1000,C890&gt;1000)),MID(TEXT((C890+1000)*1000,0),2,6),"keine Meter in Spalte km!!!"),IF(VALUE(I890)=1,CONCATENATE("_",VLOOKUP(IF(V890&gt;0,V890,J890),[1]Grundlage!$A$20:$B$181,2,0)),CONCATENATE("_",B890))))</f>
        <v>UQ_B015_008100_N</v>
      </c>
      <c r="F890" s="152" t="s">
        <v>28</v>
      </c>
      <c r="G890" s="171">
        <f t="shared" si="177"/>
        <v>43027</v>
      </c>
      <c r="H890" s="160">
        <f t="shared" si="178"/>
        <v>107</v>
      </c>
      <c r="I890" s="152">
        <f t="shared" si="169"/>
        <v>3</v>
      </c>
      <c r="J890" s="152">
        <f t="shared" si="170"/>
        <v>15</v>
      </c>
      <c r="K890" s="152">
        <f t="shared" si="171"/>
        <v>202</v>
      </c>
      <c r="L890" s="152">
        <f t="shared" si="172"/>
        <v>19</v>
      </c>
      <c r="M890" s="152">
        <f t="shared" si="173"/>
        <v>1</v>
      </c>
      <c r="N890" s="152">
        <f t="shared" si="174"/>
        <v>6</v>
      </c>
      <c r="P890" s="172">
        <f t="shared" si="175"/>
        <v>65</v>
      </c>
      <c r="AJ890" s="189"/>
      <c r="AK890" s="189" t="s">
        <v>164</v>
      </c>
      <c r="AL890" s="189"/>
      <c r="AM890" s="189"/>
      <c r="AN890" s="189"/>
      <c r="AO890" s="189"/>
      <c r="AP890" s="189"/>
      <c r="AQ890" s="189"/>
      <c r="AR890" s="189"/>
      <c r="AS890" s="189"/>
      <c r="AT890" s="189">
        <v>3</v>
      </c>
      <c r="AU890" s="189">
        <v>15</v>
      </c>
      <c r="AV890" s="189"/>
      <c r="AW890" s="189"/>
      <c r="AX890" s="189"/>
      <c r="AY890" s="189">
        <v>1</v>
      </c>
      <c r="AZ890" s="189">
        <v>6</v>
      </c>
      <c r="BA890" s="189">
        <v>6</v>
      </c>
      <c r="BB890" s="152" t="s">
        <v>28</v>
      </c>
      <c r="BC890" s="150"/>
      <c r="BD890" s="150"/>
      <c r="BF890" s="152" t="s">
        <v>566</v>
      </c>
    </row>
    <row r="891" spans="1:58" s="152" customFormat="1" ht="14.25" x14ac:dyDescent="0.2">
      <c r="A891" s="160" t="s">
        <v>659</v>
      </c>
      <c r="B891" s="152" t="s">
        <v>656</v>
      </c>
      <c r="C891" s="160">
        <f t="shared" si="168"/>
        <v>8.1</v>
      </c>
      <c r="D891" s="160"/>
      <c r="E891" s="170" t="str">
        <f>IF(OR(A891="",B891="",C891=""),"eine der Spalten BAB, FR, km leer?",CONCATENATE(VLOOKUP(VALUE(I891),[1]Grundlage!$A$1:$B$14,2,0),IF(LEFT(A891,1)="A",IF(VALUE(MID(A891,2,10))&lt;10,"A00"&amp;VALUE(MID(A891,2,10)),IF(VALUE(MID(A891,2,10))&lt;100,"A0"&amp;VALUE(MID(A891,2,10)),IF(VALUE(MID(A891,2,10))&lt;1000,"A"&amp;VALUE(MID(A891,2,10))))),IF(LEFT(A891,1)="B",IF(VALUE(MID(A891,2,10))&lt;10,"B00"&amp;VALUE(MID(A891,2,10)),IF(VALUE(MID(A891,2,10))&lt;100,"B0"&amp;VALUE(MID(A891,2,10)),IF(VALUE(MID(A891,2,10))&lt;1000,"B"&amp;VALUE(MID(A891,2,10))))),A891)),"_",IF(NOT(OR(C891=1000,C891&gt;1000)),MID(TEXT((C891+1000)*1000,0),2,6),"keine Meter in Spalte km!!!"),IF(VALUE(I891)=1,CONCATENATE("_",VLOOKUP(IF(V891&gt;0,V891,J891),[1]Grundlage!$A$20:$B$181,2,0)),CONCATENATE("_",B891))))</f>
        <v>UQ_B015_008100_N</v>
      </c>
      <c r="F891" s="152" t="s">
        <v>29</v>
      </c>
      <c r="G891" s="171">
        <f t="shared" si="177"/>
        <v>43027</v>
      </c>
      <c r="H891" s="160">
        <f t="shared" si="178"/>
        <v>107</v>
      </c>
      <c r="I891" s="152">
        <f t="shared" si="169"/>
        <v>3</v>
      </c>
      <c r="J891" s="152">
        <f t="shared" si="170"/>
        <v>19</v>
      </c>
      <c r="K891" s="152">
        <f t="shared" si="171"/>
        <v>202</v>
      </c>
      <c r="L891" s="152">
        <f t="shared" si="172"/>
        <v>19</v>
      </c>
      <c r="M891" s="152">
        <f t="shared" si="173"/>
        <v>1</v>
      </c>
      <c r="N891" s="152">
        <f t="shared" si="174"/>
        <v>7</v>
      </c>
      <c r="P891" s="172">
        <f t="shared" si="175"/>
        <v>49</v>
      </c>
      <c r="AI891" s="191"/>
      <c r="AJ891" s="189"/>
      <c r="AK891" s="189" t="s">
        <v>164</v>
      </c>
      <c r="AL891" s="189"/>
      <c r="AM891" s="189"/>
      <c r="AN891" s="189"/>
      <c r="AO891" s="189"/>
      <c r="AP891" s="189"/>
      <c r="AQ891" s="189"/>
      <c r="AR891" s="189"/>
      <c r="AS891" s="189"/>
      <c r="AT891" s="189">
        <v>3</v>
      </c>
      <c r="AU891" s="189">
        <v>19</v>
      </c>
      <c r="AV891" s="189"/>
      <c r="AW891" s="189"/>
      <c r="AX891" s="189"/>
      <c r="AY891" s="189">
        <v>1</v>
      </c>
      <c r="AZ891" s="189">
        <v>7</v>
      </c>
      <c r="BA891" s="189">
        <v>7</v>
      </c>
      <c r="BB891" s="152" t="s">
        <v>29</v>
      </c>
      <c r="BC891" s="150"/>
      <c r="BD891" s="150"/>
      <c r="BF891" s="152" t="s">
        <v>567</v>
      </c>
    </row>
    <row r="892" spans="1:58" s="152" customFormat="1" ht="14.25" x14ac:dyDescent="0.2">
      <c r="A892" s="160" t="s">
        <v>659</v>
      </c>
      <c r="B892" s="152" t="s">
        <v>656</v>
      </c>
      <c r="C892" s="160">
        <f t="shared" si="168"/>
        <v>8.1</v>
      </c>
      <c r="D892" s="160"/>
      <c r="E892" s="170" t="str">
        <f>IF(OR(A892="",B892="",C892=""),"eine der Spalten BAB, FR, km leer?",CONCATENATE(VLOOKUP(VALUE(I892),[1]Grundlage!$A$1:$B$14,2,0),IF(LEFT(A892,1)="A",IF(VALUE(MID(A892,2,10))&lt;10,"A00"&amp;VALUE(MID(A892,2,10)),IF(VALUE(MID(A892,2,10))&lt;100,"A0"&amp;VALUE(MID(A892,2,10)),IF(VALUE(MID(A892,2,10))&lt;1000,"A"&amp;VALUE(MID(A892,2,10))))),IF(LEFT(A892,1)="B",IF(VALUE(MID(A892,2,10))&lt;10,"B00"&amp;VALUE(MID(A892,2,10)),IF(VALUE(MID(A892,2,10))&lt;100,"B0"&amp;VALUE(MID(A892,2,10)),IF(VALUE(MID(A892,2,10))&lt;1000,"B"&amp;VALUE(MID(A892,2,10))))),A892)),"_",IF(NOT(OR(C892=1000,C892&gt;1000)),MID(TEXT((C892+1000)*1000,0),2,6),"keine Meter in Spalte km!!!"),IF(VALUE(I892)=1,CONCATENATE("_",VLOOKUP(IF(V892&gt;0,V892,J892),[1]Grundlage!$A$20:$B$181,2,0)),CONCATENATE("_",B892))))</f>
        <v>UQ_B015_008100_N</v>
      </c>
      <c r="F892" s="152" t="s">
        <v>30</v>
      </c>
      <c r="G892" s="171">
        <f t="shared" si="177"/>
        <v>43027</v>
      </c>
      <c r="H892" s="160">
        <f t="shared" si="178"/>
        <v>107</v>
      </c>
      <c r="I892" s="152">
        <f t="shared" si="169"/>
        <v>3</v>
      </c>
      <c r="J892" s="152">
        <f t="shared" si="170"/>
        <v>21</v>
      </c>
      <c r="K892" s="152">
        <f t="shared" si="171"/>
        <v>202</v>
      </c>
      <c r="L892" s="152">
        <f t="shared" si="172"/>
        <v>19</v>
      </c>
      <c r="M892" s="152">
        <f t="shared" si="173"/>
        <v>1</v>
      </c>
      <c r="N892" s="152">
        <f t="shared" si="174"/>
        <v>8</v>
      </c>
      <c r="P892" s="172">
        <f t="shared" si="175"/>
        <v>67</v>
      </c>
      <c r="AI892" s="191"/>
      <c r="AJ892" s="189"/>
      <c r="AK892" s="189" t="s">
        <v>164</v>
      </c>
      <c r="AL892" s="189"/>
      <c r="AM892" s="189"/>
      <c r="AN892" s="189"/>
      <c r="AO892" s="189"/>
      <c r="AP892" s="189"/>
      <c r="AQ892" s="189"/>
      <c r="AR892" s="189"/>
      <c r="AS892" s="189"/>
      <c r="AT892" s="189">
        <v>3</v>
      </c>
      <c r="AU892" s="189">
        <v>21</v>
      </c>
      <c r="AV892" s="189"/>
      <c r="AW892" s="189"/>
      <c r="AX892" s="189"/>
      <c r="AY892" s="189">
        <v>1</v>
      </c>
      <c r="AZ892" s="189">
        <v>8</v>
      </c>
      <c r="BA892" s="189">
        <v>8</v>
      </c>
      <c r="BB892" s="152" t="s">
        <v>30</v>
      </c>
      <c r="BC892" s="150"/>
      <c r="BD892" s="150"/>
      <c r="BF892" s="152" t="s">
        <v>568</v>
      </c>
    </row>
    <row r="893" spans="1:58" s="152" customFormat="1" ht="14.25" x14ac:dyDescent="0.2">
      <c r="A893" s="160" t="s">
        <v>659</v>
      </c>
      <c r="B893" s="152" t="s">
        <v>656</v>
      </c>
      <c r="C893" s="160">
        <f t="shared" si="168"/>
        <v>8.1</v>
      </c>
      <c r="D893" s="160"/>
      <c r="E893" s="170" t="str">
        <f>IF(OR(A893="",B893="",C893=""),"eine der Spalten BAB, FR, km leer?",CONCATENATE(VLOOKUP(VALUE(I893),[1]Grundlage!$A$1:$B$14,2,0),IF(LEFT(A893,1)="A",IF(VALUE(MID(A893,2,10))&lt;10,"A00"&amp;VALUE(MID(A893,2,10)),IF(VALUE(MID(A893,2,10))&lt;100,"A0"&amp;VALUE(MID(A893,2,10)),IF(VALUE(MID(A893,2,10))&lt;1000,"A"&amp;VALUE(MID(A893,2,10))))),IF(LEFT(A893,1)="B",IF(VALUE(MID(A893,2,10))&lt;10,"B00"&amp;VALUE(MID(A893,2,10)),IF(VALUE(MID(A893,2,10))&lt;100,"B0"&amp;VALUE(MID(A893,2,10)),IF(VALUE(MID(A893,2,10))&lt;1000,"B"&amp;VALUE(MID(A893,2,10))))),A893)),"_",IF(NOT(OR(C893=1000,C893&gt;1000)),MID(TEXT((C893+1000)*1000,0),2,6),"keine Meter in Spalte km!!!"),IF(VALUE(I893)=1,CONCATENATE("_",VLOOKUP(IF(V893&gt;0,V893,J893),[1]Grundlage!$A$20:$B$181,2,0)),CONCATENATE("_",B893))))</f>
        <v>UQ_B015_008100_N</v>
      </c>
      <c r="F893" s="152" t="s">
        <v>271</v>
      </c>
      <c r="G893" s="171">
        <f t="shared" si="177"/>
        <v>43027</v>
      </c>
      <c r="H893" s="160">
        <f t="shared" si="178"/>
        <v>107</v>
      </c>
      <c r="I893" s="152">
        <f t="shared" si="169"/>
        <v>3</v>
      </c>
      <c r="J893" s="152">
        <f t="shared" si="170"/>
        <v>67</v>
      </c>
      <c r="K893" s="152">
        <f t="shared" si="171"/>
        <v>202</v>
      </c>
      <c r="L893" s="152">
        <f t="shared" si="172"/>
        <v>19</v>
      </c>
      <c r="M893" s="152">
        <f t="shared" si="173"/>
        <v>1</v>
      </c>
      <c r="N893" s="152">
        <f t="shared" si="174"/>
        <v>9</v>
      </c>
      <c r="P893" s="172">
        <f t="shared" si="175"/>
        <v>53</v>
      </c>
      <c r="AI893" s="191"/>
      <c r="AJ893" s="189"/>
      <c r="AK893" s="189"/>
      <c r="AL893" s="189"/>
      <c r="AM893" s="189"/>
      <c r="AN893" s="189"/>
      <c r="AO893" s="189"/>
      <c r="AP893" s="189"/>
      <c r="AQ893" s="189"/>
      <c r="AR893" s="189"/>
      <c r="AS893" s="189"/>
      <c r="AT893" s="148">
        <v>3</v>
      </c>
      <c r="AU893" s="189">
        <v>67</v>
      </c>
      <c r="AV893" s="189">
        <v>43</v>
      </c>
      <c r="AY893" s="148">
        <v>1</v>
      </c>
      <c r="AZ893" s="189">
        <v>9</v>
      </c>
      <c r="BA893" s="187">
        <v>9</v>
      </c>
      <c r="BB893" s="152" t="s">
        <v>271</v>
      </c>
      <c r="BC893" s="150"/>
      <c r="BD893" s="150"/>
      <c r="BF893" s="152" t="s">
        <v>444</v>
      </c>
    </row>
    <row r="894" spans="1:58" s="152" customFormat="1" ht="14.25" x14ac:dyDescent="0.2">
      <c r="A894" s="160" t="s">
        <v>659</v>
      </c>
      <c r="B894" s="152" t="s">
        <v>656</v>
      </c>
      <c r="C894" s="160">
        <f t="shared" si="168"/>
        <v>8.1</v>
      </c>
      <c r="D894" s="160"/>
      <c r="E894" s="170" t="str">
        <f>IF(OR(A894="",B894="",C894=""),"eine der Spalten BAB, FR, km leer?",CONCATENATE(VLOOKUP(VALUE(I894),[1]Grundlage!$A$1:$B$14,2,0),IF(LEFT(A894,1)="A",IF(VALUE(MID(A894,2,10))&lt;10,"A00"&amp;VALUE(MID(A894,2,10)),IF(VALUE(MID(A894,2,10))&lt;100,"A0"&amp;VALUE(MID(A894,2,10)),IF(VALUE(MID(A894,2,10))&lt;1000,"A"&amp;VALUE(MID(A894,2,10))))),IF(LEFT(A894,1)="B",IF(VALUE(MID(A894,2,10))&lt;10,"B00"&amp;VALUE(MID(A894,2,10)),IF(VALUE(MID(A894,2,10))&lt;100,"B0"&amp;VALUE(MID(A894,2,10)),IF(VALUE(MID(A894,2,10))&lt;1000,"B"&amp;VALUE(MID(A894,2,10))))),A894)),"_",IF(NOT(OR(C894=1000,C894&gt;1000)),MID(TEXT((C894+1000)*1000,0),2,6),"keine Meter in Spalte km!!!"),IF(VALUE(I894)=1,CONCATENATE("_",VLOOKUP(IF(V894&gt;0,V894,J894),[1]Grundlage!$A$20:$B$181,2,0)),CONCATENATE("_",B894))))</f>
        <v>UQ_B015_008100_N</v>
      </c>
      <c r="F894" s="152" t="s">
        <v>272</v>
      </c>
      <c r="G894" s="171">
        <f t="shared" si="177"/>
        <v>43027</v>
      </c>
      <c r="H894" s="160">
        <f t="shared" si="178"/>
        <v>107</v>
      </c>
      <c r="I894" s="152">
        <f t="shared" si="169"/>
        <v>3</v>
      </c>
      <c r="J894" s="152">
        <f t="shared" si="170"/>
        <v>82</v>
      </c>
      <c r="K894" s="152">
        <f t="shared" si="171"/>
        <v>202</v>
      </c>
      <c r="L894" s="152">
        <f t="shared" si="172"/>
        <v>19</v>
      </c>
      <c r="M894" s="152">
        <f t="shared" si="173"/>
        <v>1</v>
      </c>
      <c r="N894" s="152">
        <f t="shared" si="174"/>
        <v>10</v>
      </c>
      <c r="P894" s="172">
        <f t="shared" si="175"/>
        <v>72</v>
      </c>
      <c r="AI894" s="191"/>
      <c r="AJ894" s="189"/>
      <c r="AK894" s="189"/>
      <c r="AL894" s="189"/>
      <c r="AM894" s="189"/>
      <c r="AN894" s="189"/>
      <c r="AO894" s="189"/>
      <c r="AP894" s="189"/>
      <c r="AQ894" s="189"/>
      <c r="AR894" s="189"/>
      <c r="AS894" s="189"/>
      <c r="AT894" s="148">
        <v>3</v>
      </c>
      <c r="AU894" s="189">
        <v>82</v>
      </c>
      <c r="AV894" s="189">
        <v>52</v>
      </c>
      <c r="AY894" s="148">
        <v>1</v>
      </c>
      <c r="AZ894" s="189">
        <v>10</v>
      </c>
      <c r="BA894" s="187" t="s">
        <v>95</v>
      </c>
      <c r="BB894" s="152" t="s">
        <v>272</v>
      </c>
      <c r="BC894" s="150"/>
      <c r="BD894" s="150"/>
      <c r="BF894" s="152" t="s">
        <v>569</v>
      </c>
    </row>
    <row r="895" spans="1:58" s="152" customFormat="1" ht="14.25" x14ac:dyDescent="0.2">
      <c r="A895" s="160" t="s">
        <v>659</v>
      </c>
      <c r="C895" s="160">
        <f t="shared" si="168"/>
        <v>8.1</v>
      </c>
      <c r="D895" s="160"/>
      <c r="E895" s="169" t="str">
        <f>IF(OR(A895="",B895="",C895=""),"",CONCATENATE(VLOOKUP(VALUE(I895),[1]Grundlage!$A$1:$B$14,2,0),IF(LEFT(A895,1)="A",IF(VALUE(MID(A895,2,10))&lt;10,"A00"&amp;VALUE(MID(A895,2,10)),IF(VALUE(MID(A895,2,10))&lt;100,"A0"&amp;VALUE(MID(A895,2,10)),IF(VALUE(MID(A895,2,10))&lt;1000,"A"&amp;VALUE(MID(A895,2,10))))),IF(LEFT(A895,1)="B",IF(VALUE(MID(A895,2,10))&lt;10,"B00"&amp;VALUE(MID(A895,2,10)),IF(VALUE(MID(A895,2,10))&lt;100,"B0"&amp;VALUE(MID(A895,2,10)),IF(VALUE(MID(A895,2,10))&lt;1000,"B"&amp;VALUE(MID(A895,2,10))))),A895)),"_",IF(NOT(OR(C895=1000,C895&gt;1000)),MID(TEXT((C895+1000)*1000,0),2,6),"keine Meter in Spalte km!!!"),IF(VALUE(I895)=1,CONCATENATE("_",VLOOKUP(IF(V895&gt;0,V895,J895),[1]Grundlage!$A$20:$B$181,2,0)),CONCATENATE("_",B895))))</f>
        <v/>
      </c>
      <c r="F895" s="152" t="s">
        <v>669</v>
      </c>
      <c r="G895" s="171">
        <f t="shared" si="177"/>
        <v>43027</v>
      </c>
      <c r="H895" s="160">
        <f t="shared" si="178"/>
        <v>107</v>
      </c>
      <c r="I895" s="152">
        <f t="shared" si="169"/>
        <v>0</v>
      </c>
      <c r="J895" s="152">
        <f t="shared" si="170"/>
        <v>0</v>
      </c>
      <c r="K895" s="152">
        <f t="shared" si="171"/>
        <v>202</v>
      </c>
      <c r="L895" s="152">
        <f t="shared" si="172"/>
        <v>19</v>
      </c>
      <c r="M895" s="152" t="str">
        <f t="shared" si="173"/>
        <v/>
      </c>
      <c r="N895" s="152" t="str">
        <f t="shared" si="174"/>
        <v/>
      </c>
      <c r="P895" s="172" t="str">
        <f t="shared" si="175"/>
        <v/>
      </c>
      <c r="AI895" s="191"/>
      <c r="AT895" s="148"/>
      <c r="AU895" s="155"/>
      <c r="AV895" s="155"/>
      <c r="AY895" s="148"/>
      <c r="AZ895" s="155"/>
      <c r="BC895" s="150"/>
      <c r="BD895" s="150"/>
    </row>
    <row r="896" spans="1:58" s="152" customFormat="1" ht="14.25" x14ac:dyDescent="0.2">
      <c r="A896" s="160" t="s">
        <v>659</v>
      </c>
      <c r="B896" s="152" t="s">
        <v>656</v>
      </c>
      <c r="C896" s="160">
        <f t="shared" si="168"/>
        <v>15.8</v>
      </c>
      <c r="D896" s="160"/>
      <c r="E896" s="170" t="str">
        <f>IF(OR(A896="",B896="",C896=""),"eine der Spalten BAB, FR, km leer?",CONCATENATE(VLOOKUP(VALUE(I896),[1]Grundlage!$A$1:$B$14,2,0),IF(LEFT(A896,1)="A",IF(VALUE(MID(A896,2,10))&lt;10,"A00"&amp;VALUE(MID(A896,2,10)),IF(VALUE(MID(A896,2,10))&lt;100,"A0"&amp;VALUE(MID(A896,2,10)),IF(VALUE(MID(A896,2,10))&lt;1000,"A"&amp;VALUE(MID(A896,2,10))))),IF(LEFT(A896,1)="B",IF(VALUE(MID(A896,2,10))&lt;10,"B00"&amp;VALUE(MID(A896,2,10)),IF(VALUE(MID(A896,2,10))&lt;100,"B0"&amp;VALUE(MID(A896,2,10)),IF(VALUE(MID(A896,2,10))&lt;1000,"B"&amp;VALUE(MID(A896,2,10))))),A896)),"_",IF(NOT(OR(C896=1000,C896&gt;1000)),MID(TEXT((C896+1000)*1000,0),2,6),"keine Meter in Spalte km!!!"),IF(VALUE(I896)=1,CONCATENATE("_",VLOOKUP(IF(V896&gt;0,V896,J896),[1]Grundlage!$A$20:$B$181,2,0)),CONCATENATE("_",B896))))</f>
        <v>SSt_B015_015800_N</v>
      </c>
      <c r="F896" s="152" t="s">
        <v>174</v>
      </c>
      <c r="G896" s="171">
        <f t="shared" si="177"/>
        <v>43027</v>
      </c>
      <c r="H896" s="160">
        <f t="shared" si="178"/>
        <v>115</v>
      </c>
      <c r="I896" s="152">
        <f t="shared" si="169"/>
        <v>0</v>
      </c>
      <c r="J896" s="152">
        <f t="shared" si="170"/>
        <v>0</v>
      </c>
      <c r="K896" s="152">
        <f t="shared" si="171"/>
        <v>202</v>
      </c>
      <c r="L896" s="152">
        <f t="shared" si="172"/>
        <v>19</v>
      </c>
      <c r="M896" s="152">
        <f t="shared" si="173"/>
        <v>24</v>
      </c>
      <c r="N896" s="152" t="str">
        <f t="shared" si="174"/>
        <v/>
      </c>
      <c r="P896" s="172" t="str">
        <f t="shared" si="175"/>
        <v/>
      </c>
      <c r="AI896" s="188">
        <v>15.8</v>
      </c>
      <c r="AJ896" s="189" t="s">
        <v>19</v>
      </c>
      <c r="AK896" s="189" t="s">
        <v>164</v>
      </c>
      <c r="AL896" s="189"/>
      <c r="AM896" s="189"/>
      <c r="AN896" s="189"/>
      <c r="AO896" s="189"/>
      <c r="AP896" s="189">
        <v>11015027</v>
      </c>
      <c r="AQ896" s="189" t="s">
        <v>168</v>
      </c>
      <c r="AR896" s="189">
        <v>13</v>
      </c>
      <c r="AS896" s="187">
        <v>73</v>
      </c>
      <c r="AW896" s="189">
        <v>202</v>
      </c>
      <c r="AX896" s="189"/>
      <c r="AY896" s="189">
        <v>24</v>
      </c>
      <c r="AZ896" s="189"/>
      <c r="BA896" s="189"/>
      <c r="BB896" s="190" t="s">
        <v>174</v>
      </c>
      <c r="BC896" s="158" t="s">
        <v>163</v>
      </c>
      <c r="BD896" s="158"/>
      <c r="BE896" s="152" t="s">
        <v>61</v>
      </c>
      <c r="BF896" s="152" t="s">
        <v>564</v>
      </c>
    </row>
    <row r="897" spans="1:58" s="152" customFormat="1" ht="14.25" x14ac:dyDescent="0.2">
      <c r="A897" s="160" t="s">
        <v>659</v>
      </c>
      <c r="B897" s="152" t="s">
        <v>656</v>
      </c>
      <c r="C897" s="160">
        <f t="shared" si="168"/>
        <v>15.8</v>
      </c>
      <c r="D897" s="160"/>
      <c r="E897" s="170" t="str">
        <f>IF(OR(A897="",B897="",C897=""),"eine der Spalten BAB, FR, km leer?",CONCATENATE(VLOOKUP(VALUE(I897),[1]Grundlage!$A$1:$B$14,2,0),IF(LEFT(A897,1)="A",IF(VALUE(MID(A897,2,10))&lt;10,"A00"&amp;VALUE(MID(A897,2,10)),IF(VALUE(MID(A897,2,10))&lt;100,"A0"&amp;VALUE(MID(A897,2,10)),IF(VALUE(MID(A897,2,10))&lt;1000,"A"&amp;VALUE(MID(A897,2,10))))),IF(LEFT(A897,1)="B",IF(VALUE(MID(A897,2,10))&lt;10,"B00"&amp;VALUE(MID(A897,2,10)),IF(VALUE(MID(A897,2,10))&lt;100,"B0"&amp;VALUE(MID(A897,2,10)),IF(VALUE(MID(A897,2,10))&lt;1000,"B"&amp;VALUE(MID(A897,2,10))))),A897)),"_",IF(NOT(OR(C897=1000,C897&gt;1000)),MID(TEXT((C897+1000)*1000,0),2,6),"keine Meter in Spalte km!!!"),IF(VALUE(I897)=1,CONCATENATE("_",VLOOKUP(IF(V897&gt;0,V897,J897),[1]Grundlage!$A$20:$B$181,2,0)),CONCATENATE("_",B897))))</f>
        <v>UQ_B015_015800_N</v>
      </c>
      <c r="F897" s="152" t="s">
        <v>269</v>
      </c>
      <c r="G897" s="171">
        <f t="shared" si="177"/>
        <v>43027</v>
      </c>
      <c r="H897" s="160">
        <f t="shared" si="178"/>
        <v>115</v>
      </c>
      <c r="I897" s="152">
        <f t="shared" si="169"/>
        <v>3</v>
      </c>
      <c r="J897" s="152">
        <f t="shared" si="170"/>
        <v>6</v>
      </c>
      <c r="K897" s="152">
        <f t="shared" si="171"/>
        <v>202</v>
      </c>
      <c r="L897" s="152">
        <f t="shared" si="172"/>
        <v>19</v>
      </c>
      <c r="M897" s="152">
        <f t="shared" si="173"/>
        <v>1</v>
      </c>
      <c r="N897" s="152">
        <f t="shared" si="174"/>
        <v>1</v>
      </c>
      <c r="P897" s="172">
        <f t="shared" si="175"/>
        <v>71</v>
      </c>
      <c r="AI897" s="191"/>
      <c r="AJ897" s="189"/>
      <c r="AK897" s="189" t="s">
        <v>164</v>
      </c>
      <c r="AL897" s="189"/>
      <c r="AM897" s="189"/>
      <c r="AN897" s="189"/>
      <c r="AO897" s="189"/>
      <c r="AT897" s="148">
        <v>3</v>
      </c>
      <c r="AU897" s="189">
        <v>6</v>
      </c>
      <c r="AV897" s="196">
        <v>6</v>
      </c>
      <c r="AW897" s="189"/>
      <c r="AX897" s="189"/>
      <c r="AY897" s="189">
        <v>1</v>
      </c>
      <c r="AZ897" s="189">
        <v>1</v>
      </c>
      <c r="BA897" s="196">
        <v>1</v>
      </c>
      <c r="BB897" s="152" t="s">
        <v>269</v>
      </c>
      <c r="BC897" s="150"/>
      <c r="BD897" s="150"/>
      <c r="BF897" s="152" t="s">
        <v>440</v>
      </c>
    </row>
    <row r="898" spans="1:58" s="152" customFormat="1" ht="14.25" x14ac:dyDescent="0.2">
      <c r="A898" s="160" t="s">
        <v>659</v>
      </c>
      <c r="B898" s="152" t="s">
        <v>656</v>
      </c>
      <c r="C898" s="160">
        <f t="shared" si="168"/>
        <v>15.8</v>
      </c>
      <c r="D898" s="160"/>
      <c r="E898" s="170" t="str">
        <f>IF(OR(A898="",B898="",C898=""),"eine der Spalten BAB, FR, km leer?",CONCATENATE(VLOOKUP(VALUE(I898),[1]Grundlage!$A$1:$B$14,2,0),IF(LEFT(A898,1)="A",IF(VALUE(MID(A898,2,10))&lt;10,"A00"&amp;VALUE(MID(A898,2,10)),IF(VALUE(MID(A898,2,10))&lt;100,"A0"&amp;VALUE(MID(A898,2,10)),IF(VALUE(MID(A898,2,10))&lt;1000,"A"&amp;VALUE(MID(A898,2,10))))),IF(LEFT(A898,1)="B",IF(VALUE(MID(A898,2,10))&lt;10,"B00"&amp;VALUE(MID(A898,2,10)),IF(VALUE(MID(A898,2,10))&lt;100,"B0"&amp;VALUE(MID(A898,2,10)),IF(VALUE(MID(A898,2,10))&lt;1000,"B"&amp;VALUE(MID(A898,2,10))))),A898)),"_",IF(NOT(OR(C898=1000,C898&gt;1000)),MID(TEXT((C898+1000)*1000,0),2,6),"keine Meter in Spalte km!!!"),IF(VALUE(I898)=1,CONCATENATE("_",VLOOKUP(IF(V898&gt;0,V898,J898),[1]Grundlage!$A$20:$B$181,2,0)),CONCATENATE("_",B898))))</f>
        <v>UQ_B015_015800_N</v>
      </c>
      <c r="F898" s="152" t="s">
        <v>270</v>
      </c>
      <c r="G898" s="171">
        <f t="shared" si="177"/>
        <v>43027</v>
      </c>
      <c r="H898" s="160">
        <f t="shared" si="178"/>
        <v>115</v>
      </c>
      <c r="I898" s="152">
        <f t="shared" si="169"/>
        <v>3</v>
      </c>
      <c r="J898" s="152">
        <f t="shared" si="170"/>
        <v>11</v>
      </c>
      <c r="K898" s="152">
        <f t="shared" si="171"/>
        <v>202</v>
      </c>
      <c r="L898" s="152">
        <f t="shared" si="172"/>
        <v>19</v>
      </c>
      <c r="M898" s="152">
        <f t="shared" si="173"/>
        <v>1</v>
      </c>
      <c r="N898" s="152">
        <f t="shared" si="174"/>
        <v>2</v>
      </c>
      <c r="P898" s="172">
        <f t="shared" si="175"/>
        <v>70</v>
      </c>
      <c r="AI898" s="191"/>
      <c r="AJ898" s="189"/>
      <c r="AK898" s="189" t="s">
        <v>164</v>
      </c>
      <c r="AL898" s="189"/>
      <c r="AM898" s="189"/>
      <c r="AN898" s="189"/>
      <c r="AO898" s="189"/>
      <c r="AP898" s="189"/>
      <c r="AQ898" s="189"/>
      <c r="AR898" s="189"/>
      <c r="AS898" s="189"/>
      <c r="AT898" s="148">
        <v>3</v>
      </c>
      <c r="AU898" s="189">
        <v>11</v>
      </c>
      <c r="AV898" s="189" t="s">
        <v>78</v>
      </c>
      <c r="AW898" s="189"/>
      <c r="AX898" s="189"/>
      <c r="AY898" s="189">
        <v>1</v>
      </c>
      <c r="AZ898" s="189">
        <v>2</v>
      </c>
      <c r="BA898" s="189">
        <v>2</v>
      </c>
      <c r="BB898" s="152" t="s">
        <v>270</v>
      </c>
      <c r="BC898" s="150"/>
      <c r="BD898" s="150"/>
      <c r="BF898" s="152" t="s">
        <v>565</v>
      </c>
    </row>
    <row r="899" spans="1:58" s="152" customFormat="1" ht="14.25" x14ac:dyDescent="0.2">
      <c r="A899" s="160" t="s">
        <v>659</v>
      </c>
      <c r="B899" s="152" t="s">
        <v>656</v>
      </c>
      <c r="C899" s="160">
        <f t="shared" si="168"/>
        <v>15.8</v>
      </c>
      <c r="D899" s="160"/>
      <c r="E899" s="170" t="str">
        <f>IF(OR(A899="",B899="",C899=""),"eine der Spalten BAB, FR, km leer?",CONCATENATE(VLOOKUP(VALUE(I899),[1]Grundlage!$A$1:$B$14,2,0),IF(LEFT(A899,1)="A",IF(VALUE(MID(A899,2,10))&lt;10,"A00"&amp;VALUE(MID(A899,2,10)),IF(VALUE(MID(A899,2,10))&lt;100,"A0"&amp;VALUE(MID(A899,2,10)),IF(VALUE(MID(A899,2,10))&lt;1000,"A"&amp;VALUE(MID(A899,2,10))))),IF(LEFT(A899,1)="B",IF(VALUE(MID(A899,2,10))&lt;10,"B00"&amp;VALUE(MID(A899,2,10)),IF(VALUE(MID(A899,2,10))&lt;100,"B0"&amp;VALUE(MID(A899,2,10)),IF(VALUE(MID(A899,2,10))&lt;1000,"B"&amp;VALUE(MID(A899,2,10))))),A899)),"_",IF(NOT(OR(C899=1000,C899&gt;1000)),MID(TEXT((C899+1000)*1000,0),2,6),"keine Meter in Spalte km!!!"),IF(VALUE(I899)=1,CONCATENATE("_",VLOOKUP(IF(V899&gt;0,V899,J899),[1]Grundlage!$A$20:$B$181,2,0)),CONCATENATE("_",B899))))</f>
        <v>UQ_B015_015800_N</v>
      </c>
      <c r="F899" s="152" t="s">
        <v>25</v>
      </c>
      <c r="G899" s="171">
        <f t="shared" si="177"/>
        <v>43027</v>
      </c>
      <c r="H899" s="160">
        <f t="shared" si="178"/>
        <v>115</v>
      </c>
      <c r="I899" s="152">
        <f t="shared" si="169"/>
        <v>3</v>
      </c>
      <c r="J899" s="152">
        <f t="shared" si="170"/>
        <v>12</v>
      </c>
      <c r="K899" s="152">
        <f t="shared" si="171"/>
        <v>202</v>
      </c>
      <c r="L899" s="152">
        <f t="shared" si="172"/>
        <v>19</v>
      </c>
      <c r="M899" s="152">
        <f t="shared" si="173"/>
        <v>1</v>
      </c>
      <c r="N899" s="152">
        <f t="shared" si="174"/>
        <v>3</v>
      </c>
      <c r="P899" s="172">
        <f t="shared" si="175"/>
        <v>48</v>
      </c>
      <c r="AI899" s="154"/>
      <c r="AJ899" s="189"/>
      <c r="AK899" s="189" t="s">
        <v>164</v>
      </c>
      <c r="AL899" s="189"/>
      <c r="AM899" s="189"/>
      <c r="AN899" s="189"/>
      <c r="AO899" s="189"/>
      <c r="AP899" s="189"/>
      <c r="AQ899" s="189"/>
      <c r="AR899" s="189"/>
      <c r="AS899" s="189"/>
      <c r="AT899" s="189">
        <v>3</v>
      </c>
      <c r="AU899" s="189">
        <v>12</v>
      </c>
      <c r="AV899" s="189"/>
      <c r="AW899" s="189"/>
      <c r="AX899" s="189"/>
      <c r="AY899" s="189">
        <v>1</v>
      </c>
      <c r="AZ899" s="189">
        <v>3</v>
      </c>
      <c r="BA899" s="189">
        <v>3</v>
      </c>
      <c r="BB899" s="152" t="s">
        <v>25</v>
      </c>
      <c r="BC899" s="150"/>
      <c r="BD899" s="150"/>
      <c r="BF899" s="152" t="s">
        <v>441</v>
      </c>
    </row>
    <row r="900" spans="1:58" s="152" customFormat="1" ht="14.25" x14ac:dyDescent="0.2">
      <c r="A900" s="160" t="s">
        <v>659</v>
      </c>
      <c r="B900" s="152" t="s">
        <v>656</v>
      </c>
      <c r="C900" s="160">
        <f t="shared" si="168"/>
        <v>15.8</v>
      </c>
      <c r="D900" s="160"/>
      <c r="E900" s="170" t="str">
        <f>IF(OR(A900="",B900="",C900=""),"eine der Spalten BAB, FR, km leer?",CONCATENATE(VLOOKUP(VALUE(I900),[1]Grundlage!$A$1:$B$14,2,0),IF(LEFT(A900,1)="A",IF(VALUE(MID(A900,2,10))&lt;10,"A00"&amp;VALUE(MID(A900,2,10)),IF(VALUE(MID(A900,2,10))&lt;100,"A0"&amp;VALUE(MID(A900,2,10)),IF(VALUE(MID(A900,2,10))&lt;1000,"A"&amp;VALUE(MID(A900,2,10))))),IF(LEFT(A900,1)="B",IF(VALUE(MID(A900,2,10))&lt;10,"B00"&amp;VALUE(MID(A900,2,10)),IF(VALUE(MID(A900,2,10))&lt;100,"B0"&amp;VALUE(MID(A900,2,10)),IF(VALUE(MID(A900,2,10))&lt;1000,"B"&amp;VALUE(MID(A900,2,10))))),A900)),"_",IF(NOT(OR(C900=1000,C900&gt;1000)),MID(TEXT((C900+1000)*1000,0),2,6),"keine Meter in Spalte km!!!"),IF(VALUE(I900)=1,CONCATENATE("_",VLOOKUP(IF(V900&gt;0,V900,J900),[1]Grundlage!$A$20:$B$181,2,0)),CONCATENATE("_",B900))))</f>
        <v>UQ_B015_015800_N</v>
      </c>
      <c r="F900" s="152" t="s">
        <v>26</v>
      </c>
      <c r="G900" s="171">
        <f t="shared" si="177"/>
        <v>43027</v>
      </c>
      <c r="H900" s="160">
        <f t="shared" si="178"/>
        <v>115</v>
      </c>
      <c r="I900" s="152">
        <f t="shared" si="169"/>
        <v>3</v>
      </c>
      <c r="J900" s="152">
        <f t="shared" si="170"/>
        <v>13</v>
      </c>
      <c r="K900" s="152">
        <f t="shared" si="171"/>
        <v>202</v>
      </c>
      <c r="L900" s="152">
        <f t="shared" si="172"/>
        <v>19</v>
      </c>
      <c r="M900" s="152">
        <f t="shared" si="173"/>
        <v>1</v>
      </c>
      <c r="N900" s="152">
        <f t="shared" si="174"/>
        <v>4</v>
      </c>
      <c r="P900" s="172">
        <f t="shared" si="175"/>
        <v>55</v>
      </c>
      <c r="AI900" s="154"/>
      <c r="AJ900" s="189"/>
      <c r="AK900" s="189" t="s">
        <v>164</v>
      </c>
      <c r="AL900" s="189"/>
      <c r="AM900" s="189"/>
      <c r="AN900" s="189"/>
      <c r="AO900" s="189"/>
      <c r="AP900" s="189"/>
      <c r="AQ900" s="189"/>
      <c r="AR900" s="189"/>
      <c r="AS900" s="189"/>
      <c r="AT900" s="189">
        <v>3</v>
      </c>
      <c r="AU900" s="189">
        <v>13</v>
      </c>
      <c r="AV900" s="189"/>
      <c r="AW900" s="189"/>
      <c r="AX900" s="189"/>
      <c r="AY900" s="189">
        <v>1</v>
      </c>
      <c r="AZ900" s="189">
        <v>4</v>
      </c>
      <c r="BA900" s="189">
        <v>4</v>
      </c>
      <c r="BB900" s="152" t="s">
        <v>26</v>
      </c>
      <c r="BC900" s="150"/>
      <c r="BD900" s="150"/>
      <c r="BF900" s="152" t="s">
        <v>442</v>
      </c>
    </row>
    <row r="901" spans="1:58" s="152" customFormat="1" ht="14.25" x14ac:dyDescent="0.2">
      <c r="A901" s="160" t="s">
        <v>659</v>
      </c>
      <c r="B901" s="152" t="s">
        <v>656</v>
      </c>
      <c r="C901" s="160">
        <f t="shared" si="168"/>
        <v>15.8</v>
      </c>
      <c r="D901" s="160"/>
      <c r="E901" s="170" t="str">
        <f>IF(OR(A901="",B901="",C901=""),"eine der Spalten BAB, FR, km leer?",CONCATENATE(VLOOKUP(VALUE(I901),[1]Grundlage!$A$1:$B$14,2,0),IF(LEFT(A901,1)="A",IF(VALUE(MID(A901,2,10))&lt;10,"A00"&amp;VALUE(MID(A901,2,10)),IF(VALUE(MID(A901,2,10))&lt;100,"A0"&amp;VALUE(MID(A901,2,10)),IF(VALUE(MID(A901,2,10))&lt;1000,"A"&amp;VALUE(MID(A901,2,10))))),IF(LEFT(A901,1)="B",IF(VALUE(MID(A901,2,10))&lt;10,"B00"&amp;VALUE(MID(A901,2,10)),IF(VALUE(MID(A901,2,10))&lt;100,"B0"&amp;VALUE(MID(A901,2,10)),IF(VALUE(MID(A901,2,10))&lt;1000,"B"&amp;VALUE(MID(A901,2,10))))),A901)),"_",IF(NOT(OR(C901=1000,C901&gt;1000)),MID(TEXT((C901+1000)*1000,0),2,6),"keine Meter in Spalte km!!!"),IF(VALUE(I901)=1,CONCATENATE("_",VLOOKUP(IF(V901&gt;0,V901,J901),[1]Grundlage!$A$20:$B$181,2,0)),CONCATENATE("_",B901))))</f>
        <v>UQ_B015_015800_N</v>
      </c>
      <c r="F901" s="152" t="s">
        <v>27</v>
      </c>
      <c r="G901" s="171">
        <f t="shared" si="177"/>
        <v>43027</v>
      </c>
      <c r="H901" s="160">
        <f t="shared" si="178"/>
        <v>115</v>
      </c>
      <c r="I901" s="152">
        <f t="shared" si="169"/>
        <v>3</v>
      </c>
      <c r="J901" s="152">
        <f t="shared" si="170"/>
        <v>14</v>
      </c>
      <c r="K901" s="152">
        <f t="shared" si="171"/>
        <v>202</v>
      </c>
      <c r="L901" s="152">
        <f t="shared" si="172"/>
        <v>19</v>
      </c>
      <c r="M901" s="152">
        <f t="shared" si="173"/>
        <v>1</v>
      </c>
      <c r="N901" s="152">
        <f t="shared" si="174"/>
        <v>5</v>
      </c>
      <c r="P901" s="172">
        <f t="shared" si="175"/>
        <v>66</v>
      </c>
      <c r="AJ901" s="189"/>
      <c r="AK901" s="189" t="s">
        <v>164</v>
      </c>
      <c r="AL901" s="189"/>
      <c r="AM901" s="189"/>
      <c r="AN901" s="189"/>
      <c r="AO901" s="189"/>
      <c r="AP901" s="189"/>
      <c r="AQ901" s="189"/>
      <c r="AR901" s="189"/>
      <c r="AS901" s="189"/>
      <c r="AT901" s="189">
        <v>3</v>
      </c>
      <c r="AU901" s="189">
        <v>14</v>
      </c>
      <c r="AV901" s="189"/>
      <c r="AW901" s="189"/>
      <c r="AX901" s="189"/>
      <c r="AY901" s="189">
        <v>1</v>
      </c>
      <c r="AZ901" s="189">
        <v>5</v>
      </c>
      <c r="BA901" s="189">
        <v>5</v>
      </c>
      <c r="BB901" s="152" t="s">
        <v>27</v>
      </c>
      <c r="BC901" s="150"/>
      <c r="BD901" s="150"/>
      <c r="BF901" s="152" t="s">
        <v>443</v>
      </c>
    </row>
    <row r="902" spans="1:58" s="152" customFormat="1" ht="14.25" x14ac:dyDescent="0.2">
      <c r="A902" s="160" t="s">
        <v>659</v>
      </c>
      <c r="B902" s="152" t="s">
        <v>656</v>
      </c>
      <c r="C902" s="160">
        <f t="shared" si="168"/>
        <v>15.8</v>
      </c>
      <c r="D902" s="160"/>
      <c r="E902" s="170" t="str">
        <f>IF(OR(A902="",B902="",C902=""),"eine der Spalten BAB, FR, km leer?",CONCATENATE(VLOOKUP(VALUE(I902),[1]Grundlage!$A$1:$B$14,2,0),IF(LEFT(A902,1)="A",IF(VALUE(MID(A902,2,10))&lt;10,"A00"&amp;VALUE(MID(A902,2,10)),IF(VALUE(MID(A902,2,10))&lt;100,"A0"&amp;VALUE(MID(A902,2,10)),IF(VALUE(MID(A902,2,10))&lt;1000,"A"&amp;VALUE(MID(A902,2,10))))),IF(LEFT(A902,1)="B",IF(VALUE(MID(A902,2,10))&lt;10,"B00"&amp;VALUE(MID(A902,2,10)),IF(VALUE(MID(A902,2,10))&lt;100,"B0"&amp;VALUE(MID(A902,2,10)),IF(VALUE(MID(A902,2,10))&lt;1000,"B"&amp;VALUE(MID(A902,2,10))))),A902)),"_",IF(NOT(OR(C902=1000,C902&gt;1000)),MID(TEXT((C902+1000)*1000,0),2,6),"keine Meter in Spalte km!!!"),IF(VALUE(I902)=1,CONCATENATE("_",VLOOKUP(IF(V902&gt;0,V902,J902),[1]Grundlage!$A$20:$B$181,2,0)),CONCATENATE("_",B902))))</f>
        <v>UQ_B015_015800_N</v>
      </c>
      <c r="F902" s="152" t="s">
        <v>28</v>
      </c>
      <c r="G902" s="171">
        <f t="shared" si="177"/>
        <v>43027</v>
      </c>
      <c r="H902" s="160">
        <f t="shared" si="178"/>
        <v>115</v>
      </c>
      <c r="I902" s="152">
        <f t="shared" si="169"/>
        <v>3</v>
      </c>
      <c r="J902" s="152">
        <f t="shared" si="170"/>
        <v>15</v>
      </c>
      <c r="K902" s="152">
        <f t="shared" si="171"/>
        <v>202</v>
      </c>
      <c r="L902" s="152">
        <f t="shared" si="172"/>
        <v>19</v>
      </c>
      <c r="M902" s="152">
        <f t="shared" si="173"/>
        <v>1</v>
      </c>
      <c r="N902" s="152">
        <f t="shared" si="174"/>
        <v>6</v>
      </c>
      <c r="P902" s="172">
        <f t="shared" si="175"/>
        <v>65</v>
      </c>
      <c r="AI902" s="191"/>
      <c r="AJ902" s="189"/>
      <c r="AK902" s="189" t="s">
        <v>164</v>
      </c>
      <c r="AL902" s="189"/>
      <c r="AM902" s="189"/>
      <c r="AN902" s="189"/>
      <c r="AO902" s="189"/>
      <c r="AP902" s="189"/>
      <c r="AQ902" s="189"/>
      <c r="AR902" s="189"/>
      <c r="AS902" s="189"/>
      <c r="AT902" s="189">
        <v>3</v>
      </c>
      <c r="AU902" s="189">
        <v>15</v>
      </c>
      <c r="AV902" s="189"/>
      <c r="AW902" s="189"/>
      <c r="AX902" s="189"/>
      <c r="AY902" s="189">
        <v>1</v>
      </c>
      <c r="AZ902" s="189">
        <v>6</v>
      </c>
      <c r="BA902" s="189">
        <v>6</v>
      </c>
      <c r="BB902" s="152" t="s">
        <v>28</v>
      </c>
      <c r="BC902" s="150"/>
      <c r="BD902" s="150"/>
      <c r="BF902" s="152" t="s">
        <v>566</v>
      </c>
    </row>
    <row r="903" spans="1:58" s="152" customFormat="1" ht="14.25" x14ac:dyDescent="0.2">
      <c r="A903" s="160" t="s">
        <v>659</v>
      </c>
      <c r="B903" s="152" t="s">
        <v>656</v>
      </c>
      <c r="C903" s="160">
        <f t="shared" si="168"/>
        <v>15.8</v>
      </c>
      <c r="D903" s="160"/>
      <c r="E903" s="170" t="str">
        <f>IF(OR(A903="",B903="",C903=""),"eine der Spalten BAB, FR, km leer?",CONCATENATE(VLOOKUP(VALUE(I903),[1]Grundlage!$A$1:$B$14,2,0),IF(LEFT(A903,1)="A",IF(VALUE(MID(A903,2,10))&lt;10,"A00"&amp;VALUE(MID(A903,2,10)),IF(VALUE(MID(A903,2,10))&lt;100,"A0"&amp;VALUE(MID(A903,2,10)),IF(VALUE(MID(A903,2,10))&lt;1000,"A"&amp;VALUE(MID(A903,2,10))))),IF(LEFT(A903,1)="B",IF(VALUE(MID(A903,2,10))&lt;10,"B00"&amp;VALUE(MID(A903,2,10)),IF(VALUE(MID(A903,2,10))&lt;100,"B0"&amp;VALUE(MID(A903,2,10)),IF(VALUE(MID(A903,2,10))&lt;1000,"B"&amp;VALUE(MID(A903,2,10))))),A903)),"_",IF(NOT(OR(C903=1000,C903&gt;1000)),MID(TEXT((C903+1000)*1000,0),2,6),"keine Meter in Spalte km!!!"),IF(VALUE(I903)=1,CONCATENATE("_",VLOOKUP(IF(V903&gt;0,V903,J903),[1]Grundlage!$A$20:$B$181,2,0)),CONCATENATE("_",B903))))</f>
        <v>UQ_B015_015800_N</v>
      </c>
      <c r="F903" s="152" t="s">
        <v>29</v>
      </c>
      <c r="G903" s="171">
        <f t="shared" si="177"/>
        <v>43027</v>
      </c>
      <c r="H903" s="160">
        <f t="shared" si="178"/>
        <v>115</v>
      </c>
      <c r="I903" s="152">
        <f t="shared" si="169"/>
        <v>3</v>
      </c>
      <c r="J903" s="152">
        <f t="shared" si="170"/>
        <v>19</v>
      </c>
      <c r="K903" s="152">
        <f t="shared" si="171"/>
        <v>202</v>
      </c>
      <c r="L903" s="152">
        <f t="shared" si="172"/>
        <v>19</v>
      </c>
      <c r="M903" s="152">
        <f t="shared" si="173"/>
        <v>1</v>
      </c>
      <c r="N903" s="152">
        <f t="shared" si="174"/>
        <v>7</v>
      </c>
      <c r="P903" s="172">
        <f t="shared" si="175"/>
        <v>49</v>
      </c>
      <c r="AI903" s="191"/>
      <c r="AJ903" s="189"/>
      <c r="AK903" s="189" t="s">
        <v>164</v>
      </c>
      <c r="AL903" s="189"/>
      <c r="AM903" s="189"/>
      <c r="AN903" s="189"/>
      <c r="AO903" s="189"/>
      <c r="AP903" s="189"/>
      <c r="AQ903" s="189"/>
      <c r="AR903" s="189"/>
      <c r="AS903" s="189"/>
      <c r="AT903" s="189">
        <v>3</v>
      </c>
      <c r="AU903" s="189">
        <v>19</v>
      </c>
      <c r="AV903" s="189"/>
      <c r="AW903" s="189"/>
      <c r="AX903" s="189"/>
      <c r="AY903" s="189">
        <v>1</v>
      </c>
      <c r="AZ903" s="189">
        <v>7</v>
      </c>
      <c r="BA903" s="189">
        <v>7</v>
      </c>
      <c r="BB903" s="152" t="s">
        <v>29</v>
      </c>
      <c r="BC903" s="150"/>
      <c r="BD903" s="150"/>
      <c r="BF903" s="152" t="s">
        <v>567</v>
      </c>
    </row>
    <row r="904" spans="1:58" s="152" customFormat="1" ht="14.25" x14ac:dyDescent="0.2">
      <c r="A904" s="160" t="s">
        <v>659</v>
      </c>
      <c r="B904" s="152" t="s">
        <v>656</v>
      </c>
      <c r="C904" s="160">
        <f t="shared" si="168"/>
        <v>15.8</v>
      </c>
      <c r="D904" s="160"/>
      <c r="E904" s="170" t="str">
        <f>IF(OR(A904="",B904="",C904=""),"eine der Spalten BAB, FR, km leer?",CONCATENATE(VLOOKUP(VALUE(I904),[1]Grundlage!$A$1:$B$14,2,0),IF(LEFT(A904,1)="A",IF(VALUE(MID(A904,2,10))&lt;10,"A00"&amp;VALUE(MID(A904,2,10)),IF(VALUE(MID(A904,2,10))&lt;100,"A0"&amp;VALUE(MID(A904,2,10)),IF(VALUE(MID(A904,2,10))&lt;1000,"A"&amp;VALUE(MID(A904,2,10))))),IF(LEFT(A904,1)="B",IF(VALUE(MID(A904,2,10))&lt;10,"B00"&amp;VALUE(MID(A904,2,10)),IF(VALUE(MID(A904,2,10))&lt;100,"B0"&amp;VALUE(MID(A904,2,10)),IF(VALUE(MID(A904,2,10))&lt;1000,"B"&amp;VALUE(MID(A904,2,10))))),A904)),"_",IF(NOT(OR(C904=1000,C904&gt;1000)),MID(TEXT((C904+1000)*1000,0),2,6),"keine Meter in Spalte km!!!"),IF(VALUE(I904)=1,CONCATENATE("_",VLOOKUP(IF(V904&gt;0,V904,J904),[1]Grundlage!$A$20:$B$181,2,0)),CONCATENATE("_",B904))))</f>
        <v>UQ_B015_015800_N</v>
      </c>
      <c r="F904" s="152" t="s">
        <v>30</v>
      </c>
      <c r="G904" s="171">
        <f t="shared" si="177"/>
        <v>43027</v>
      </c>
      <c r="H904" s="160">
        <f t="shared" si="178"/>
        <v>115</v>
      </c>
      <c r="I904" s="152">
        <f t="shared" si="169"/>
        <v>3</v>
      </c>
      <c r="J904" s="152">
        <f t="shared" si="170"/>
        <v>21</v>
      </c>
      <c r="K904" s="152">
        <f t="shared" si="171"/>
        <v>202</v>
      </c>
      <c r="L904" s="152">
        <f t="shared" si="172"/>
        <v>19</v>
      </c>
      <c r="M904" s="152">
        <f t="shared" si="173"/>
        <v>1</v>
      </c>
      <c r="N904" s="152">
        <f t="shared" si="174"/>
        <v>8</v>
      </c>
      <c r="P904" s="172">
        <f t="shared" si="175"/>
        <v>67</v>
      </c>
      <c r="AI904" s="191"/>
      <c r="AJ904" s="189"/>
      <c r="AK904" s="189" t="s">
        <v>164</v>
      </c>
      <c r="AL904" s="189"/>
      <c r="AM904" s="189"/>
      <c r="AN904" s="189"/>
      <c r="AO904" s="189"/>
      <c r="AP904" s="189"/>
      <c r="AQ904" s="189"/>
      <c r="AR904" s="189"/>
      <c r="AS904" s="189"/>
      <c r="AT904" s="189">
        <v>3</v>
      </c>
      <c r="AU904" s="189">
        <v>21</v>
      </c>
      <c r="AV904" s="189"/>
      <c r="AW904" s="189"/>
      <c r="AX904" s="189"/>
      <c r="AY904" s="189">
        <v>1</v>
      </c>
      <c r="AZ904" s="189">
        <v>8</v>
      </c>
      <c r="BA904" s="189">
        <v>8</v>
      </c>
      <c r="BB904" s="152" t="s">
        <v>30</v>
      </c>
      <c r="BC904" s="150"/>
      <c r="BD904" s="150"/>
      <c r="BF904" s="152" t="s">
        <v>568</v>
      </c>
    </row>
    <row r="905" spans="1:58" s="152" customFormat="1" ht="14.25" x14ac:dyDescent="0.2">
      <c r="A905" s="160" t="s">
        <v>659</v>
      </c>
      <c r="B905" s="152" t="s">
        <v>656</v>
      </c>
      <c r="C905" s="160">
        <f t="shared" si="168"/>
        <v>15.8</v>
      </c>
      <c r="D905" s="160"/>
      <c r="E905" s="170" t="str">
        <f>IF(OR(A905="",B905="",C905=""),"eine der Spalten BAB, FR, km leer?",CONCATENATE(VLOOKUP(VALUE(I905),[1]Grundlage!$A$1:$B$14,2,0),IF(LEFT(A905,1)="A",IF(VALUE(MID(A905,2,10))&lt;10,"A00"&amp;VALUE(MID(A905,2,10)),IF(VALUE(MID(A905,2,10))&lt;100,"A0"&amp;VALUE(MID(A905,2,10)),IF(VALUE(MID(A905,2,10))&lt;1000,"A"&amp;VALUE(MID(A905,2,10))))),IF(LEFT(A905,1)="B",IF(VALUE(MID(A905,2,10))&lt;10,"B00"&amp;VALUE(MID(A905,2,10)),IF(VALUE(MID(A905,2,10))&lt;100,"B0"&amp;VALUE(MID(A905,2,10)),IF(VALUE(MID(A905,2,10))&lt;1000,"B"&amp;VALUE(MID(A905,2,10))))),A905)),"_",IF(NOT(OR(C905=1000,C905&gt;1000)),MID(TEXT((C905+1000)*1000,0),2,6),"keine Meter in Spalte km!!!"),IF(VALUE(I905)=1,CONCATENATE("_",VLOOKUP(IF(V905&gt;0,V905,J905),[1]Grundlage!$A$20:$B$181,2,0)),CONCATENATE("_",B905))))</f>
        <v>UQ_B015_015800_N</v>
      </c>
      <c r="F905" s="152" t="s">
        <v>301</v>
      </c>
      <c r="G905" s="171">
        <f t="shared" si="177"/>
        <v>43027</v>
      </c>
      <c r="H905" s="160">
        <f t="shared" si="178"/>
        <v>115</v>
      </c>
      <c r="I905" s="152">
        <f t="shared" si="169"/>
        <v>3</v>
      </c>
      <c r="J905" s="152">
        <f t="shared" si="170"/>
        <v>27</v>
      </c>
      <c r="K905" s="152">
        <f t="shared" si="171"/>
        <v>202</v>
      </c>
      <c r="L905" s="152">
        <f t="shared" si="172"/>
        <v>19</v>
      </c>
      <c r="M905" s="152">
        <f t="shared" si="173"/>
        <v>1</v>
      </c>
      <c r="N905" s="152">
        <f t="shared" si="174"/>
        <v>9</v>
      </c>
      <c r="P905" s="172">
        <f t="shared" si="175"/>
        <v>69</v>
      </c>
      <c r="AI905" s="191"/>
      <c r="AK905" s="189" t="str">
        <f>AK904</f>
        <v>B15n</v>
      </c>
      <c r="AL905" s="189"/>
      <c r="AM905" s="189"/>
      <c r="AN905" s="189"/>
      <c r="AO905" s="189"/>
      <c r="AT905" s="194">
        <v>3</v>
      </c>
      <c r="AU905" s="194">
        <v>27</v>
      </c>
      <c r="AV905" s="194"/>
      <c r="AW905" s="194"/>
      <c r="AX905" s="194"/>
      <c r="AY905" s="194">
        <v>1</v>
      </c>
      <c r="AZ905" s="194">
        <v>9</v>
      </c>
      <c r="BA905" s="189">
        <v>9</v>
      </c>
      <c r="BB905" s="195" t="s">
        <v>301</v>
      </c>
      <c r="BC905" s="150"/>
      <c r="BD905" s="150"/>
      <c r="BF905" s="152" t="s">
        <v>563</v>
      </c>
    </row>
    <row r="906" spans="1:58" s="152" customFormat="1" ht="14.25" x14ac:dyDescent="0.2">
      <c r="A906" s="160" t="s">
        <v>659</v>
      </c>
      <c r="B906" s="152" t="s">
        <v>656</v>
      </c>
      <c r="C906" s="160">
        <f t="shared" ref="C906:C969" si="179">IF(ISBLANK(AI906),C905,AI906)</f>
        <v>15.8</v>
      </c>
      <c r="D906" s="160"/>
      <c r="E906" s="170" t="str">
        <f>IF(OR(A906="",B906="",C906=""),"eine der Spalten BAB, FR, km leer?",CONCATENATE(VLOOKUP(VALUE(I906),[1]Grundlage!$A$1:$B$14,2,0),IF(LEFT(A906,1)="A",IF(VALUE(MID(A906,2,10))&lt;10,"A00"&amp;VALUE(MID(A906,2,10)),IF(VALUE(MID(A906,2,10))&lt;100,"A0"&amp;VALUE(MID(A906,2,10)),IF(VALUE(MID(A906,2,10))&lt;1000,"A"&amp;VALUE(MID(A906,2,10))))),IF(LEFT(A906,1)="B",IF(VALUE(MID(A906,2,10))&lt;10,"B00"&amp;VALUE(MID(A906,2,10)),IF(VALUE(MID(A906,2,10))&lt;100,"B0"&amp;VALUE(MID(A906,2,10)),IF(VALUE(MID(A906,2,10))&lt;1000,"B"&amp;VALUE(MID(A906,2,10))))),A906)),"_",IF(NOT(OR(C906=1000,C906&gt;1000)),MID(TEXT((C906+1000)*1000,0),2,6),"keine Meter in Spalte km!!!"),IF(VALUE(I906)=1,CONCATENATE("_",VLOOKUP(IF(V906&gt;0,V906,J906),[1]Grundlage!$A$20:$B$181,2,0)),CONCATENATE("_",B906))))</f>
        <v>UQ_B015_015800_N</v>
      </c>
      <c r="F906" s="152" t="s">
        <v>271</v>
      </c>
      <c r="G906" s="171">
        <f t="shared" si="177"/>
        <v>43027</v>
      </c>
      <c r="H906" s="160">
        <f t="shared" si="178"/>
        <v>115</v>
      </c>
      <c r="I906" s="152">
        <f t="shared" ref="I906:I969" si="180">IF(D906="SS",254,AT906)</f>
        <v>3</v>
      </c>
      <c r="J906" s="152">
        <f t="shared" ref="J906:J969" si="181">IF(D906="SS",0,AU906)</f>
        <v>67</v>
      </c>
      <c r="K906" s="152">
        <f t="shared" ref="K906:K960" si="182">IF(ISBLANK(AW906),K905,AW906)</f>
        <v>202</v>
      </c>
      <c r="L906" s="152">
        <f t="shared" ref="L906:L969" si="183">IF(ISBLANK(AX906),L905,AX906)</f>
        <v>19</v>
      </c>
      <c r="M906" s="152">
        <f t="shared" ref="M906:M969" si="184">IF(ISBLANK(AY906),"",AY906)</f>
        <v>1</v>
      </c>
      <c r="N906" s="152">
        <f t="shared" ref="N906:N969" si="185">IF(ISBLANK(AZ906),"",AZ906)</f>
        <v>10</v>
      </c>
      <c r="P906" s="172">
        <f t="shared" si="175"/>
        <v>53</v>
      </c>
      <c r="AI906" s="191"/>
      <c r="AK906" s="189"/>
      <c r="AL906" s="189"/>
      <c r="AM906" s="189"/>
      <c r="AN906" s="189"/>
      <c r="AO906" s="189"/>
      <c r="AT906" s="148">
        <v>3</v>
      </c>
      <c r="AU906" s="189">
        <v>67</v>
      </c>
      <c r="AV906" s="189">
        <v>43</v>
      </c>
      <c r="AY906" s="148">
        <v>1</v>
      </c>
      <c r="AZ906" s="189">
        <v>10</v>
      </c>
      <c r="BA906" s="187" t="s">
        <v>95</v>
      </c>
      <c r="BB906" s="152" t="s">
        <v>271</v>
      </c>
      <c r="BC906" s="150"/>
      <c r="BD906" s="150"/>
      <c r="BF906" s="152" t="s">
        <v>444</v>
      </c>
    </row>
    <row r="907" spans="1:58" s="152" customFormat="1" ht="14.25" x14ac:dyDescent="0.2">
      <c r="A907" s="160" t="s">
        <v>659</v>
      </c>
      <c r="B907" s="152" t="s">
        <v>656</v>
      </c>
      <c r="C907" s="160">
        <f t="shared" si="179"/>
        <v>15.8</v>
      </c>
      <c r="D907" s="160"/>
      <c r="E907" s="170" t="str">
        <f>IF(OR(A907="",B907="",C907=""),"eine der Spalten BAB, FR, km leer?",CONCATENATE(VLOOKUP(VALUE(I907),[1]Grundlage!$A$1:$B$14,2,0),IF(LEFT(A907,1)="A",IF(VALUE(MID(A907,2,10))&lt;10,"A00"&amp;VALUE(MID(A907,2,10)),IF(VALUE(MID(A907,2,10))&lt;100,"A0"&amp;VALUE(MID(A907,2,10)),IF(VALUE(MID(A907,2,10))&lt;1000,"A"&amp;VALUE(MID(A907,2,10))))),IF(LEFT(A907,1)="B",IF(VALUE(MID(A907,2,10))&lt;10,"B00"&amp;VALUE(MID(A907,2,10)),IF(VALUE(MID(A907,2,10))&lt;100,"B0"&amp;VALUE(MID(A907,2,10)),IF(VALUE(MID(A907,2,10))&lt;1000,"B"&amp;VALUE(MID(A907,2,10))))),A907)),"_",IF(NOT(OR(C907=1000,C907&gt;1000)),MID(TEXT((C907+1000)*1000,0),2,6),"keine Meter in Spalte km!!!"),IF(VALUE(I907)=1,CONCATENATE("_",VLOOKUP(IF(V907&gt;0,V907,J907),[1]Grundlage!$A$20:$B$181,2,0)),CONCATENATE("_",B907))))</f>
        <v>UQ_B015_015800_N</v>
      </c>
      <c r="F907" s="152" t="s">
        <v>272</v>
      </c>
      <c r="G907" s="171">
        <f t="shared" si="177"/>
        <v>43027</v>
      </c>
      <c r="H907" s="160">
        <f t="shared" si="178"/>
        <v>115</v>
      </c>
      <c r="I907" s="152">
        <f t="shared" si="180"/>
        <v>3</v>
      </c>
      <c r="J907" s="152">
        <f t="shared" si="181"/>
        <v>82</v>
      </c>
      <c r="K907" s="152">
        <f t="shared" si="182"/>
        <v>202</v>
      </c>
      <c r="L907" s="152">
        <f t="shared" si="183"/>
        <v>19</v>
      </c>
      <c r="M907" s="152">
        <f t="shared" si="184"/>
        <v>1</v>
      </c>
      <c r="N907" s="152">
        <f t="shared" si="185"/>
        <v>11</v>
      </c>
      <c r="P907" s="172">
        <f t="shared" ref="P907:P970" si="186">IF(AT907&lt;&gt;3,"",IF(BB907="Helligkeitssensor",61,IF(BB907="Helligkeit",61,IF(BB908="Lichtsensor",61,IF(BB907="Lufttemperatur",48,IF(BB907="Niederschlagsart",71,IF(BB907="Niederschlagsintensität",53,IF(BB907="relative Luftfeuchte RLF",55,IF(BB907="Sichtweite",60,IF(BB907="Sichtweite 1",60,IF(BB907="Zustand der Fahrbahnoberfläche FBZ",79,IF(BB907="Wasserfilmdicke WFD",72,IF(BB907="Clusterkanal FG3","",IF(BB907="Gefriertemperatur GT",65,IF(BB907="Fahrbahnoberflächentemperatur FBT",49,VALUE(RIGHT(BB907,2)))))))))))))))))</f>
        <v>72</v>
      </c>
      <c r="AI907" s="191"/>
      <c r="AK907" s="189"/>
      <c r="AL907" s="189"/>
      <c r="AM907" s="189"/>
      <c r="AN907" s="189"/>
      <c r="AO907" s="189"/>
      <c r="AT907" s="148">
        <v>3</v>
      </c>
      <c r="AU907" s="189">
        <v>82</v>
      </c>
      <c r="AV907" s="189">
        <v>52</v>
      </c>
      <c r="AY907" s="148">
        <v>1</v>
      </c>
      <c r="AZ907" s="189">
        <v>11</v>
      </c>
      <c r="BA907" s="187" t="s">
        <v>78</v>
      </c>
      <c r="BB907" s="152" t="s">
        <v>272</v>
      </c>
      <c r="BC907" s="150"/>
      <c r="BD907" s="150"/>
      <c r="BF907" s="152" t="s">
        <v>569</v>
      </c>
    </row>
    <row r="908" spans="1:58" s="152" customFormat="1" ht="14.25" x14ac:dyDescent="0.2">
      <c r="A908" s="160" t="s">
        <v>659</v>
      </c>
      <c r="C908" s="160">
        <f t="shared" si="179"/>
        <v>15.8</v>
      </c>
      <c r="D908" s="160"/>
      <c r="E908" s="169" t="str">
        <f>IF(OR(A908="",B908="",C908=""),"",CONCATENATE(VLOOKUP(VALUE(I908),[1]Grundlage!$A$1:$B$14,2,0),IF(LEFT(A908,1)="A",IF(VALUE(MID(A908,2,10))&lt;10,"A00"&amp;VALUE(MID(A908,2,10)),IF(VALUE(MID(A908,2,10))&lt;100,"A0"&amp;VALUE(MID(A908,2,10)),IF(VALUE(MID(A908,2,10))&lt;1000,"A"&amp;VALUE(MID(A908,2,10))))),IF(LEFT(A908,1)="B",IF(VALUE(MID(A908,2,10))&lt;10,"B00"&amp;VALUE(MID(A908,2,10)),IF(VALUE(MID(A908,2,10))&lt;100,"B0"&amp;VALUE(MID(A908,2,10)),IF(VALUE(MID(A908,2,10))&lt;1000,"B"&amp;VALUE(MID(A908,2,10))))),A908)),"_",IF(NOT(OR(C908=1000,C908&gt;1000)),MID(TEXT((C908+1000)*1000,0),2,6),"keine Meter in Spalte km!!!"),IF(VALUE(I908)=1,CONCATENATE("_",VLOOKUP(IF(V908&gt;0,V908,J908),[1]Grundlage!$A$20:$B$181,2,0)),CONCATENATE("_",B908))))</f>
        <v/>
      </c>
      <c r="F908" s="152" t="s">
        <v>669</v>
      </c>
      <c r="G908" s="171">
        <f t="shared" si="177"/>
        <v>43027</v>
      </c>
      <c r="H908" s="160">
        <f t="shared" si="178"/>
        <v>115</v>
      </c>
      <c r="I908" s="152">
        <f t="shared" si="180"/>
        <v>0</v>
      </c>
      <c r="J908" s="152">
        <f t="shared" si="181"/>
        <v>0</v>
      </c>
      <c r="K908" s="152">
        <f t="shared" si="182"/>
        <v>202</v>
      </c>
      <c r="L908" s="152">
        <f t="shared" si="183"/>
        <v>19</v>
      </c>
      <c r="M908" s="152" t="str">
        <f t="shared" si="184"/>
        <v/>
      </c>
      <c r="N908" s="152" t="str">
        <f t="shared" si="185"/>
        <v/>
      </c>
      <c r="P908" s="172" t="str">
        <f t="shared" si="186"/>
        <v/>
      </c>
      <c r="AI908" s="191"/>
      <c r="AT908" s="148"/>
      <c r="AU908" s="155"/>
      <c r="AV908" s="155"/>
      <c r="AY908" s="148"/>
      <c r="AZ908" s="155"/>
      <c r="BC908" s="150"/>
      <c r="BD908" s="150"/>
    </row>
    <row r="909" spans="1:58" s="152" customFormat="1" ht="14.25" x14ac:dyDescent="0.2">
      <c r="A909" s="160" t="s">
        <v>659</v>
      </c>
      <c r="B909" s="152" t="s">
        <v>655</v>
      </c>
      <c r="C909" s="160">
        <f t="shared" si="179"/>
        <v>20.25</v>
      </c>
      <c r="D909" s="160"/>
      <c r="E909" s="170" t="str">
        <f>IF(OR(A909="",B909="",C909=""),"eine der Spalten BAB, FR, km leer?",CONCATENATE(VLOOKUP(VALUE(I909),[1]Grundlage!$A$1:$B$14,2,0),IF(LEFT(A909,1)="A",IF(VALUE(MID(A909,2,10))&lt;10,"A00"&amp;VALUE(MID(A909,2,10)),IF(VALUE(MID(A909,2,10))&lt;100,"A0"&amp;VALUE(MID(A909,2,10)),IF(VALUE(MID(A909,2,10))&lt;1000,"A"&amp;VALUE(MID(A909,2,10))))),IF(LEFT(A909,1)="B",IF(VALUE(MID(A909,2,10))&lt;10,"B00"&amp;VALUE(MID(A909,2,10)),IF(VALUE(MID(A909,2,10))&lt;100,"B0"&amp;VALUE(MID(A909,2,10)),IF(VALUE(MID(A909,2,10))&lt;1000,"B"&amp;VALUE(MID(A909,2,10))))),A909)),"_",IF(NOT(OR(C909=1000,C909&gt;1000)),MID(TEXT((C909+1000)*1000,0),2,6),"keine Meter in Spalte km!!!"),IF(VALUE(I909)=1,CONCATENATE("_",VLOOKUP(IF(V909&gt;0,V909,J909),[1]Grundlage!$A$20:$B$181,2,0)),CONCATENATE("_",B909))))</f>
        <v>SSt_B015_020250_S</v>
      </c>
      <c r="F909" s="152" t="s">
        <v>175</v>
      </c>
      <c r="G909" s="171">
        <f t="shared" si="177"/>
        <v>43027</v>
      </c>
      <c r="H909" s="160">
        <f t="shared" si="178"/>
        <v>120</v>
      </c>
      <c r="I909" s="152">
        <f t="shared" si="180"/>
        <v>0</v>
      </c>
      <c r="J909" s="152">
        <f t="shared" si="181"/>
        <v>0</v>
      </c>
      <c r="K909" s="152">
        <f t="shared" si="182"/>
        <v>202</v>
      </c>
      <c r="L909" s="152">
        <f t="shared" si="183"/>
        <v>19</v>
      </c>
      <c r="M909" s="152">
        <f t="shared" si="184"/>
        <v>25</v>
      </c>
      <c r="N909" s="152" t="str">
        <f t="shared" si="185"/>
        <v/>
      </c>
      <c r="P909" s="172" t="str">
        <f t="shared" si="186"/>
        <v/>
      </c>
      <c r="AI909" s="188">
        <v>20.25</v>
      </c>
      <c r="AJ909" s="189" t="s">
        <v>19</v>
      </c>
      <c r="AK909" s="189" t="s">
        <v>164</v>
      </c>
      <c r="AL909" s="189"/>
      <c r="AM909" s="189"/>
      <c r="AN909" s="189"/>
      <c r="AO909" s="189"/>
      <c r="AP909" s="189">
        <v>11015032</v>
      </c>
      <c r="AQ909" s="189" t="s">
        <v>168</v>
      </c>
      <c r="AR909" s="189">
        <v>13</v>
      </c>
      <c r="AS909" s="189">
        <v>78</v>
      </c>
      <c r="AW909" s="189">
        <v>202</v>
      </c>
      <c r="AX909" s="189"/>
      <c r="AY909" s="189">
        <v>25</v>
      </c>
      <c r="AZ909" s="189"/>
      <c r="BA909" s="189"/>
      <c r="BB909" s="190" t="s">
        <v>175</v>
      </c>
      <c r="BC909" s="158" t="s">
        <v>163</v>
      </c>
      <c r="BD909" s="158"/>
      <c r="BE909" s="152" t="s">
        <v>61</v>
      </c>
      <c r="BF909" s="152" t="s">
        <v>564</v>
      </c>
    </row>
    <row r="910" spans="1:58" s="152" customFormat="1" ht="14.25" x14ac:dyDescent="0.2">
      <c r="A910" s="160" t="s">
        <v>659</v>
      </c>
      <c r="B910" s="152" t="s">
        <v>655</v>
      </c>
      <c r="C910" s="160">
        <f t="shared" si="179"/>
        <v>20.25</v>
      </c>
      <c r="D910" s="160"/>
      <c r="E910" s="170" t="str">
        <f>IF(OR(A910="",B910="",C910=""),"eine der Spalten BAB, FR, km leer?",CONCATENATE(VLOOKUP(VALUE(I910),[1]Grundlage!$A$1:$B$14,2,0),IF(LEFT(A910,1)="A",IF(VALUE(MID(A910,2,10))&lt;10,"A00"&amp;VALUE(MID(A910,2,10)),IF(VALUE(MID(A910,2,10))&lt;100,"A0"&amp;VALUE(MID(A910,2,10)),IF(VALUE(MID(A910,2,10))&lt;1000,"A"&amp;VALUE(MID(A910,2,10))))),IF(LEFT(A910,1)="B",IF(VALUE(MID(A910,2,10))&lt;10,"B00"&amp;VALUE(MID(A910,2,10)),IF(VALUE(MID(A910,2,10))&lt;100,"B0"&amp;VALUE(MID(A910,2,10)),IF(VALUE(MID(A910,2,10))&lt;1000,"B"&amp;VALUE(MID(A910,2,10))))),A910)),"_",IF(NOT(OR(C910=1000,C910&gt;1000)),MID(TEXT((C910+1000)*1000,0),2,6),"keine Meter in Spalte km!!!"),IF(VALUE(I910)=1,CONCATENATE("_",VLOOKUP(IF(V910&gt;0,V910,J910),[1]Grundlage!$A$20:$B$181,2,0)),CONCATENATE("_",B910))))</f>
        <v>UQ_B015_020250_S</v>
      </c>
      <c r="F910" s="152" t="s">
        <v>269</v>
      </c>
      <c r="G910" s="171">
        <f t="shared" si="177"/>
        <v>43027</v>
      </c>
      <c r="H910" s="160">
        <f t="shared" si="178"/>
        <v>120</v>
      </c>
      <c r="I910" s="152">
        <f t="shared" si="180"/>
        <v>3</v>
      </c>
      <c r="J910" s="152">
        <f t="shared" si="181"/>
        <v>6</v>
      </c>
      <c r="K910" s="152">
        <f t="shared" si="182"/>
        <v>202</v>
      </c>
      <c r="L910" s="152">
        <f t="shared" si="183"/>
        <v>19</v>
      </c>
      <c r="M910" s="152">
        <f t="shared" si="184"/>
        <v>1</v>
      </c>
      <c r="N910" s="152">
        <f t="shared" si="185"/>
        <v>1</v>
      </c>
      <c r="P910" s="172">
        <f t="shared" si="186"/>
        <v>71</v>
      </c>
      <c r="AI910" s="188"/>
      <c r="AJ910" s="189"/>
      <c r="AK910" s="189" t="s">
        <v>164</v>
      </c>
      <c r="AL910" s="189"/>
      <c r="AM910" s="189"/>
      <c r="AN910" s="189"/>
      <c r="AO910" s="189"/>
      <c r="AT910" s="189">
        <v>3</v>
      </c>
      <c r="AU910" s="189">
        <v>6</v>
      </c>
      <c r="AV910" s="196">
        <v>6</v>
      </c>
      <c r="AW910" s="189"/>
      <c r="AX910" s="189"/>
      <c r="AY910" s="189">
        <v>1</v>
      </c>
      <c r="AZ910" s="189">
        <v>1</v>
      </c>
      <c r="BA910" s="196">
        <v>1</v>
      </c>
      <c r="BB910" s="152" t="s">
        <v>269</v>
      </c>
      <c r="BC910" s="150"/>
      <c r="BD910" s="150"/>
      <c r="BF910" s="152" t="s">
        <v>440</v>
      </c>
    </row>
    <row r="911" spans="1:58" s="152" customFormat="1" ht="14.25" x14ac:dyDescent="0.2">
      <c r="A911" s="160" t="s">
        <v>659</v>
      </c>
      <c r="B911" s="152" t="s">
        <v>655</v>
      </c>
      <c r="C911" s="160">
        <f t="shared" si="179"/>
        <v>20.25</v>
      </c>
      <c r="D911" s="160"/>
      <c r="E911" s="170" t="str">
        <f>IF(OR(A911="",B911="",C911=""),"eine der Spalten BAB, FR, km leer?",CONCATENATE(VLOOKUP(VALUE(I911),[1]Grundlage!$A$1:$B$14,2,0),IF(LEFT(A911,1)="A",IF(VALUE(MID(A911,2,10))&lt;10,"A00"&amp;VALUE(MID(A911,2,10)),IF(VALUE(MID(A911,2,10))&lt;100,"A0"&amp;VALUE(MID(A911,2,10)),IF(VALUE(MID(A911,2,10))&lt;1000,"A"&amp;VALUE(MID(A911,2,10))))),IF(LEFT(A911,1)="B",IF(VALUE(MID(A911,2,10))&lt;10,"B00"&amp;VALUE(MID(A911,2,10)),IF(VALUE(MID(A911,2,10))&lt;100,"B0"&amp;VALUE(MID(A911,2,10)),IF(VALUE(MID(A911,2,10))&lt;1000,"B"&amp;VALUE(MID(A911,2,10))))),A911)),"_",IF(NOT(OR(C911=1000,C911&gt;1000)),MID(TEXT((C911+1000)*1000,0),2,6),"keine Meter in Spalte km!!!"),IF(VALUE(I911)=1,CONCATENATE("_",VLOOKUP(IF(V911&gt;0,V911,J911),[1]Grundlage!$A$20:$B$181,2,0)),CONCATENATE("_",B911))))</f>
        <v>UQ_B015_020250_S</v>
      </c>
      <c r="F911" s="152" t="s">
        <v>270</v>
      </c>
      <c r="G911" s="171">
        <f t="shared" si="177"/>
        <v>43027</v>
      </c>
      <c r="H911" s="160">
        <f t="shared" si="178"/>
        <v>120</v>
      </c>
      <c r="I911" s="152">
        <f t="shared" si="180"/>
        <v>3</v>
      </c>
      <c r="J911" s="152">
        <f t="shared" si="181"/>
        <v>11</v>
      </c>
      <c r="K911" s="152">
        <f t="shared" si="182"/>
        <v>202</v>
      </c>
      <c r="L911" s="152">
        <f t="shared" si="183"/>
        <v>19</v>
      </c>
      <c r="M911" s="152">
        <f t="shared" si="184"/>
        <v>1</v>
      </c>
      <c r="N911" s="152">
        <f t="shared" si="185"/>
        <v>2</v>
      </c>
      <c r="P911" s="172">
        <f t="shared" si="186"/>
        <v>70</v>
      </c>
      <c r="AI911" s="188"/>
      <c r="AJ911" s="189"/>
      <c r="AK911" s="189" t="s">
        <v>164</v>
      </c>
      <c r="AL911" s="189"/>
      <c r="AM911" s="189"/>
      <c r="AN911" s="189"/>
      <c r="AO911" s="189"/>
      <c r="AP911" s="189"/>
      <c r="AQ911" s="189"/>
      <c r="AR911" s="189"/>
      <c r="AS911" s="189"/>
      <c r="AT911" s="189">
        <v>3</v>
      </c>
      <c r="AU911" s="189">
        <v>11</v>
      </c>
      <c r="AV911" s="189" t="s">
        <v>78</v>
      </c>
      <c r="AW911" s="189"/>
      <c r="AX911" s="189"/>
      <c r="AY911" s="189">
        <v>1</v>
      </c>
      <c r="AZ911" s="189">
        <v>2</v>
      </c>
      <c r="BA911" s="189">
        <v>2</v>
      </c>
      <c r="BB911" s="152" t="s">
        <v>270</v>
      </c>
      <c r="BC911" s="150"/>
      <c r="BD911" s="150"/>
      <c r="BF911" s="152" t="s">
        <v>565</v>
      </c>
    </row>
    <row r="912" spans="1:58" s="152" customFormat="1" ht="14.25" x14ac:dyDescent="0.2">
      <c r="A912" s="160" t="s">
        <v>659</v>
      </c>
      <c r="B912" s="152" t="s">
        <v>655</v>
      </c>
      <c r="C912" s="160">
        <f t="shared" si="179"/>
        <v>20.25</v>
      </c>
      <c r="D912" s="160"/>
      <c r="E912" s="170" t="str">
        <f>IF(OR(A912="",B912="",C912=""),"eine der Spalten BAB, FR, km leer?",CONCATENATE(VLOOKUP(VALUE(I912),[1]Grundlage!$A$1:$B$14,2,0),IF(LEFT(A912,1)="A",IF(VALUE(MID(A912,2,10))&lt;10,"A00"&amp;VALUE(MID(A912,2,10)),IF(VALUE(MID(A912,2,10))&lt;100,"A0"&amp;VALUE(MID(A912,2,10)),IF(VALUE(MID(A912,2,10))&lt;1000,"A"&amp;VALUE(MID(A912,2,10))))),IF(LEFT(A912,1)="B",IF(VALUE(MID(A912,2,10))&lt;10,"B00"&amp;VALUE(MID(A912,2,10)),IF(VALUE(MID(A912,2,10))&lt;100,"B0"&amp;VALUE(MID(A912,2,10)),IF(VALUE(MID(A912,2,10))&lt;1000,"B"&amp;VALUE(MID(A912,2,10))))),A912)),"_",IF(NOT(OR(C912=1000,C912&gt;1000)),MID(TEXT((C912+1000)*1000,0),2,6),"keine Meter in Spalte km!!!"),IF(VALUE(I912)=1,CONCATENATE("_",VLOOKUP(IF(V912&gt;0,V912,J912),[1]Grundlage!$A$20:$B$181,2,0)),CONCATENATE("_",B912))))</f>
        <v>UQ_B015_020250_S</v>
      </c>
      <c r="F912" s="152" t="s">
        <v>25</v>
      </c>
      <c r="G912" s="171">
        <f t="shared" si="177"/>
        <v>43027</v>
      </c>
      <c r="H912" s="160">
        <f t="shared" si="178"/>
        <v>120</v>
      </c>
      <c r="I912" s="152">
        <f t="shared" si="180"/>
        <v>3</v>
      </c>
      <c r="J912" s="152">
        <f t="shared" si="181"/>
        <v>12</v>
      </c>
      <c r="K912" s="152">
        <f t="shared" si="182"/>
        <v>202</v>
      </c>
      <c r="L912" s="152">
        <f t="shared" si="183"/>
        <v>19</v>
      </c>
      <c r="M912" s="152">
        <f t="shared" si="184"/>
        <v>1</v>
      </c>
      <c r="N912" s="152">
        <f t="shared" si="185"/>
        <v>3</v>
      </c>
      <c r="P912" s="172">
        <f t="shared" si="186"/>
        <v>48</v>
      </c>
      <c r="AI912" s="188"/>
      <c r="AJ912" s="189"/>
      <c r="AK912" s="189" t="s">
        <v>164</v>
      </c>
      <c r="AL912" s="189"/>
      <c r="AM912" s="189"/>
      <c r="AN912" s="189"/>
      <c r="AO912" s="189"/>
      <c r="AP912" s="189"/>
      <c r="AQ912" s="189"/>
      <c r="AR912" s="189"/>
      <c r="AS912" s="189"/>
      <c r="AT912" s="189">
        <v>3</v>
      </c>
      <c r="AU912" s="189">
        <v>12</v>
      </c>
      <c r="AV912" s="189"/>
      <c r="AW912" s="189"/>
      <c r="AX912" s="189"/>
      <c r="AY912" s="189">
        <v>1</v>
      </c>
      <c r="AZ912" s="189">
        <v>3</v>
      </c>
      <c r="BA912" s="189">
        <v>3</v>
      </c>
      <c r="BB912" s="152" t="s">
        <v>25</v>
      </c>
      <c r="BC912" s="150"/>
      <c r="BD912" s="150"/>
      <c r="BF912" s="152" t="s">
        <v>441</v>
      </c>
    </row>
    <row r="913" spans="1:58" s="152" customFormat="1" ht="14.25" x14ac:dyDescent="0.2">
      <c r="A913" s="160" t="s">
        <v>659</v>
      </c>
      <c r="B913" s="152" t="s">
        <v>655</v>
      </c>
      <c r="C913" s="160">
        <f t="shared" si="179"/>
        <v>20.25</v>
      </c>
      <c r="D913" s="160"/>
      <c r="E913" s="170" t="str">
        <f>IF(OR(A913="",B913="",C913=""),"eine der Spalten BAB, FR, km leer?",CONCATENATE(VLOOKUP(VALUE(I913),[1]Grundlage!$A$1:$B$14,2,0),IF(LEFT(A913,1)="A",IF(VALUE(MID(A913,2,10))&lt;10,"A00"&amp;VALUE(MID(A913,2,10)),IF(VALUE(MID(A913,2,10))&lt;100,"A0"&amp;VALUE(MID(A913,2,10)),IF(VALUE(MID(A913,2,10))&lt;1000,"A"&amp;VALUE(MID(A913,2,10))))),IF(LEFT(A913,1)="B",IF(VALUE(MID(A913,2,10))&lt;10,"B00"&amp;VALUE(MID(A913,2,10)),IF(VALUE(MID(A913,2,10))&lt;100,"B0"&amp;VALUE(MID(A913,2,10)),IF(VALUE(MID(A913,2,10))&lt;1000,"B"&amp;VALUE(MID(A913,2,10))))),A913)),"_",IF(NOT(OR(C913=1000,C913&gt;1000)),MID(TEXT((C913+1000)*1000,0),2,6),"keine Meter in Spalte km!!!"),IF(VALUE(I913)=1,CONCATENATE("_",VLOOKUP(IF(V913&gt;0,V913,J913),[1]Grundlage!$A$20:$B$181,2,0)),CONCATENATE("_",B913))))</f>
        <v>UQ_B015_020250_S</v>
      </c>
      <c r="F913" s="152" t="s">
        <v>26</v>
      </c>
      <c r="G913" s="171">
        <f t="shared" si="177"/>
        <v>43027</v>
      </c>
      <c r="H913" s="160">
        <f t="shared" si="178"/>
        <v>120</v>
      </c>
      <c r="I913" s="152">
        <f t="shared" si="180"/>
        <v>3</v>
      </c>
      <c r="J913" s="152">
        <f t="shared" si="181"/>
        <v>13</v>
      </c>
      <c r="K913" s="152">
        <f t="shared" si="182"/>
        <v>202</v>
      </c>
      <c r="L913" s="152">
        <f t="shared" si="183"/>
        <v>19</v>
      </c>
      <c r="M913" s="152">
        <f t="shared" si="184"/>
        <v>1</v>
      </c>
      <c r="N913" s="152">
        <f t="shared" si="185"/>
        <v>4</v>
      </c>
      <c r="P913" s="172">
        <f t="shared" si="186"/>
        <v>55</v>
      </c>
      <c r="AI913" s="188"/>
      <c r="AJ913" s="189"/>
      <c r="AK913" s="189" t="s">
        <v>164</v>
      </c>
      <c r="AL913" s="189"/>
      <c r="AM913" s="189"/>
      <c r="AN913" s="189"/>
      <c r="AO913" s="189"/>
      <c r="AP913" s="189"/>
      <c r="AQ913" s="189"/>
      <c r="AR913" s="189"/>
      <c r="AS913" s="189"/>
      <c r="AT913" s="189">
        <v>3</v>
      </c>
      <c r="AU913" s="189">
        <v>13</v>
      </c>
      <c r="AV913" s="189"/>
      <c r="AW913" s="189"/>
      <c r="AX913" s="189"/>
      <c r="AY913" s="189">
        <v>1</v>
      </c>
      <c r="AZ913" s="189">
        <v>4</v>
      </c>
      <c r="BA913" s="189">
        <v>4</v>
      </c>
      <c r="BB913" s="152" t="s">
        <v>26</v>
      </c>
      <c r="BC913" s="150"/>
      <c r="BD913" s="150"/>
      <c r="BF913" s="152" t="s">
        <v>442</v>
      </c>
    </row>
    <row r="914" spans="1:58" s="152" customFormat="1" ht="14.25" x14ac:dyDescent="0.2">
      <c r="A914" s="160" t="s">
        <v>659</v>
      </c>
      <c r="B914" s="152" t="s">
        <v>655</v>
      </c>
      <c r="C914" s="160">
        <f t="shared" si="179"/>
        <v>20.25</v>
      </c>
      <c r="D914" s="160"/>
      <c r="E914" s="170" t="str">
        <f>IF(OR(A914="",B914="",C914=""),"eine der Spalten BAB, FR, km leer?",CONCATENATE(VLOOKUP(VALUE(I914),[1]Grundlage!$A$1:$B$14,2,0),IF(LEFT(A914,1)="A",IF(VALUE(MID(A914,2,10))&lt;10,"A00"&amp;VALUE(MID(A914,2,10)),IF(VALUE(MID(A914,2,10))&lt;100,"A0"&amp;VALUE(MID(A914,2,10)),IF(VALUE(MID(A914,2,10))&lt;1000,"A"&amp;VALUE(MID(A914,2,10))))),IF(LEFT(A914,1)="B",IF(VALUE(MID(A914,2,10))&lt;10,"B00"&amp;VALUE(MID(A914,2,10)),IF(VALUE(MID(A914,2,10))&lt;100,"B0"&amp;VALUE(MID(A914,2,10)),IF(VALUE(MID(A914,2,10))&lt;1000,"B"&amp;VALUE(MID(A914,2,10))))),A914)),"_",IF(NOT(OR(C914=1000,C914&gt;1000)),MID(TEXT((C914+1000)*1000,0),2,6),"keine Meter in Spalte km!!!"),IF(VALUE(I914)=1,CONCATENATE("_",VLOOKUP(IF(V914&gt;0,V914,J914),[1]Grundlage!$A$20:$B$181,2,0)),CONCATENATE("_",B914))))</f>
        <v>UQ_B015_020250_S</v>
      </c>
      <c r="F914" s="152" t="s">
        <v>27</v>
      </c>
      <c r="G914" s="171">
        <f t="shared" si="177"/>
        <v>43027</v>
      </c>
      <c r="H914" s="160">
        <f t="shared" si="178"/>
        <v>120</v>
      </c>
      <c r="I914" s="152">
        <f t="shared" si="180"/>
        <v>3</v>
      </c>
      <c r="J914" s="152">
        <f t="shared" si="181"/>
        <v>14</v>
      </c>
      <c r="K914" s="152">
        <f t="shared" si="182"/>
        <v>202</v>
      </c>
      <c r="L914" s="152">
        <f t="shared" si="183"/>
        <v>19</v>
      </c>
      <c r="M914" s="152">
        <f t="shared" si="184"/>
        <v>1</v>
      </c>
      <c r="N914" s="152">
        <f t="shared" si="185"/>
        <v>5</v>
      </c>
      <c r="P914" s="172">
        <f t="shared" si="186"/>
        <v>66</v>
      </c>
      <c r="AI914" s="188"/>
      <c r="AJ914" s="189"/>
      <c r="AK914" s="189" t="s">
        <v>164</v>
      </c>
      <c r="AL914" s="189"/>
      <c r="AM914" s="189"/>
      <c r="AN914" s="189"/>
      <c r="AO914" s="189"/>
      <c r="AP914" s="189"/>
      <c r="AQ914" s="189"/>
      <c r="AR914" s="189"/>
      <c r="AS914" s="189"/>
      <c r="AT914" s="189">
        <v>3</v>
      </c>
      <c r="AU914" s="189">
        <v>14</v>
      </c>
      <c r="AV914" s="189"/>
      <c r="AW914" s="189"/>
      <c r="AX914" s="189"/>
      <c r="AY914" s="189">
        <v>1</v>
      </c>
      <c r="AZ914" s="189">
        <v>5</v>
      </c>
      <c r="BA914" s="189">
        <v>5</v>
      </c>
      <c r="BB914" s="152" t="s">
        <v>27</v>
      </c>
      <c r="BC914" s="150"/>
      <c r="BD914" s="150"/>
      <c r="BF914" s="152" t="s">
        <v>443</v>
      </c>
    </row>
    <row r="915" spans="1:58" s="152" customFormat="1" ht="14.25" x14ac:dyDescent="0.2">
      <c r="A915" s="160" t="s">
        <v>659</v>
      </c>
      <c r="B915" s="152" t="s">
        <v>655</v>
      </c>
      <c r="C915" s="160">
        <f t="shared" si="179"/>
        <v>20.25</v>
      </c>
      <c r="D915" s="160"/>
      <c r="E915" s="170" t="str">
        <f>IF(OR(A915="",B915="",C915=""),"eine der Spalten BAB, FR, km leer?",CONCATENATE(VLOOKUP(VALUE(I915),[1]Grundlage!$A$1:$B$14,2,0),IF(LEFT(A915,1)="A",IF(VALUE(MID(A915,2,10))&lt;10,"A00"&amp;VALUE(MID(A915,2,10)),IF(VALUE(MID(A915,2,10))&lt;100,"A0"&amp;VALUE(MID(A915,2,10)),IF(VALUE(MID(A915,2,10))&lt;1000,"A"&amp;VALUE(MID(A915,2,10))))),IF(LEFT(A915,1)="B",IF(VALUE(MID(A915,2,10))&lt;10,"B00"&amp;VALUE(MID(A915,2,10)),IF(VALUE(MID(A915,2,10))&lt;100,"B0"&amp;VALUE(MID(A915,2,10)),IF(VALUE(MID(A915,2,10))&lt;1000,"B"&amp;VALUE(MID(A915,2,10))))),A915)),"_",IF(NOT(OR(C915=1000,C915&gt;1000)),MID(TEXT((C915+1000)*1000,0),2,6),"keine Meter in Spalte km!!!"),IF(VALUE(I915)=1,CONCATENATE("_",VLOOKUP(IF(V915&gt;0,V915,J915),[1]Grundlage!$A$20:$B$181,2,0)),CONCATENATE("_",B915))))</f>
        <v>UQ_B015_020250_S</v>
      </c>
      <c r="F915" s="152" t="s">
        <v>28</v>
      </c>
      <c r="G915" s="171">
        <f t="shared" si="177"/>
        <v>43027</v>
      </c>
      <c r="H915" s="160">
        <f t="shared" si="178"/>
        <v>120</v>
      </c>
      <c r="I915" s="152">
        <f t="shared" si="180"/>
        <v>3</v>
      </c>
      <c r="J915" s="152">
        <f t="shared" si="181"/>
        <v>15</v>
      </c>
      <c r="K915" s="152">
        <f t="shared" si="182"/>
        <v>202</v>
      </c>
      <c r="L915" s="152">
        <f t="shared" si="183"/>
        <v>19</v>
      </c>
      <c r="M915" s="152">
        <f t="shared" si="184"/>
        <v>1</v>
      </c>
      <c r="N915" s="152">
        <f t="shared" si="185"/>
        <v>6</v>
      </c>
      <c r="P915" s="172">
        <f t="shared" si="186"/>
        <v>65</v>
      </c>
      <c r="AI915" s="188"/>
      <c r="AJ915" s="189"/>
      <c r="AK915" s="189" t="s">
        <v>164</v>
      </c>
      <c r="AL915" s="189"/>
      <c r="AM915" s="189"/>
      <c r="AN915" s="189"/>
      <c r="AO915" s="189"/>
      <c r="AP915" s="189"/>
      <c r="AQ915" s="189"/>
      <c r="AR915" s="189"/>
      <c r="AS915" s="189"/>
      <c r="AT915" s="189">
        <v>3</v>
      </c>
      <c r="AU915" s="189">
        <v>15</v>
      </c>
      <c r="AV915" s="189"/>
      <c r="AW915" s="189"/>
      <c r="AX915" s="189"/>
      <c r="AY915" s="189">
        <v>1</v>
      </c>
      <c r="AZ915" s="189">
        <v>6</v>
      </c>
      <c r="BA915" s="189">
        <v>6</v>
      </c>
      <c r="BB915" s="152" t="s">
        <v>28</v>
      </c>
      <c r="BC915" s="150"/>
      <c r="BD915" s="150"/>
      <c r="BF915" s="152" t="s">
        <v>566</v>
      </c>
    </row>
    <row r="916" spans="1:58" s="152" customFormat="1" ht="14.25" x14ac:dyDescent="0.2">
      <c r="A916" s="160" t="s">
        <v>659</v>
      </c>
      <c r="B916" s="152" t="s">
        <v>655</v>
      </c>
      <c r="C916" s="160">
        <f t="shared" si="179"/>
        <v>20.25</v>
      </c>
      <c r="D916" s="160"/>
      <c r="E916" s="170" t="str">
        <f>IF(OR(A916="",B916="",C916=""),"eine der Spalten BAB, FR, km leer?",CONCATENATE(VLOOKUP(VALUE(I916),[1]Grundlage!$A$1:$B$14,2,0),IF(LEFT(A916,1)="A",IF(VALUE(MID(A916,2,10))&lt;10,"A00"&amp;VALUE(MID(A916,2,10)),IF(VALUE(MID(A916,2,10))&lt;100,"A0"&amp;VALUE(MID(A916,2,10)),IF(VALUE(MID(A916,2,10))&lt;1000,"A"&amp;VALUE(MID(A916,2,10))))),IF(LEFT(A916,1)="B",IF(VALUE(MID(A916,2,10))&lt;10,"B00"&amp;VALUE(MID(A916,2,10)),IF(VALUE(MID(A916,2,10))&lt;100,"B0"&amp;VALUE(MID(A916,2,10)),IF(VALUE(MID(A916,2,10))&lt;1000,"B"&amp;VALUE(MID(A916,2,10))))),A916)),"_",IF(NOT(OR(C916=1000,C916&gt;1000)),MID(TEXT((C916+1000)*1000,0),2,6),"keine Meter in Spalte km!!!"),IF(VALUE(I916)=1,CONCATENATE("_",VLOOKUP(IF(V916&gt;0,V916,J916),[1]Grundlage!$A$20:$B$181,2,0)),CONCATENATE("_",B916))))</f>
        <v>UQ_B015_020250_S</v>
      </c>
      <c r="F916" s="152" t="s">
        <v>29</v>
      </c>
      <c r="G916" s="171">
        <f t="shared" si="177"/>
        <v>43027</v>
      </c>
      <c r="H916" s="160">
        <f t="shared" si="178"/>
        <v>120</v>
      </c>
      <c r="I916" s="152">
        <f t="shared" si="180"/>
        <v>3</v>
      </c>
      <c r="J916" s="152">
        <f t="shared" si="181"/>
        <v>19</v>
      </c>
      <c r="K916" s="152">
        <f t="shared" si="182"/>
        <v>202</v>
      </c>
      <c r="L916" s="152">
        <f t="shared" si="183"/>
        <v>19</v>
      </c>
      <c r="M916" s="152">
        <f t="shared" si="184"/>
        <v>1</v>
      </c>
      <c r="N916" s="152">
        <f t="shared" si="185"/>
        <v>7</v>
      </c>
      <c r="P916" s="172">
        <f t="shared" si="186"/>
        <v>49</v>
      </c>
      <c r="AI916" s="188"/>
      <c r="AJ916" s="189"/>
      <c r="AK916" s="189" t="s">
        <v>164</v>
      </c>
      <c r="AL916" s="189"/>
      <c r="AM916" s="189"/>
      <c r="AN916" s="189"/>
      <c r="AO916" s="189"/>
      <c r="AP916" s="189"/>
      <c r="AQ916" s="189"/>
      <c r="AR916" s="189"/>
      <c r="AS916" s="189"/>
      <c r="AT916" s="189">
        <v>3</v>
      </c>
      <c r="AU916" s="189">
        <v>19</v>
      </c>
      <c r="AV916" s="189"/>
      <c r="AW916" s="189"/>
      <c r="AX916" s="189"/>
      <c r="AY916" s="189">
        <v>1</v>
      </c>
      <c r="AZ916" s="189">
        <v>7</v>
      </c>
      <c r="BA916" s="189">
        <v>7</v>
      </c>
      <c r="BB916" s="152" t="s">
        <v>29</v>
      </c>
      <c r="BC916" s="150"/>
      <c r="BD916" s="150"/>
      <c r="BF916" s="152" t="s">
        <v>567</v>
      </c>
    </row>
    <row r="917" spans="1:58" s="152" customFormat="1" ht="14.25" x14ac:dyDescent="0.2">
      <c r="A917" s="160" t="s">
        <v>659</v>
      </c>
      <c r="B917" s="152" t="s">
        <v>655</v>
      </c>
      <c r="C917" s="160">
        <f t="shared" si="179"/>
        <v>20.25</v>
      </c>
      <c r="D917" s="160"/>
      <c r="E917" s="170" t="str">
        <f>IF(OR(A917="",B917="",C917=""),"eine der Spalten BAB, FR, km leer?",CONCATENATE(VLOOKUP(VALUE(I917),[1]Grundlage!$A$1:$B$14,2,0),IF(LEFT(A917,1)="A",IF(VALUE(MID(A917,2,10))&lt;10,"A00"&amp;VALUE(MID(A917,2,10)),IF(VALUE(MID(A917,2,10))&lt;100,"A0"&amp;VALUE(MID(A917,2,10)),IF(VALUE(MID(A917,2,10))&lt;1000,"A"&amp;VALUE(MID(A917,2,10))))),IF(LEFT(A917,1)="B",IF(VALUE(MID(A917,2,10))&lt;10,"B00"&amp;VALUE(MID(A917,2,10)),IF(VALUE(MID(A917,2,10))&lt;100,"B0"&amp;VALUE(MID(A917,2,10)),IF(VALUE(MID(A917,2,10))&lt;1000,"B"&amp;VALUE(MID(A917,2,10))))),A917)),"_",IF(NOT(OR(C917=1000,C917&gt;1000)),MID(TEXT((C917+1000)*1000,0),2,6),"keine Meter in Spalte km!!!"),IF(VALUE(I917)=1,CONCATENATE("_",VLOOKUP(IF(V917&gt;0,V917,J917),[1]Grundlage!$A$20:$B$181,2,0)),CONCATENATE("_",B917))))</f>
        <v>UQ_B015_020250_S</v>
      </c>
      <c r="F917" s="152" t="s">
        <v>30</v>
      </c>
      <c r="G917" s="171">
        <f t="shared" si="177"/>
        <v>43027</v>
      </c>
      <c r="H917" s="160">
        <f t="shared" si="178"/>
        <v>120</v>
      </c>
      <c r="I917" s="152">
        <f t="shared" si="180"/>
        <v>3</v>
      </c>
      <c r="J917" s="152">
        <f t="shared" si="181"/>
        <v>21</v>
      </c>
      <c r="K917" s="152">
        <f t="shared" si="182"/>
        <v>202</v>
      </c>
      <c r="L917" s="152">
        <f t="shared" si="183"/>
        <v>19</v>
      </c>
      <c r="M917" s="152">
        <f t="shared" si="184"/>
        <v>1</v>
      </c>
      <c r="N917" s="152">
        <f t="shared" si="185"/>
        <v>8</v>
      </c>
      <c r="P917" s="172">
        <f t="shared" si="186"/>
        <v>67</v>
      </c>
      <c r="AI917" s="188"/>
      <c r="AJ917" s="189"/>
      <c r="AK917" s="189" t="s">
        <v>164</v>
      </c>
      <c r="AL917" s="189"/>
      <c r="AM917" s="189"/>
      <c r="AN917" s="189"/>
      <c r="AO917" s="189"/>
      <c r="AP917" s="189"/>
      <c r="AQ917" s="189"/>
      <c r="AR917" s="189"/>
      <c r="AS917" s="189"/>
      <c r="AT917" s="189">
        <v>3</v>
      </c>
      <c r="AU917" s="189">
        <v>21</v>
      </c>
      <c r="AV917" s="189"/>
      <c r="AW917" s="189"/>
      <c r="AX917" s="189"/>
      <c r="AY917" s="189">
        <v>1</v>
      </c>
      <c r="AZ917" s="189">
        <v>8</v>
      </c>
      <c r="BA917" s="189">
        <v>8</v>
      </c>
      <c r="BB917" s="152" t="s">
        <v>30</v>
      </c>
      <c r="BC917" s="150"/>
      <c r="BD917" s="150"/>
      <c r="BF917" s="152" t="s">
        <v>568</v>
      </c>
    </row>
    <row r="918" spans="1:58" s="152" customFormat="1" ht="14.25" x14ac:dyDescent="0.2">
      <c r="A918" s="160" t="s">
        <v>659</v>
      </c>
      <c r="B918" s="152" t="s">
        <v>655</v>
      </c>
      <c r="C918" s="160">
        <f t="shared" si="179"/>
        <v>20.25</v>
      </c>
      <c r="D918" s="160"/>
      <c r="E918" s="170" t="str">
        <f>IF(OR(A918="",B918="",C918=""),"eine der Spalten BAB, FR, km leer?",CONCATENATE(VLOOKUP(VALUE(I918),[1]Grundlage!$A$1:$B$14,2,0),IF(LEFT(A918,1)="A",IF(VALUE(MID(A918,2,10))&lt;10,"A00"&amp;VALUE(MID(A918,2,10)),IF(VALUE(MID(A918,2,10))&lt;100,"A0"&amp;VALUE(MID(A918,2,10)),IF(VALUE(MID(A918,2,10))&lt;1000,"A"&amp;VALUE(MID(A918,2,10))))),IF(LEFT(A918,1)="B",IF(VALUE(MID(A918,2,10))&lt;10,"B00"&amp;VALUE(MID(A918,2,10)),IF(VALUE(MID(A918,2,10))&lt;100,"B0"&amp;VALUE(MID(A918,2,10)),IF(VALUE(MID(A918,2,10))&lt;1000,"B"&amp;VALUE(MID(A918,2,10))))),A918)),"_",IF(NOT(OR(C918=1000,C918&gt;1000)),MID(TEXT((C918+1000)*1000,0),2,6),"keine Meter in Spalte km!!!"),IF(VALUE(I918)=1,CONCATENATE("_",VLOOKUP(IF(V918&gt;0,V918,J918),[1]Grundlage!$A$20:$B$181,2,0)),CONCATENATE("_",B918))))</f>
        <v>UQ_B015_020250_S</v>
      </c>
      <c r="F918" s="152" t="s">
        <v>271</v>
      </c>
      <c r="G918" s="171">
        <f t="shared" si="177"/>
        <v>43027</v>
      </c>
      <c r="H918" s="160">
        <f t="shared" si="178"/>
        <v>120</v>
      </c>
      <c r="I918" s="152">
        <f t="shared" si="180"/>
        <v>3</v>
      </c>
      <c r="J918" s="152">
        <f t="shared" si="181"/>
        <v>67</v>
      </c>
      <c r="K918" s="152">
        <f t="shared" si="182"/>
        <v>202</v>
      </c>
      <c r="L918" s="152">
        <f t="shared" si="183"/>
        <v>19</v>
      </c>
      <c r="M918" s="152">
        <f t="shared" si="184"/>
        <v>1</v>
      </c>
      <c r="N918" s="152">
        <f t="shared" si="185"/>
        <v>9</v>
      </c>
      <c r="P918" s="172">
        <f t="shared" si="186"/>
        <v>53</v>
      </c>
      <c r="AI918" s="188"/>
      <c r="AJ918" s="189"/>
      <c r="AK918" s="189"/>
      <c r="AL918" s="189"/>
      <c r="AM918" s="189"/>
      <c r="AN918" s="189"/>
      <c r="AO918" s="189"/>
      <c r="AP918" s="189"/>
      <c r="AQ918" s="189"/>
      <c r="AR918" s="189"/>
      <c r="AS918" s="189"/>
      <c r="AT918" s="189">
        <v>3</v>
      </c>
      <c r="AU918" s="189">
        <v>67</v>
      </c>
      <c r="AV918" s="189">
        <v>43</v>
      </c>
      <c r="AW918" s="189"/>
      <c r="AX918" s="189"/>
      <c r="AY918" s="189">
        <v>1</v>
      </c>
      <c r="AZ918" s="189">
        <v>9</v>
      </c>
      <c r="BA918" s="187">
        <v>9</v>
      </c>
      <c r="BB918" s="152" t="s">
        <v>271</v>
      </c>
      <c r="BC918" s="150"/>
      <c r="BD918" s="150"/>
      <c r="BF918" s="152" t="s">
        <v>444</v>
      </c>
    </row>
    <row r="919" spans="1:58" s="152" customFormat="1" ht="14.25" x14ac:dyDescent="0.2">
      <c r="A919" s="160" t="s">
        <v>659</v>
      </c>
      <c r="B919" s="152" t="s">
        <v>655</v>
      </c>
      <c r="C919" s="160">
        <f t="shared" si="179"/>
        <v>20.25</v>
      </c>
      <c r="D919" s="160"/>
      <c r="E919" s="170" t="str">
        <f>IF(OR(A919="",B919="",C919=""),"eine der Spalten BAB, FR, km leer?",CONCATENATE(VLOOKUP(VALUE(I919),[1]Grundlage!$A$1:$B$14,2,0),IF(LEFT(A919,1)="A",IF(VALUE(MID(A919,2,10))&lt;10,"A00"&amp;VALUE(MID(A919,2,10)),IF(VALUE(MID(A919,2,10))&lt;100,"A0"&amp;VALUE(MID(A919,2,10)),IF(VALUE(MID(A919,2,10))&lt;1000,"A"&amp;VALUE(MID(A919,2,10))))),IF(LEFT(A919,1)="B",IF(VALUE(MID(A919,2,10))&lt;10,"B00"&amp;VALUE(MID(A919,2,10)),IF(VALUE(MID(A919,2,10))&lt;100,"B0"&amp;VALUE(MID(A919,2,10)),IF(VALUE(MID(A919,2,10))&lt;1000,"B"&amp;VALUE(MID(A919,2,10))))),A919)),"_",IF(NOT(OR(C919=1000,C919&gt;1000)),MID(TEXT((C919+1000)*1000,0),2,6),"keine Meter in Spalte km!!!"),IF(VALUE(I919)=1,CONCATENATE("_",VLOOKUP(IF(V919&gt;0,V919,J919),[1]Grundlage!$A$20:$B$181,2,0)),CONCATENATE("_",B919))))</f>
        <v>UQ_B015_020250_S</v>
      </c>
      <c r="F919" s="152" t="s">
        <v>272</v>
      </c>
      <c r="G919" s="171">
        <f t="shared" si="177"/>
        <v>43027</v>
      </c>
      <c r="H919" s="160">
        <f t="shared" si="178"/>
        <v>120</v>
      </c>
      <c r="I919" s="152">
        <f t="shared" si="180"/>
        <v>3</v>
      </c>
      <c r="J919" s="152">
        <f t="shared" si="181"/>
        <v>82</v>
      </c>
      <c r="K919" s="152">
        <f t="shared" si="182"/>
        <v>202</v>
      </c>
      <c r="L919" s="152">
        <f t="shared" si="183"/>
        <v>19</v>
      </c>
      <c r="M919" s="152">
        <f t="shared" si="184"/>
        <v>1</v>
      </c>
      <c r="N919" s="152">
        <f t="shared" si="185"/>
        <v>10</v>
      </c>
      <c r="P919" s="172">
        <f t="shared" si="186"/>
        <v>72</v>
      </c>
      <c r="AI919" s="188"/>
      <c r="AJ919" s="189"/>
      <c r="AK919" s="189"/>
      <c r="AL919" s="189"/>
      <c r="AM919" s="189"/>
      <c r="AN919" s="189"/>
      <c r="AO919" s="189"/>
      <c r="AP919" s="189"/>
      <c r="AQ919" s="189"/>
      <c r="AR919" s="189"/>
      <c r="AS919" s="189"/>
      <c r="AT919" s="189">
        <v>3</v>
      </c>
      <c r="AU919" s="189">
        <v>82</v>
      </c>
      <c r="AV919" s="189">
        <v>52</v>
      </c>
      <c r="AW919" s="189"/>
      <c r="AX919" s="189"/>
      <c r="AY919" s="189">
        <v>1</v>
      </c>
      <c r="AZ919" s="189">
        <v>10</v>
      </c>
      <c r="BA919" s="187" t="s">
        <v>95</v>
      </c>
      <c r="BB919" s="152" t="s">
        <v>272</v>
      </c>
      <c r="BC919" s="150"/>
      <c r="BD919" s="150"/>
      <c r="BF919" s="152" t="s">
        <v>569</v>
      </c>
    </row>
    <row r="920" spans="1:58" s="152" customFormat="1" ht="14.25" x14ac:dyDescent="0.2">
      <c r="A920" s="160" t="s">
        <v>659</v>
      </c>
      <c r="C920" s="160">
        <f t="shared" si="179"/>
        <v>20.25</v>
      </c>
      <c r="D920" s="160"/>
      <c r="E920" s="169" t="str">
        <f>IF(OR(A920="",B920="",C920=""),"",CONCATENATE(VLOOKUP(VALUE(I920),[1]Grundlage!$A$1:$B$14,2,0),IF(LEFT(A920,1)="A",IF(VALUE(MID(A920,2,10))&lt;10,"A00"&amp;VALUE(MID(A920,2,10)),IF(VALUE(MID(A920,2,10))&lt;100,"A0"&amp;VALUE(MID(A920,2,10)),IF(VALUE(MID(A920,2,10))&lt;1000,"A"&amp;VALUE(MID(A920,2,10))))),IF(LEFT(A920,1)="B",IF(VALUE(MID(A920,2,10))&lt;10,"B00"&amp;VALUE(MID(A920,2,10)),IF(VALUE(MID(A920,2,10))&lt;100,"B0"&amp;VALUE(MID(A920,2,10)),IF(VALUE(MID(A920,2,10))&lt;1000,"B"&amp;VALUE(MID(A920,2,10))))),A920)),"_",IF(NOT(OR(C920=1000,C920&gt;1000)),MID(TEXT((C920+1000)*1000,0),2,6),"keine Meter in Spalte km!!!"),IF(VALUE(I920)=1,CONCATENATE("_",VLOOKUP(IF(V920&gt;0,V920,J920),[1]Grundlage!$A$20:$B$181,2,0)),CONCATENATE("_",B920))))</f>
        <v/>
      </c>
      <c r="F920" s="152" t="s">
        <v>669</v>
      </c>
      <c r="G920" s="171">
        <f t="shared" si="177"/>
        <v>43027</v>
      </c>
      <c r="H920" s="160">
        <f t="shared" si="178"/>
        <v>120</v>
      </c>
      <c r="I920" s="152">
        <f t="shared" si="180"/>
        <v>0</v>
      </c>
      <c r="J920" s="152">
        <f t="shared" si="181"/>
        <v>0</v>
      </c>
      <c r="K920" s="152">
        <f t="shared" si="182"/>
        <v>202</v>
      </c>
      <c r="L920" s="152">
        <f t="shared" si="183"/>
        <v>19</v>
      </c>
      <c r="M920" s="152" t="str">
        <f t="shared" si="184"/>
        <v/>
      </c>
      <c r="N920" s="152" t="str">
        <f t="shared" si="185"/>
        <v/>
      </c>
      <c r="P920" s="172" t="str">
        <f t="shared" si="186"/>
        <v/>
      </c>
      <c r="AI920" s="154"/>
      <c r="AT920" s="148"/>
      <c r="AU920" s="155"/>
      <c r="AV920" s="155"/>
      <c r="AY920" s="148"/>
      <c r="AZ920" s="155"/>
      <c r="BC920" s="150"/>
      <c r="BD920" s="150"/>
    </row>
    <row r="921" spans="1:58" s="152" customFormat="1" ht="12.75" customHeight="1" x14ac:dyDescent="0.2">
      <c r="A921" s="160" t="s">
        <v>659</v>
      </c>
      <c r="B921" s="152" t="s">
        <v>656</v>
      </c>
      <c r="C921" s="160">
        <f t="shared" si="179"/>
        <v>33.5</v>
      </c>
      <c r="D921" s="160"/>
      <c r="E921" s="170" t="str">
        <f>IF(OR(A921="",B921="",C921=""),"eine der Spalten BAB, FR, km leer?",CONCATENATE(VLOOKUP(VALUE(I921),[1]Grundlage!$A$1:$B$14,2,0),IF(LEFT(A921,1)="A",IF(VALUE(MID(A921,2,10))&lt;10,"A00"&amp;VALUE(MID(A921,2,10)),IF(VALUE(MID(A921,2,10))&lt;100,"A0"&amp;VALUE(MID(A921,2,10)),IF(VALUE(MID(A921,2,10))&lt;1000,"A"&amp;VALUE(MID(A921,2,10))))),IF(LEFT(A921,1)="B",IF(VALUE(MID(A921,2,10))&lt;10,"B00"&amp;VALUE(MID(A921,2,10)),IF(VALUE(MID(A921,2,10))&lt;100,"B0"&amp;VALUE(MID(A921,2,10)),IF(VALUE(MID(A921,2,10))&lt;1000,"B"&amp;VALUE(MID(A921,2,10))))),A921)),"_",IF(NOT(OR(C921=1000,C921&gt;1000)),MID(TEXT((C921+1000)*1000,0),2,6),"keine Meter in Spalte km!!!"),IF(VALUE(I921)=1,CONCATENATE("_",VLOOKUP(IF(V921&gt;0,V921,J921),[1]Grundlage!$A$20:$B$181,2,0)),CONCATENATE("_",B921))))</f>
        <v>SSt_B015_033500_N</v>
      </c>
      <c r="F921" s="152" t="s">
        <v>207</v>
      </c>
      <c r="G921" s="171">
        <f t="shared" si="177"/>
        <v>43027</v>
      </c>
      <c r="H921" s="160">
        <f t="shared" si="178"/>
        <v>132</v>
      </c>
      <c r="I921" s="152">
        <f t="shared" si="180"/>
        <v>0</v>
      </c>
      <c r="J921" s="152">
        <f t="shared" si="181"/>
        <v>0</v>
      </c>
      <c r="K921" s="152">
        <f t="shared" si="182"/>
        <v>202</v>
      </c>
      <c r="L921" s="152">
        <f t="shared" si="183"/>
        <v>19</v>
      </c>
      <c r="M921" s="152">
        <f t="shared" si="184"/>
        <v>26</v>
      </c>
      <c r="N921" s="152" t="str">
        <f t="shared" si="185"/>
        <v/>
      </c>
      <c r="P921" s="172" t="str">
        <f t="shared" si="186"/>
        <v/>
      </c>
      <c r="AI921" s="188">
        <v>33.5</v>
      </c>
      <c r="AJ921" s="189" t="s">
        <v>19</v>
      </c>
      <c r="AK921" s="189" t="s">
        <v>164</v>
      </c>
      <c r="AL921" s="189"/>
      <c r="AM921" s="189"/>
      <c r="AN921" s="189"/>
      <c r="AO921" s="189"/>
      <c r="AP921" s="189">
        <v>11015044</v>
      </c>
      <c r="AQ921" s="189" t="s">
        <v>168</v>
      </c>
      <c r="AR921" s="189">
        <v>13</v>
      </c>
      <c r="AS921" s="187">
        <v>84</v>
      </c>
      <c r="AW921" s="189">
        <v>202</v>
      </c>
      <c r="AX921" s="189"/>
      <c r="AY921" s="189">
        <v>26</v>
      </c>
      <c r="AZ921" s="189"/>
      <c r="BA921" s="189"/>
      <c r="BB921" s="190" t="s">
        <v>207</v>
      </c>
      <c r="BC921" s="158"/>
      <c r="BD921" s="151" t="s">
        <v>163</v>
      </c>
      <c r="BE921" s="152" t="s">
        <v>61</v>
      </c>
      <c r="BF921" s="152" t="s">
        <v>564</v>
      </c>
    </row>
    <row r="922" spans="1:58" s="152" customFormat="1" ht="14.25" x14ac:dyDescent="0.2">
      <c r="A922" s="160" t="s">
        <v>659</v>
      </c>
      <c r="B922" s="152" t="s">
        <v>656</v>
      </c>
      <c r="C922" s="160">
        <f t="shared" si="179"/>
        <v>33.5</v>
      </c>
      <c r="D922" s="160"/>
      <c r="E922" s="170" t="str">
        <f>IF(OR(A922="",B922="",C922=""),"eine der Spalten BAB, FR, km leer?",CONCATENATE(VLOOKUP(VALUE(I922),[1]Grundlage!$A$1:$B$14,2,0),IF(LEFT(A922,1)="A",IF(VALUE(MID(A922,2,10))&lt;10,"A00"&amp;VALUE(MID(A922,2,10)),IF(VALUE(MID(A922,2,10))&lt;100,"A0"&amp;VALUE(MID(A922,2,10)),IF(VALUE(MID(A922,2,10))&lt;1000,"A"&amp;VALUE(MID(A922,2,10))))),IF(LEFT(A922,1)="B",IF(VALUE(MID(A922,2,10))&lt;10,"B00"&amp;VALUE(MID(A922,2,10)),IF(VALUE(MID(A922,2,10))&lt;100,"B0"&amp;VALUE(MID(A922,2,10)),IF(VALUE(MID(A922,2,10))&lt;1000,"B"&amp;VALUE(MID(A922,2,10))))),A922)),"_",IF(NOT(OR(C922=1000,C922&gt;1000)),MID(TEXT((C922+1000)*1000,0),2,6),"keine Meter in Spalte km!!!"),IF(VALUE(I922)=1,CONCATENATE("_",VLOOKUP(IF(V922&gt;0,V922,J922),[1]Grundlage!$A$20:$B$181,2,0)),CONCATENATE("_",B922))))</f>
        <v>UQ_B015_033500_N</v>
      </c>
      <c r="F922" s="152" t="s">
        <v>269</v>
      </c>
      <c r="G922" s="171">
        <f t="shared" si="177"/>
        <v>43027</v>
      </c>
      <c r="H922" s="160">
        <f t="shared" si="178"/>
        <v>132</v>
      </c>
      <c r="I922" s="152">
        <f t="shared" si="180"/>
        <v>3</v>
      </c>
      <c r="J922" s="152">
        <f t="shared" si="181"/>
        <v>6</v>
      </c>
      <c r="K922" s="152">
        <f t="shared" si="182"/>
        <v>202</v>
      </c>
      <c r="L922" s="152">
        <f t="shared" si="183"/>
        <v>19</v>
      </c>
      <c r="M922" s="152">
        <f t="shared" si="184"/>
        <v>1</v>
      </c>
      <c r="N922" s="152">
        <f t="shared" si="185"/>
        <v>1</v>
      </c>
      <c r="P922" s="172">
        <f t="shared" si="186"/>
        <v>71</v>
      </c>
      <c r="AI922" s="191"/>
      <c r="AJ922" s="189"/>
      <c r="AK922" s="189" t="s">
        <v>164</v>
      </c>
      <c r="AL922" s="189"/>
      <c r="AM922" s="189"/>
      <c r="AN922" s="189"/>
      <c r="AO922" s="189"/>
      <c r="AT922" s="189">
        <v>3</v>
      </c>
      <c r="AU922" s="189">
        <v>6</v>
      </c>
      <c r="AV922" s="196">
        <v>6</v>
      </c>
      <c r="AW922" s="189"/>
      <c r="AX922" s="189"/>
      <c r="AY922" s="189">
        <v>1</v>
      </c>
      <c r="AZ922" s="189">
        <v>1</v>
      </c>
      <c r="BA922" s="196">
        <v>1</v>
      </c>
      <c r="BB922" s="152" t="s">
        <v>269</v>
      </c>
      <c r="BC922" s="150"/>
      <c r="BD922" s="201"/>
      <c r="BF922" s="152" t="s">
        <v>440</v>
      </c>
    </row>
    <row r="923" spans="1:58" s="152" customFormat="1" ht="14.25" x14ac:dyDescent="0.2">
      <c r="A923" s="160" t="s">
        <v>659</v>
      </c>
      <c r="B923" s="152" t="s">
        <v>656</v>
      </c>
      <c r="C923" s="160">
        <f t="shared" si="179"/>
        <v>33.5</v>
      </c>
      <c r="D923" s="160"/>
      <c r="E923" s="170" t="str">
        <f>IF(OR(A923="",B923="",C923=""),"eine der Spalten BAB, FR, km leer?",CONCATENATE(VLOOKUP(VALUE(I923),[1]Grundlage!$A$1:$B$14,2,0),IF(LEFT(A923,1)="A",IF(VALUE(MID(A923,2,10))&lt;10,"A00"&amp;VALUE(MID(A923,2,10)),IF(VALUE(MID(A923,2,10))&lt;100,"A0"&amp;VALUE(MID(A923,2,10)),IF(VALUE(MID(A923,2,10))&lt;1000,"A"&amp;VALUE(MID(A923,2,10))))),IF(LEFT(A923,1)="B",IF(VALUE(MID(A923,2,10))&lt;10,"B00"&amp;VALUE(MID(A923,2,10)),IF(VALUE(MID(A923,2,10))&lt;100,"B0"&amp;VALUE(MID(A923,2,10)),IF(VALUE(MID(A923,2,10))&lt;1000,"B"&amp;VALUE(MID(A923,2,10))))),A923)),"_",IF(NOT(OR(C923=1000,C923&gt;1000)),MID(TEXT((C923+1000)*1000,0),2,6),"keine Meter in Spalte km!!!"),IF(VALUE(I923)=1,CONCATENATE("_",VLOOKUP(IF(V923&gt;0,V923,J923),[1]Grundlage!$A$20:$B$181,2,0)),CONCATENATE("_",B923))))</f>
        <v>UQ_B015_033500_N</v>
      </c>
      <c r="F923" s="152" t="s">
        <v>270</v>
      </c>
      <c r="G923" s="171">
        <f t="shared" si="177"/>
        <v>43027</v>
      </c>
      <c r="H923" s="160">
        <f t="shared" si="178"/>
        <v>132</v>
      </c>
      <c r="I923" s="152">
        <f t="shared" si="180"/>
        <v>3</v>
      </c>
      <c r="J923" s="152">
        <f t="shared" si="181"/>
        <v>11</v>
      </c>
      <c r="K923" s="152">
        <f t="shared" si="182"/>
        <v>202</v>
      </c>
      <c r="L923" s="152">
        <f t="shared" si="183"/>
        <v>19</v>
      </c>
      <c r="M923" s="152">
        <f t="shared" si="184"/>
        <v>1</v>
      </c>
      <c r="N923" s="152">
        <f t="shared" si="185"/>
        <v>2</v>
      </c>
      <c r="P923" s="172">
        <f t="shared" si="186"/>
        <v>70</v>
      </c>
      <c r="AI923" s="191"/>
      <c r="AJ923" s="189"/>
      <c r="AK923" s="189" t="s">
        <v>164</v>
      </c>
      <c r="AL923" s="189"/>
      <c r="AM923" s="189"/>
      <c r="AN923" s="189"/>
      <c r="AO923" s="189"/>
      <c r="AP923" s="189"/>
      <c r="AQ923" s="189"/>
      <c r="AR923" s="189"/>
      <c r="AS923" s="189"/>
      <c r="AT923" s="189">
        <v>3</v>
      </c>
      <c r="AU923" s="189">
        <v>11</v>
      </c>
      <c r="AV923" s="189" t="s">
        <v>78</v>
      </c>
      <c r="AW923" s="189"/>
      <c r="AX923" s="189"/>
      <c r="AY923" s="189">
        <v>1</v>
      </c>
      <c r="AZ923" s="189">
        <v>2</v>
      </c>
      <c r="BA923" s="189">
        <v>2</v>
      </c>
      <c r="BB923" s="152" t="s">
        <v>270</v>
      </c>
      <c r="BC923" s="150"/>
      <c r="BD923" s="201"/>
      <c r="BF923" s="152" t="s">
        <v>565</v>
      </c>
    </row>
    <row r="924" spans="1:58" s="152" customFormat="1" ht="14.25" x14ac:dyDescent="0.2">
      <c r="A924" s="160" t="s">
        <v>659</v>
      </c>
      <c r="B924" s="152" t="s">
        <v>656</v>
      </c>
      <c r="C924" s="160">
        <f t="shared" si="179"/>
        <v>33.5</v>
      </c>
      <c r="D924" s="160"/>
      <c r="E924" s="170" t="str">
        <f>IF(OR(A924="",B924="",C924=""),"eine der Spalten BAB, FR, km leer?",CONCATENATE(VLOOKUP(VALUE(I924),[1]Grundlage!$A$1:$B$14,2,0),IF(LEFT(A924,1)="A",IF(VALUE(MID(A924,2,10))&lt;10,"A00"&amp;VALUE(MID(A924,2,10)),IF(VALUE(MID(A924,2,10))&lt;100,"A0"&amp;VALUE(MID(A924,2,10)),IF(VALUE(MID(A924,2,10))&lt;1000,"A"&amp;VALUE(MID(A924,2,10))))),IF(LEFT(A924,1)="B",IF(VALUE(MID(A924,2,10))&lt;10,"B00"&amp;VALUE(MID(A924,2,10)),IF(VALUE(MID(A924,2,10))&lt;100,"B0"&amp;VALUE(MID(A924,2,10)),IF(VALUE(MID(A924,2,10))&lt;1000,"B"&amp;VALUE(MID(A924,2,10))))),A924)),"_",IF(NOT(OR(C924=1000,C924&gt;1000)),MID(TEXT((C924+1000)*1000,0),2,6),"keine Meter in Spalte km!!!"),IF(VALUE(I924)=1,CONCATENATE("_",VLOOKUP(IF(V924&gt;0,V924,J924),[1]Grundlage!$A$20:$B$181,2,0)),CONCATENATE("_",B924))))</f>
        <v>UQ_B015_033500_N</v>
      </c>
      <c r="F924" s="152" t="s">
        <v>25</v>
      </c>
      <c r="G924" s="171">
        <f t="shared" si="177"/>
        <v>43027</v>
      </c>
      <c r="H924" s="160">
        <f t="shared" si="178"/>
        <v>132</v>
      </c>
      <c r="I924" s="152">
        <f t="shared" si="180"/>
        <v>3</v>
      </c>
      <c r="J924" s="152">
        <f t="shared" si="181"/>
        <v>12</v>
      </c>
      <c r="K924" s="152">
        <f t="shared" si="182"/>
        <v>202</v>
      </c>
      <c r="L924" s="152">
        <f t="shared" si="183"/>
        <v>19</v>
      </c>
      <c r="M924" s="152">
        <f t="shared" si="184"/>
        <v>1</v>
      </c>
      <c r="N924" s="152">
        <f t="shared" si="185"/>
        <v>3</v>
      </c>
      <c r="P924" s="172">
        <f t="shared" si="186"/>
        <v>48</v>
      </c>
      <c r="AI924" s="191"/>
      <c r="AJ924" s="189"/>
      <c r="AK924" s="189" t="s">
        <v>164</v>
      </c>
      <c r="AL924" s="189"/>
      <c r="AM924" s="189"/>
      <c r="AN924" s="189"/>
      <c r="AO924" s="189"/>
      <c r="AP924" s="189"/>
      <c r="AQ924" s="189"/>
      <c r="AR924" s="189"/>
      <c r="AS924" s="189"/>
      <c r="AT924" s="189">
        <v>3</v>
      </c>
      <c r="AU924" s="189">
        <v>12</v>
      </c>
      <c r="AV924" s="189"/>
      <c r="AW924" s="189"/>
      <c r="AX924" s="189"/>
      <c r="AY924" s="189">
        <v>1</v>
      </c>
      <c r="AZ924" s="189">
        <v>3</v>
      </c>
      <c r="BA924" s="189">
        <v>3</v>
      </c>
      <c r="BB924" s="152" t="s">
        <v>25</v>
      </c>
      <c r="BC924" s="150"/>
      <c r="BD924" s="201"/>
      <c r="BF924" s="152" t="s">
        <v>441</v>
      </c>
    </row>
    <row r="925" spans="1:58" s="152" customFormat="1" ht="14.25" x14ac:dyDescent="0.2">
      <c r="A925" s="160" t="s">
        <v>659</v>
      </c>
      <c r="B925" s="152" t="s">
        <v>656</v>
      </c>
      <c r="C925" s="160">
        <f t="shared" si="179"/>
        <v>33.5</v>
      </c>
      <c r="D925" s="160"/>
      <c r="E925" s="170" t="str">
        <f>IF(OR(A925="",B925="",C925=""),"eine der Spalten BAB, FR, km leer?",CONCATENATE(VLOOKUP(VALUE(I925),[1]Grundlage!$A$1:$B$14,2,0),IF(LEFT(A925,1)="A",IF(VALUE(MID(A925,2,10))&lt;10,"A00"&amp;VALUE(MID(A925,2,10)),IF(VALUE(MID(A925,2,10))&lt;100,"A0"&amp;VALUE(MID(A925,2,10)),IF(VALUE(MID(A925,2,10))&lt;1000,"A"&amp;VALUE(MID(A925,2,10))))),IF(LEFT(A925,1)="B",IF(VALUE(MID(A925,2,10))&lt;10,"B00"&amp;VALUE(MID(A925,2,10)),IF(VALUE(MID(A925,2,10))&lt;100,"B0"&amp;VALUE(MID(A925,2,10)),IF(VALUE(MID(A925,2,10))&lt;1000,"B"&amp;VALUE(MID(A925,2,10))))),A925)),"_",IF(NOT(OR(C925=1000,C925&gt;1000)),MID(TEXT((C925+1000)*1000,0),2,6),"keine Meter in Spalte km!!!"),IF(VALUE(I925)=1,CONCATENATE("_",VLOOKUP(IF(V925&gt;0,V925,J925),[1]Grundlage!$A$20:$B$181,2,0)),CONCATENATE("_",B925))))</f>
        <v>UQ_B015_033500_N</v>
      </c>
      <c r="F925" s="152" t="s">
        <v>26</v>
      </c>
      <c r="G925" s="171">
        <f t="shared" si="177"/>
        <v>43027</v>
      </c>
      <c r="H925" s="160">
        <f t="shared" si="178"/>
        <v>132</v>
      </c>
      <c r="I925" s="152">
        <f t="shared" si="180"/>
        <v>3</v>
      </c>
      <c r="J925" s="152">
        <f t="shared" si="181"/>
        <v>13</v>
      </c>
      <c r="K925" s="152">
        <f t="shared" si="182"/>
        <v>202</v>
      </c>
      <c r="L925" s="152">
        <f t="shared" si="183"/>
        <v>19</v>
      </c>
      <c r="M925" s="152">
        <f t="shared" si="184"/>
        <v>1</v>
      </c>
      <c r="N925" s="152">
        <f t="shared" si="185"/>
        <v>4</v>
      </c>
      <c r="P925" s="172">
        <f t="shared" si="186"/>
        <v>55</v>
      </c>
      <c r="AI925" s="191"/>
      <c r="AJ925" s="189"/>
      <c r="AK925" s="189" t="s">
        <v>164</v>
      </c>
      <c r="AL925" s="189"/>
      <c r="AM925" s="189"/>
      <c r="AN925" s="189"/>
      <c r="AO925" s="189"/>
      <c r="AP925" s="189"/>
      <c r="AQ925" s="189"/>
      <c r="AR925" s="189"/>
      <c r="AS925" s="189"/>
      <c r="AT925" s="189">
        <v>3</v>
      </c>
      <c r="AU925" s="189">
        <v>13</v>
      </c>
      <c r="AV925" s="189"/>
      <c r="AW925" s="189"/>
      <c r="AX925" s="189"/>
      <c r="AY925" s="189">
        <v>1</v>
      </c>
      <c r="AZ925" s="189">
        <v>4</v>
      </c>
      <c r="BA925" s="189">
        <v>4</v>
      </c>
      <c r="BB925" s="152" t="s">
        <v>26</v>
      </c>
      <c r="BC925" s="150"/>
      <c r="BD925" s="201"/>
      <c r="BF925" s="152" t="s">
        <v>442</v>
      </c>
    </row>
    <row r="926" spans="1:58" s="152" customFormat="1" ht="14.25" x14ac:dyDescent="0.2">
      <c r="A926" s="160" t="s">
        <v>659</v>
      </c>
      <c r="B926" s="152" t="s">
        <v>656</v>
      </c>
      <c r="C926" s="160">
        <f t="shared" si="179"/>
        <v>33.5</v>
      </c>
      <c r="D926" s="160"/>
      <c r="E926" s="170" t="str">
        <f>IF(OR(A926="",B926="",C926=""),"eine der Spalten BAB, FR, km leer?",CONCATENATE(VLOOKUP(VALUE(I926),[1]Grundlage!$A$1:$B$14,2,0),IF(LEFT(A926,1)="A",IF(VALUE(MID(A926,2,10))&lt;10,"A00"&amp;VALUE(MID(A926,2,10)),IF(VALUE(MID(A926,2,10))&lt;100,"A0"&amp;VALUE(MID(A926,2,10)),IF(VALUE(MID(A926,2,10))&lt;1000,"A"&amp;VALUE(MID(A926,2,10))))),IF(LEFT(A926,1)="B",IF(VALUE(MID(A926,2,10))&lt;10,"B00"&amp;VALUE(MID(A926,2,10)),IF(VALUE(MID(A926,2,10))&lt;100,"B0"&amp;VALUE(MID(A926,2,10)),IF(VALUE(MID(A926,2,10))&lt;1000,"B"&amp;VALUE(MID(A926,2,10))))),A926)),"_",IF(NOT(OR(C926=1000,C926&gt;1000)),MID(TEXT((C926+1000)*1000,0),2,6),"keine Meter in Spalte km!!!"),IF(VALUE(I926)=1,CONCATENATE("_",VLOOKUP(IF(V926&gt;0,V926,J926),[1]Grundlage!$A$20:$B$181,2,0)),CONCATENATE("_",B926))))</f>
        <v>UQ_B015_033500_N</v>
      </c>
      <c r="F926" s="152" t="s">
        <v>27</v>
      </c>
      <c r="G926" s="171">
        <f t="shared" si="177"/>
        <v>43027</v>
      </c>
      <c r="H926" s="160">
        <f t="shared" si="178"/>
        <v>132</v>
      </c>
      <c r="I926" s="152">
        <f t="shared" si="180"/>
        <v>3</v>
      </c>
      <c r="J926" s="152">
        <f t="shared" si="181"/>
        <v>14</v>
      </c>
      <c r="K926" s="152">
        <f t="shared" si="182"/>
        <v>202</v>
      </c>
      <c r="L926" s="152">
        <f t="shared" si="183"/>
        <v>19</v>
      </c>
      <c r="M926" s="152">
        <f t="shared" si="184"/>
        <v>1</v>
      </c>
      <c r="N926" s="152">
        <f t="shared" si="185"/>
        <v>5</v>
      </c>
      <c r="P926" s="172">
        <f t="shared" si="186"/>
        <v>66</v>
      </c>
      <c r="AI926" s="191"/>
      <c r="AJ926" s="189"/>
      <c r="AK926" s="189" t="s">
        <v>164</v>
      </c>
      <c r="AL926" s="189"/>
      <c r="AM926" s="189"/>
      <c r="AN926" s="189"/>
      <c r="AO926" s="189"/>
      <c r="AP926" s="189"/>
      <c r="AQ926" s="189"/>
      <c r="AR926" s="189"/>
      <c r="AS926" s="189"/>
      <c r="AT926" s="189">
        <v>3</v>
      </c>
      <c r="AU926" s="189">
        <v>14</v>
      </c>
      <c r="AV926" s="189"/>
      <c r="AW926" s="189"/>
      <c r="AX926" s="189"/>
      <c r="AY926" s="189">
        <v>1</v>
      </c>
      <c r="AZ926" s="189">
        <v>5</v>
      </c>
      <c r="BA926" s="189">
        <v>5</v>
      </c>
      <c r="BB926" s="152" t="s">
        <v>27</v>
      </c>
      <c r="BC926" s="150"/>
      <c r="BD926" s="201"/>
      <c r="BF926" s="152" t="s">
        <v>443</v>
      </c>
    </row>
    <row r="927" spans="1:58" s="152" customFormat="1" ht="14.25" x14ac:dyDescent="0.2">
      <c r="A927" s="160" t="s">
        <v>659</v>
      </c>
      <c r="B927" s="152" t="s">
        <v>656</v>
      </c>
      <c r="C927" s="160">
        <f t="shared" si="179"/>
        <v>33.5</v>
      </c>
      <c r="D927" s="160"/>
      <c r="E927" s="170" t="str">
        <f>IF(OR(A927="",B927="",C927=""),"eine der Spalten BAB, FR, km leer?",CONCATENATE(VLOOKUP(VALUE(I927),[1]Grundlage!$A$1:$B$14,2,0),IF(LEFT(A927,1)="A",IF(VALUE(MID(A927,2,10))&lt;10,"A00"&amp;VALUE(MID(A927,2,10)),IF(VALUE(MID(A927,2,10))&lt;100,"A0"&amp;VALUE(MID(A927,2,10)),IF(VALUE(MID(A927,2,10))&lt;1000,"A"&amp;VALUE(MID(A927,2,10))))),IF(LEFT(A927,1)="B",IF(VALUE(MID(A927,2,10))&lt;10,"B00"&amp;VALUE(MID(A927,2,10)),IF(VALUE(MID(A927,2,10))&lt;100,"B0"&amp;VALUE(MID(A927,2,10)),IF(VALUE(MID(A927,2,10))&lt;1000,"B"&amp;VALUE(MID(A927,2,10))))),A927)),"_",IF(NOT(OR(C927=1000,C927&gt;1000)),MID(TEXT((C927+1000)*1000,0),2,6),"keine Meter in Spalte km!!!"),IF(VALUE(I927)=1,CONCATENATE("_",VLOOKUP(IF(V927&gt;0,V927,J927),[1]Grundlage!$A$20:$B$181,2,0)),CONCATENATE("_",B927))))</f>
        <v>UQ_B015_033500_N</v>
      </c>
      <c r="F927" s="152" t="s">
        <v>28</v>
      </c>
      <c r="G927" s="171">
        <f t="shared" si="177"/>
        <v>43027</v>
      </c>
      <c r="H927" s="160">
        <f t="shared" si="178"/>
        <v>132</v>
      </c>
      <c r="I927" s="152">
        <f t="shared" si="180"/>
        <v>3</v>
      </c>
      <c r="J927" s="152">
        <f t="shared" si="181"/>
        <v>15</v>
      </c>
      <c r="K927" s="152">
        <f t="shared" si="182"/>
        <v>202</v>
      </c>
      <c r="L927" s="152">
        <f t="shared" si="183"/>
        <v>19</v>
      </c>
      <c r="M927" s="152">
        <f t="shared" si="184"/>
        <v>1</v>
      </c>
      <c r="N927" s="152">
        <f t="shared" si="185"/>
        <v>6</v>
      </c>
      <c r="P927" s="172">
        <f t="shared" si="186"/>
        <v>65</v>
      </c>
      <c r="AI927" s="191"/>
      <c r="AJ927" s="189"/>
      <c r="AK927" s="189" t="s">
        <v>164</v>
      </c>
      <c r="AL927" s="189"/>
      <c r="AM927" s="189"/>
      <c r="AN927" s="189"/>
      <c r="AO927" s="189"/>
      <c r="AP927" s="189"/>
      <c r="AQ927" s="189"/>
      <c r="AR927" s="189"/>
      <c r="AS927" s="189"/>
      <c r="AT927" s="189">
        <v>3</v>
      </c>
      <c r="AU927" s="189">
        <v>15</v>
      </c>
      <c r="AV927" s="189"/>
      <c r="AW927" s="189"/>
      <c r="AX927" s="189"/>
      <c r="AY927" s="189">
        <v>1</v>
      </c>
      <c r="AZ927" s="189">
        <v>6</v>
      </c>
      <c r="BA927" s="189">
        <v>6</v>
      </c>
      <c r="BB927" s="152" t="s">
        <v>28</v>
      </c>
      <c r="BC927" s="150"/>
      <c r="BD927" s="201"/>
      <c r="BF927" s="152" t="s">
        <v>566</v>
      </c>
    </row>
    <row r="928" spans="1:58" s="152" customFormat="1" ht="14.25" x14ac:dyDescent="0.2">
      <c r="A928" s="160" t="s">
        <v>659</v>
      </c>
      <c r="B928" s="152" t="s">
        <v>656</v>
      </c>
      <c r="C928" s="160">
        <f t="shared" si="179"/>
        <v>33.5</v>
      </c>
      <c r="D928" s="160"/>
      <c r="E928" s="170" t="str">
        <f>IF(OR(A928="",B928="",C928=""),"eine der Spalten BAB, FR, km leer?",CONCATENATE(VLOOKUP(VALUE(I928),[1]Grundlage!$A$1:$B$14,2,0),IF(LEFT(A928,1)="A",IF(VALUE(MID(A928,2,10))&lt;10,"A00"&amp;VALUE(MID(A928,2,10)),IF(VALUE(MID(A928,2,10))&lt;100,"A0"&amp;VALUE(MID(A928,2,10)),IF(VALUE(MID(A928,2,10))&lt;1000,"A"&amp;VALUE(MID(A928,2,10))))),IF(LEFT(A928,1)="B",IF(VALUE(MID(A928,2,10))&lt;10,"B00"&amp;VALUE(MID(A928,2,10)),IF(VALUE(MID(A928,2,10))&lt;100,"B0"&amp;VALUE(MID(A928,2,10)),IF(VALUE(MID(A928,2,10))&lt;1000,"B"&amp;VALUE(MID(A928,2,10))))),A928)),"_",IF(NOT(OR(C928=1000,C928&gt;1000)),MID(TEXT((C928+1000)*1000,0),2,6),"keine Meter in Spalte km!!!"),IF(VALUE(I928)=1,CONCATENATE("_",VLOOKUP(IF(V928&gt;0,V928,J928),[1]Grundlage!$A$20:$B$181,2,0)),CONCATENATE("_",B928))))</f>
        <v>UQ_B015_033500_N</v>
      </c>
      <c r="F928" s="152" t="s">
        <v>29</v>
      </c>
      <c r="G928" s="171">
        <f t="shared" si="177"/>
        <v>43027</v>
      </c>
      <c r="H928" s="160">
        <f t="shared" si="178"/>
        <v>132</v>
      </c>
      <c r="I928" s="152">
        <f t="shared" si="180"/>
        <v>3</v>
      </c>
      <c r="J928" s="152">
        <f t="shared" si="181"/>
        <v>19</v>
      </c>
      <c r="K928" s="152">
        <f t="shared" si="182"/>
        <v>202</v>
      </c>
      <c r="L928" s="152">
        <f t="shared" si="183"/>
        <v>19</v>
      </c>
      <c r="M928" s="152">
        <f t="shared" si="184"/>
        <v>1</v>
      </c>
      <c r="N928" s="152">
        <f t="shared" si="185"/>
        <v>7</v>
      </c>
      <c r="P928" s="172">
        <f t="shared" si="186"/>
        <v>49</v>
      </c>
      <c r="AI928" s="191"/>
      <c r="AJ928" s="189"/>
      <c r="AK928" s="189" t="s">
        <v>164</v>
      </c>
      <c r="AL928" s="189"/>
      <c r="AM928" s="189"/>
      <c r="AN928" s="189"/>
      <c r="AO928" s="189"/>
      <c r="AP928" s="189"/>
      <c r="AQ928" s="189"/>
      <c r="AR928" s="189"/>
      <c r="AS928" s="189"/>
      <c r="AT928" s="189">
        <v>3</v>
      </c>
      <c r="AU928" s="189">
        <v>19</v>
      </c>
      <c r="AV928" s="189"/>
      <c r="AW928" s="189"/>
      <c r="AX928" s="189"/>
      <c r="AY928" s="189">
        <v>1</v>
      </c>
      <c r="AZ928" s="189">
        <v>7</v>
      </c>
      <c r="BA928" s="189">
        <v>7</v>
      </c>
      <c r="BB928" s="152" t="s">
        <v>29</v>
      </c>
      <c r="BC928" s="150"/>
      <c r="BD928" s="201"/>
      <c r="BF928" s="152" t="s">
        <v>567</v>
      </c>
    </row>
    <row r="929" spans="1:58" s="152" customFormat="1" ht="14.25" x14ac:dyDescent="0.2">
      <c r="A929" s="160" t="s">
        <v>659</v>
      </c>
      <c r="B929" s="152" t="s">
        <v>656</v>
      </c>
      <c r="C929" s="160">
        <f t="shared" si="179"/>
        <v>33.5</v>
      </c>
      <c r="D929" s="160"/>
      <c r="E929" s="170" t="str">
        <f>IF(OR(A929="",B929="",C929=""),"eine der Spalten BAB, FR, km leer?",CONCATENATE(VLOOKUP(VALUE(I929),[1]Grundlage!$A$1:$B$14,2,0),IF(LEFT(A929,1)="A",IF(VALUE(MID(A929,2,10))&lt;10,"A00"&amp;VALUE(MID(A929,2,10)),IF(VALUE(MID(A929,2,10))&lt;100,"A0"&amp;VALUE(MID(A929,2,10)),IF(VALUE(MID(A929,2,10))&lt;1000,"A"&amp;VALUE(MID(A929,2,10))))),IF(LEFT(A929,1)="B",IF(VALUE(MID(A929,2,10))&lt;10,"B00"&amp;VALUE(MID(A929,2,10)),IF(VALUE(MID(A929,2,10))&lt;100,"B0"&amp;VALUE(MID(A929,2,10)),IF(VALUE(MID(A929,2,10))&lt;1000,"B"&amp;VALUE(MID(A929,2,10))))),A929)),"_",IF(NOT(OR(C929=1000,C929&gt;1000)),MID(TEXT((C929+1000)*1000,0),2,6),"keine Meter in Spalte km!!!"),IF(VALUE(I929)=1,CONCATENATE("_",VLOOKUP(IF(V929&gt;0,V929,J929),[1]Grundlage!$A$20:$B$181,2,0)),CONCATENATE("_",B929))))</f>
        <v>UQ_B015_033500_N</v>
      </c>
      <c r="F929" s="152" t="s">
        <v>30</v>
      </c>
      <c r="G929" s="171">
        <f t="shared" si="177"/>
        <v>43027</v>
      </c>
      <c r="H929" s="160">
        <f t="shared" si="178"/>
        <v>132</v>
      </c>
      <c r="I929" s="152">
        <f t="shared" si="180"/>
        <v>3</v>
      </c>
      <c r="J929" s="152">
        <f t="shared" si="181"/>
        <v>21</v>
      </c>
      <c r="K929" s="152">
        <f t="shared" si="182"/>
        <v>202</v>
      </c>
      <c r="L929" s="152">
        <f t="shared" si="183"/>
        <v>19</v>
      </c>
      <c r="M929" s="152">
        <f t="shared" si="184"/>
        <v>1</v>
      </c>
      <c r="N929" s="152">
        <f t="shared" si="185"/>
        <v>8</v>
      </c>
      <c r="P929" s="172">
        <f t="shared" si="186"/>
        <v>67</v>
      </c>
      <c r="AI929" s="191"/>
      <c r="AJ929" s="189"/>
      <c r="AK929" s="189" t="s">
        <v>164</v>
      </c>
      <c r="AL929" s="189"/>
      <c r="AM929" s="189"/>
      <c r="AN929" s="189"/>
      <c r="AO929" s="189"/>
      <c r="AP929" s="189"/>
      <c r="AQ929" s="189"/>
      <c r="AR929" s="189"/>
      <c r="AS929" s="189"/>
      <c r="AT929" s="189">
        <v>3</v>
      </c>
      <c r="AU929" s="189">
        <v>21</v>
      </c>
      <c r="AV929" s="189"/>
      <c r="AW929" s="189"/>
      <c r="AX929" s="189"/>
      <c r="AY929" s="189">
        <v>1</v>
      </c>
      <c r="AZ929" s="189">
        <v>8</v>
      </c>
      <c r="BA929" s="189">
        <v>8</v>
      </c>
      <c r="BB929" s="152" t="s">
        <v>30</v>
      </c>
      <c r="BC929" s="150"/>
      <c r="BD929" s="201"/>
      <c r="BF929" s="152" t="s">
        <v>568</v>
      </c>
    </row>
    <row r="930" spans="1:58" s="152" customFormat="1" ht="14.25" x14ac:dyDescent="0.2">
      <c r="A930" s="160" t="s">
        <v>659</v>
      </c>
      <c r="B930" s="152" t="s">
        <v>656</v>
      </c>
      <c r="C930" s="160">
        <f t="shared" si="179"/>
        <v>33.5</v>
      </c>
      <c r="D930" s="160"/>
      <c r="E930" s="170" t="str">
        <f>IF(OR(A930="",B930="",C930=""),"eine der Spalten BAB, FR, km leer?",CONCATENATE(VLOOKUP(VALUE(I930),[1]Grundlage!$A$1:$B$14,2,0),IF(LEFT(A930,1)="A",IF(VALUE(MID(A930,2,10))&lt;10,"A00"&amp;VALUE(MID(A930,2,10)),IF(VALUE(MID(A930,2,10))&lt;100,"A0"&amp;VALUE(MID(A930,2,10)),IF(VALUE(MID(A930,2,10))&lt;1000,"A"&amp;VALUE(MID(A930,2,10))))),IF(LEFT(A930,1)="B",IF(VALUE(MID(A930,2,10))&lt;10,"B00"&amp;VALUE(MID(A930,2,10)),IF(VALUE(MID(A930,2,10))&lt;100,"B0"&amp;VALUE(MID(A930,2,10)),IF(VALUE(MID(A930,2,10))&lt;1000,"B"&amp;VALUE(MID(A930,2,10))))),A930)),"_",IF(NOT(OR(C930=1000,C930&gt;1000)),MID(TEXT((C930+1000)*1000,0),2,6),"keine Meter in Spalte km!!!"),IF(VALUE(I930)=1,CONCATENATE("_",VLOOKUP(IF(V930&gt;0,V930,J930),[1]Grundlage!$A$20:$B$181,2,0)),CONCATENATE("_",B930))))</f>
        <v>UQ_B015_033500_N</v>
      </c>
      <c r="F930" s="152" t="s">
        <v>176</v>
      </c>
      <c r="G930" s="171">
        <f t="shared" si="177"/>
        <v>43027</v>
      </c>
      <c r="H930" s="160">
        <f t="shared" si="178"/>
        <v>132</v>
      </c>
      <c r="I930" s="152">
        <f t="shared" si="180"/>
        <v>3</v>
      </c>
      <c r="J930" s="152">
        <f t="shared" si="181"/>
        <v>27</v>
      </c>
      <c r="K930" s="152">
        <f t="shared" si="182"/>
        <v>202</v>
      </c>
      <c r="L930" s="152">
        <f t="shared" si="183"/>
        <v>19</v>
      </c>
      <c r="M930" s="152">
        <f t="shared" si="184"/>
        <v>1</v>
      </c>
      <c r="N930" s="152">
        <f t="shared" si="185"/>
        <v>9</v>
      </c>
      <c r="P930" s="172">
        <f t="shared" si="186"/>
        <v>69</v>
      </c>
      <c r="AI930" s="154"/>
      <c r="AK930" s="189" t="str">
        <f>AK929</f>
        <v>B15n</v>
      </c>
      <c r="AL930" s="189"/>
      <c r="AM930" s="189"/>
      <c r="AN930" s="189"/>
      <c r="AO930" s="189"/>
      <c r="AT930" s="194">
        <v>3</v>
      </c>
      <c r="AU930" s="194">
        <v>27</v>
      </c>
      <c r="AV930" s="194"/>
      <c r="AW930" s="194"/>
      <c r="AX930" s="194"/>
      <c r="AY930" s="194">
        <v>1</v>
      </c>
      <c r="AZ930" s="194">
        <v>9</v>
      </c>
      <c r="BA930" s="189">
        <v>9</v>
      </c>
      <c r="BB930" s="195" t="s">
        <v>176</v>
      </c>
      <c r="BC930" s="150"/>
      <c r="BD930" s="201"/>
      <c r="BF930" s="152" t="s">
        <v>563</v>
      </c>
    </row>
    <row r="931" spans="1:58" s="152" customFormat="1" ht="14.25" x14ac:dyDescent="0.2">
      <c r="A931" s="160" t="s">
        <v>659</v>
      </c>
      <c r="B931" s="152" t="s">
        <v>656</v>
      </c>
      <c r="C931" s="160">
        <f t="shared" si="179"/>
        <v>33.5</v>
      </c>
      <c r="D931" s="160"/>
      <c r="E931" s="170" t="str">
        <f>IF(OR(A931="",B931="",C931=""),"eine der Spalten BAB, FR, km leer?",CONCATENATE(VLOOKUP(VALUE(I931),[1]Grundlage!$A$1:$B$14,2,0),IF(LEFT(A931,1)="A",IF(VALUE(MID(A931,2,10))&lt;10,"A00"&amp;VALUE(MID(A931,2,10)),IF(VALUE(MID(A931,2,10))&lt;100,"A0"&amp;VALUE(MID(A931,2,10)),IF(VALUE(MID(A931,2,10))&lt;1000,"A"&amp;VALUE(MID(A931,2,10))))),IF(LEFT(A931,1)="B",IF(VALUE(MID(A931,2,10))&lt;10,"B00"&amp;VALUE(MID(A931,2,10)),IF(VALUE(MID(A931,2,10))&lt;100,"B0"&amp;VALUE(MID(A931,2,10)),IF(VALUE(MID(A931,2,10))&lt;1000,"B"&amp;VALUE(MID(A931,2,10))))),A931)),"_",IF(NOT(OR(C931=1000,C931&gt;1000)),MID(TEXT((C931+1000)*1000,0),2,6),"keine Meter in Spalte km!!!"),IF(VALUE(I931)=1,CONCATENATE("_",VLOOKUP(IF(V931&gt;0,V931,J931),[1]Grundlage!$A$20:$B$181,2,0)),CONCATENATE("_",B931))))</f>
        <v>UQ_B015_033500_N</v>
      </c>
      <c r="F931" s="152" t="s">
        <v>271</v>
      </c>
      <c r="G931" s="171">
        <f t="shared" si="177"/>
        <v>43027</v>
      </c>
      <c r="H931" s="160">
        <f t="shared" si="178"/>
        <v>132</v>
      </c>
      <c r="I931" s="152">
        <f t="shared" si="180"/>
        <v>3</v>
      </c>
      <c r="J931" s="152">
        <f t="shared" si="181"/>
        <v>67</v>
      </c>
      <c r="K931" s="152">
        <f t="shared" si="182"/>
        <v>202</v>
      </c>
      <c r="L931" s="152">
        <f t="shared" si="183"/>
        <v>19</v>
      </c>
      <c r="M931" s="152">
        <f t="shared" si="184"/>
        <v>1</v>
      </c>
      <c r="N931" s="152">
        <f t="shared" si="185"/>
        <v>10</v>
      </c>
      <c r="P931" s="172">
        <f t="shared" si="186"/>
        <v>53</v>
      </c>
      <c r="AI931" s="154"/>
      <c r="AK931" s="187" t="s">
        <v>164</v>
      </c>
      <c r="AL931" s="187"/>
      <c r="AM931" s="187"/>
      <c r="AN931" s="187"/>
      <c r="AO931" s="187"/>
      <c r="AT931" s="189">
        <v>3</v>
      </c>
      <c r="AU931" s="189">
        <v>67</v>
      </c>
      <c r="AV931" s="189">
        <v>43</v>
      </c>
      <c r="AW931" s="189"/>
      <c r="AX931" s="189"/>
      <c r="AY931" s="189">
        <v>1</v>
      </c>
      <c r="AZ931" s="189">
        <v>10</v>
      </c>
      <c r="BA931" s="187" t="s">
        <v>95</v>
      </c>
      <c r="BB931" s="152" t="s">
        <v>271</v>
      </c>
      <c r="BC931" s="150"/>
      <c r="BD931" s="193"/>
      <c r="BF931" s="152" t="s">
        <v>444</v>
      </c>
    </row>
    <row r="932" spans="1:58" s="152" customFormat="1" ht="14.25" x14ac:dyDescent="0.2">
      <c r="A932" s="160" t="s">
        <v>659</v>
      </c>
      <c r="B932" s="152" t="s">
        <v>656</v>
      </c>
      <c r="C932" s="160">
        <f t="shared" si="179"/>
        <v>33.5</v>
      </c>
      <c r="D932" s="160"/>
      <c r="E932" s="170" t="str">
        <f>IF(OR(A932="",B932="",C932=""),"eine der Spalten BAB, FR, km leer?",CONCATENATE(VLOOKUP(VALUE(I932),[1]Grundlage!$A$1:$B$14,2,0),IF(LEFT(A932,1)="A",IF(VALUE(MID(A932,2,10))&lt;10,"A00"&amp;VALUE(MID(A932,2,10)),IF(VALUE(MID(A932,2,10))&lt;100,"A0"&amp;VALUE(MID(A932,2,10)),IF(VALUE(MID(A932,2,10))&lt;1000,"A"&amp;VALUE(MID(A932,2,10))))),IF(LEFT(A932,1)="B",IF(VALUE(MID(A932,2,10))&lt;10,"B00"&amp;VALUE(MID(A932,2,10)),IF(VALUE(MID(A932,2,10))&lt;100,"B0"&amp;VALUE(MID(A932,2,10)),IF(VALUE(MID(A932,2,10))&lt;1000,"B"&amp;VALUE(MID(A932,2,10))))),A932)),"_",IF(NOT(OR(C932=1000,C932&gt;1000)),MID(TEXT((C932+1000)*1000,0),2,6),"keine Meter in Spalte km!!!"),IF(VALUE(I932)=1,CONCATENATE("_",VLOOKUP(IF(V932&gt;0,V932,J932),[1]Grundlage!$A$20:$B$181,2,0)),CONCATENATE("_",B932))))</f>
        <v>UQ_B015_033500_N</v>
      </c>
      <c r="F932" s="152" t="s">
        <v>272</v>
      </c>
      <c r="G932" s="171">
        <f t="shared" si="177"/>
        <v>43027</v>
      </c>
      <c r="H932" s="160">
        <f t="shared" si="178"/>
        <v>132</v>
      </c>
      <c r="I932" s="152">
        <f t="shared" si="180"/>
        <v>3</v>
      </c>
      <c r="J932" s="152">
        <f t="shared" si="181"/>
        <v>82</v>
      </c>
      <c r="K932" s="152">
        <f t="shared" si="182"/>
        <v>202</v>
      </c>
      <c r="L932" s="152">
        <f t="shared" si="183"/>
        <v>19</v>
      </c>
      <c r="M932" s="152">
        <f t="shared" si="184"/>
        <v>1</v>
      </c>
      <c r="N932" s="152">
        <f t="shared" si="185"/>
        <v>11</v>
      </c>
      <c r="P932" s="172">
        <f t="shared" si="186"/>
        <v>72</v>
      </c>
      <c r="AI932" s="154"/>
      <c r="AK932" s="187" t="s">
        <v>164</v>
      </c>
      <c r="AL932" s="187"/>
      <c r="AM932" s="187"/>
      <c r="AN932" s="187"/>
      <c r="AO932" s="187"/>
      <c r="AT932" s="189">
        <v>3</v>
      </c>
      <c r="AU932" s="189">
        <v>82</v>
      </c>
      <c r="AV932" s="189">
        <v>52</v>
      </c>
      <c r="AW932" s="189"/>
      <c r="AX932" s="189"/>
      <c r="AY932" s="189">
        <v>1</v>
      </c>
      <c r="AZ932" s="189">
        <v>11</v>
      </c>
      <c r="BA932" s="187" t="s">
        <v>78</v>
      </c>
      <c r="BB932" s="152" t="s">
        <v>272</v>
      </c>
      <c r="BC932" s="150"/>
      <c r="BD932" s="193"/>
      <c r="BF932" s="152" t="s">
        <v>569</v>
      </c>
    </row>
    <row r="933" spans="1:58" s="152" customFormat="1" ht="14.25" x14ac:dyDescent="0.2">
      <c r="A933" s="160" t="s">
        <v>659</v>
      </c>
      <c r="C933" s="160">
        <f t="shared" si="179"/>
        <v>33.5</v>
      </c>
      <c r="D933" s="160"/>
      <c r="E933" s="169" t="str">
        <f>IF(OR(A933="",B933="",C933=""),"",CONCATENATE(VLOOKUP(VALUE(I933),[1]Grundlage!$A$1:$B$14,2,0),IF(LEFT(A933,1)="A",IF(VALUE(MID(A933,2,10))&lt;10,"A00"&amp;VALUE(MID(A933,2,10)),IF(VALUE(MID(A933,2,10))&lt;100,"A0"&amp;VALUE(MID(A933,2,10)),IF(VALUE(MID(A933,2,10))&lt;1000,"A"&amp;VALUE(MID(A933,2,10))))),IF(LEFT(A933,1)="B",IF(VALUE(MID(A933,2,10))&lt;10,"B00"&amp;VALUE(MID(A933,2,10)),IF(VALUE(MID(A933,2,10))&lt;100,"B0"&amp;VALUE(MID(A933,2,10)),IF(VALUE(MID(A933,2,10))&lt;1000,"B"&amp;VALUE(MID(A933,2,10))))),A933)),"_",IF(NOT(OR(C933=1000,C933&gt;1000)),MID(TEXT((C933+1000)*1000,0),2,6),"keine Meter in Spalte km!!!"),IF(VALUE(I933)=1,CONCATENATE("_",VLOOKUP(IF(V933&gt;0,V933,J933),[1]Grundlage!$A$20:$B$181,2,0)),CONCATENATE("_",B933))))</f>
        <v/>
      </c>
      <c r="F933" s="152" t="s">
        <v>669</v>
      </c>
      <c r="G933" s="171">
        <f t="shared" si="177"/>
        <v>43027</v>
      </c>
      <c r="H933" s="160">
        <f t="shared" si="178"/>
        <v>132</v>
      </c>
      <c r="I933" s="152">
        <f t="shared" si="180"/>
        <v>0</v>
      </c>
      <c r="J933" s="152">
        <f t="shared" si="181"/>
        <v>0</v>
      </c>
      <c r="K933" s="152">
        <f t="shared" si="182"/>
        <v>202</v>
      </c>
      <c r="L933" s="152">
        <f t="shared" si="183"/>
        <v>19</v>
      </c>
      <c r="M933" s="152" t="str">
        <f t="shared" si="184"/>
        <v/>
      </c>
      <c r="N933" s="152" t="str">
        <f t="shared" si="185"/>
        <v/>
      </c>
      <c r="P933" s="172" t="str">
        <f t="shared" si="186"/>
        <v/>
      </c>
      <c r="AI933" s="154"/>
      <c r="AT933" s="148"/>
      <c r="AU933" s="155"/>
      <c r="AV933" s="155"/>
      <c r="AY933" s="148"/>
      <c r="AZ933" s="155"/>
      <c r="BC933" s="150"/>
      <c r="BD933" s="150"/>
    </row>
    <row r="934" spans="1:58" s="152" customFormat="1" ht="14.25" x14ac:dyDescent="0.2">
      <c r="A934" s="160" t="s">
        <v>659</v>
      </c>
      <c r="B934" s="152" t="s">
        <v>656</v>
      </c>
      <c r="C934" s="160">
        <f t="shared" si="179"/>
        <v>38.85</v>
      </c>
      <c r="D934" s="160"/>
      <c r="E934" s="170" t="str">
        <f>IF(OR(A934="",B934="",C934=""),"eine der Spalten BAB, FR, km leer?",CONCATENATE(VLOOKUP(VALUE(I934),[1]Grundlage!$A$1:$B$14,2,0),IF(LEFT(A934,1)="A",IF(VALUE(MID(A934,2,10))&lt;10,"A00"&amp;VALUE(MID(A934,2,10)),IF(VALUE(MID(A934,2,10))&lt;100,"A0"&amp;VALUE(MID(A934,2,10)),IF(VALUE(MID(A934,2,10))&lt;1000,"A"&amp;VALUE(MID(A934,2,10))))),IF(LEFT(A934,1)="B",IF(VALUE(MID(A934,2,10))&lt;10,"B00"&amp;VALUE(MID(A934,2,10)),IF(VALUE(MID(A934,2,10))&lt;100,"B0"&amp;VALUE(MID(A934,2,10)),IF(VALUE(MID(A934,2,10))&lt;1000,"B"&amp;VALUE(MID(A934,2,10))))),A934)),"_",IF(NOT(OR(C934=1000,C934&gt;1000)),MID(TEXT((C934+1000)*1000,0),2,6),"keine Meter in Spalte km!!!"),IF(VALUE(I934)=1,CONCATENATE("_",VLOOKUP(IF(V934&gt;0,V934,J934),[1]Grundlage!$A$20:$B$181,2,0)),CONCATENATE("_",B934))))</f>
        <v>SSt_B015_038850_N</v>
      </c>
      <c r="F934" s="152" t="s">
        <v>208</v>
      </c>
      <c r="G934" s="171">
        <f t="shared" si="177"/>
        <v>43027</v>
      </c>
      <c r="H934" s="160">
        <f t="shared" si="178"/>
        <v>137</v>
      </c>
      <c r="I934" s="152">
        <f t="shared" si="180"/>
        <v>0</v>
      </c>
      <c r="J934" s="152">
        <f t="shared" si="181"/>
        <v>0</v>
      </c>
      <c r="K934" s="152">
        <f t="shared" si="182"/>
        <v>202</v>
      </c>
      <c r="L934" s="152">
        <f t="shared" si="183"/>
        <v>19</v>
      </c>
      <c r="M934" s="152">
        <f t="shared" si="184"/>
        <v>27</v>
      </c>
      <c r="N934" s="152" t="str">
        <f t="shared" si="185"/>
        <v/>
      </c>
      <c r="P934" s="172" t="str">
        <f t="shared" si="186"/>
        <v/>
      </c>
      <c r="AI934" s="188">
        <v>38.85</v>
      </c>
      <c r="AJ934" s="189" t="s">
        <v>19</v>
      </c>
      <c r="AK934" s="189" t="s">
        <v>164</v>
      </c>
      <c r="AL934" s="189"/>
      <c r="AM934" s="189"/>
      <c r="AN934" s="189"/>
      <c r="AO934" s="189"/>
      <c r="AP934" s="189">
        <v>11015049</v>
      </c>
      <c r="AQ934" s="189" t="s">
        <v>168</v>
      </c>
      <c r="AR934" s="189">
        <v>13</v>
      </c>
      <c r="AS934" s="189">
        <v>89</v>
      </c>
      <c r="AW934" s="189">
        <v>202</v>
      </c>
      <c r="AX934" s="189"/>
      <c r="AY934" s="189">
        <v>27</v>
      </c>
      <c r="AZ934" s="189"/>
      <c r="BA934" s="189"/>
      <c r="BB934" s="190" t="s">
        <v>208</v>
      </c>
      <c r="BC934" s="158"/>
      <c r="BD934" s="151" t="s">
        <v>163</v>
      </c>
      <c r="BE934" s="152" t="s">
        <v>61</v>
      </c>
      <c r="BF934" s="152" t="s">
        <v>564</v>
      </c>
    </row>
    <row r="935" spans="1:58" s="152" customFormat="1" ht="14.25" x14ac:dyDescent="0.2">
      <c r="A935" s="160" t="s">
        <v>659</v>
      </c>
      <c r="B935" s="152" t="s">
        <v>656</v>
      </c>
      <c r="C935" s="160">
        <f t="shared" si="179"/>
        <v>38.85</v>
      </c>
      <c r="D935" s="160"/>
      <c r="E935" s="170" t="str">
        <f>IF(OR(A935="",B935="",C935=""),"eine der Spalten BAB, FR, km leer?",CONCATENATE(VLOOKUP(VALUE(I935),[1]Grundlage!$A$1:$B$14,2,0),IF(LEFT(A935,1)="A",IF(VALUE(MID(A935,2,10))&lt;10,"A00"&amp;VALUE(MID(A935,2,10)),IF(VALUE(MID(A935,2,10))&lt;100,"A0"&amp;VALUE(MID(A935,2,10)),IF(VALUE(MID(A935,2,10))&lt;1000,"A"&amp;VALUE(MID(A935,2,10))))),IF(LEFT(A935,1)="B",IF(VALUE(MID(A935,2,10))&lt;10,"B00"&amp;VALUE(MID(A935,2,10)),IF(VALUE(MID(A935,2,10))&lt;100,"B0"&amp;VALUE(MID(A935,2,10)),IF(VALUE(MID(A935,2,10))&lt;1000,"B"&amp;VALUE(MID(A935,2,10))))),A935)),"_",IF(NOT(OR(C935=1000,C935&gt;1000)),MID(TEXT((C935+1000)*1000,0),2,6),"keine Meter in Spalte km!!!"),IF(VALUE(I935)=1,CONCATENATE("_",VLOOKUP(IF(V935&gt;0,V935,J935),[1]Grundlage!$A$20:$B$181,2,0)),CONCATENATE("_",B935))))</f>
        <v>UQ_B015_038850_N</v>
      </c>
      <c r="F935" s="152" t="s">
        <v>269</v>
      </c>
      <c r="G935" s="171">
        <f t="shared" ref="G935:G998" si="187">IF(ISBLANK(AP935),G934,INT(AP935/256))</f>
        <v>43027</v>
      </c>
      <c r="H935" s="160">
        <f t="shared" ref="H935:H998" si="188">IF(ISBLANK(AP935),H934,MOD(AP935,256))</f>
        <v>137</v>
      </c>
      <c r="I935" s="152">
        <f t="shared" si="180"/>
        <v>3</v>
      </c>
      <c r="J935" s="152">
        <f t="shared" si="181"/>
        <v>6</v>
      </c>
      <c r="K935" s="152">
        <f t="shared" si="182"/>
        <v>202</v>
      </c>
      <c r="L935" s="152">
        <f t="shared" si="183"/>
        <v>19</v>
      </c>
      <c r="M935" s="152">
        <f t="shared" si="184"/>
        <v>1</v>
      </c>
      <c r="N935" s="152">
        <f t="shared" si="185"/>
        <v>1</v>
      </c>
      <c r="P935" s="172">
        <f t="shared" si="186"/>
        <v>71</v>
      </c>
      <c r="AI935" s="191"/>
      <c r="AJ935" s="189"/>
      <c r="AK935" s="189" t="s">
        <v>164</v>
      </c>
      <c r="AL935" s="189"/>
      <c r="AM935" s="189"/>
      <c r="AN935" s="189"/>
      <c r="AO935" s="189"/>
      <c r="AT935" s="148">
        <v>3</v>
      </c>
      <c r="AU935" s="148">
        <v>6</v>
      </c>
      <c r="AV935" s="192">
        <v>6</v>
      </c>
      <c r="AW935" s="148"/>
      <c r="AX935" s="148"/>
      <c r="AY935" s="148">
        <v>1</v>
      </c>
      <c r="AZ935" s="148">
        <v>1</v>
      </c>
      <c r="BA935" s="192">
        <v>1</v>
      </c>
      <c r="BB935" s="152" t="s">
        <v>269</v>
      </c>
      <c r="BC935" s="150"/>
      <c r="BD935" s="203"/>
      <c r="BF935" s="152" t="s">
        <v>440</v>
      </c>
    </row>
    <row r="936" spans="1:58" s="152" customFormat="1" ht="14.25" x14ac:dyDescent="0.2">
      <c r="A936" s="160" t="s">
        <v>659</v>
      </c>
      <c r="B936" s="152" t="s">
        <v>656</v>
      </c>
      <c r="C936" s="160">
        <f t="shared" si="179"/>
        <v>38.85</v>
      </c>
      <c r="D936" s="160"/>
      <c r="E936" s="170" t="str">
        <f>IF(OR(A936="",B936="",C936=""),"eine der Spalten BAB, FR, km leer?",CONCATENATE(VLOOKUP(VALUE(I936),[1]Grundlage!$A$1:$B$14,2,0),IF(LEFT(A936,1)="A",IF(VALUE(MID(A936,2,10))&lt;10,"A00"&amp;VALUE(MID(A936,2,10)),IF(VALUE(MID(A936,2,10))&lt;100,"A0"&amp;VALUE(MID(A936,2,10)),IF(VALUE(MID(A936,2,10))&lt;1000,"A"&amp;VALUE(MID(A936,2,10))))),IF(LEFT(A936,1)="B",IF(VALUE(MID(A936,2,10))&lt;10,"B00"&amp;VALUE(MID(A936,2,10)),IF(VALUE(MID(A936,2,10))&lt;100,"B0"&amp;VALUE(MID(A936,2,10)),IF(VALUE(MID(A936,2,10))&lt;1000,"B"&amp;VALUE(MID(A936,2,10))))),A936)),"_",IF(NOT(OR(C936=1000,C936&gt;1000)),MID(TEXT((C936+1000)*1000,0),2,6),"keine Meter in Spalte km!!!"),IF(VALUE(I936)=1,CONCATENATE("_",VLOOKUP(IF(V936&gt;0,V936,J936),[1]Grundlage!$A$20:$B$181,2,0)),CONCATENATE("_",B936))))</f>
        <v>UQ_B015_038850_N</v>
      </c>
      <c r="F936" s="152" t="s">
        <v>270</v>
      </c>
      <c r="G936" s="171">
        <f t="shared" si="187"/>
        <v>43027</v>
      </c>
      <c r="H936" s="160">
        <f t="shared" si="188"/>
        <v>137</v>
      </c>
      <c r="I936" s="152">
        <f t="shared" si="180"/>
        <v>3</v>
      </c>
      <c r="J936" s="152">
        <f t="shared" si="181"/>
        <v>11</v>
      </c>
      <c r="K936" s="152">
        <f t="shared" si="182"/>
        <v>202</v>
      </c>
      <c r="L936" s="152">
        <f t="shared" si="183"/>
        <v>19</v>
      </c>
      <c r="M936" s="152">
        <f t="shared" si="184"/>
        <v>1</v>
      </c>
      <c r="N936" s="152">
        <f t="shared" si="185"/>
        <v>2</v>
      </c>
      <c r="P936" s="172">
        <f t="shared" si="186"/>
        <v>70</v>
      </c>
      <c r="AI936" s="191"/>
      <c r="AJ936" s="189"/>
      <c r="AK936" s="189" t="s">
        <v>164</v>
      </c>
      <c r="AL936" s="189"/>
      <c r="AM936" s="189"/>
      <c r="AN936" s="189"/>
      <c r="AO936" s="189"/>
      <c r="AP936" s="189"/>
      <c r="AQ936" s="189"/>
      <c r="AR936" s="189"/>
      <c r="AS936" s="189"/>
      <c r="AT936" s="148">
        <v>3</v>
      </c>
      <c r="AU936" s="148">
        <v>11</v>
      </c>
      <c r="AV936" s="148" t="s">
        <v>78</v>
      </c>
      <c r="AW936" s="148"/>
      <c r="AX936" s="148"/>
      <c r="AY936" s="148">
        <v>1</v>
      </c>
      <c r="AZ936" s="148">
        <v>2</v>
      </c>
      <c r="BA936" s="148">
        <v>2</v>
      </c>
      <c r="BB936" s="152" t="s">
        <v>270</v>
      </c>
      <c r="BC936" s="150"/>
      <c r="BD936" s="203"/>
      <c r="BF936" s="152" t="s">
        <v>565</v>
      </c>
    </row>
    <row r="937" spans="1:58" s="152" customFormat="1" ht="14.25" x14ac:dyDescent="0.2">
      <c r="A937" s="160" t="s">
        <v>659</v>
      </c>
      <c r="B937" s="152" t="s">
        <v>656</v>
      </c>
      <c r="C937" s="160">
        <f t="shared" si="179"/>
        <v>38.85</v>
      </c>
      <c r="D937" s="160"/>
      <c r="E937" s="170" t="str">
        <f>IF(OR(A937="",B937="",C937=""),"eine der Spalten BAB, FR, km leer?",CONCATENATE(VLOOKUP(VALUE(I937),[1]Grundlage!$A$1:$B$14,2,0),IF(LEFT(A937,1)="A",IF(VALUE(MID(A937,2,10))&lt;10,"A00"&amp;VALUE(MID(A937,2,10)),IF(VALUE(MID(A937,2,10))&lt;100,"A0"&amp;VALUE(MID(A937,2,10)),IF(VALUE(MID(A937,2,10))&lt;1000,"A"&amp;VALUE(MID(A937,2,10))))),IF(LEFT(A937,1)="B",IF(VALUE(MID(A937,2,10))&lt;10,"B00"&amp;VALUE(MID(A937,2,10)),IF(VALUE(MID(A937,2,10))&lt;100,"B0"&amp;VALUE(MID(A937,2,10)),IF(VALUE(MID(A937,2,10))&lt;1000,"B"&amp;VALUE(MID(A937,2,10))))),A937)),"_",IF(NOT(OR(C937=1000,C937&gt;1000)),MID(TEXT((C937+1000)*1000,0),2,6),"keine Meter in Spalte km!!!"),IF(VALUE(I937)=1,CONCATENATE("_",VLOOKUP(IF(V937&gt;0,V937,J937),[1]Grundlage!$A$20:$B$181,2,0)),CONCATENATE("_",B937))))</f>
        <v>UQ_B015_038850_N</v>
      </c>
      <c r="F937" s="152" t="s">
        <v>25</v>
      </c>
      <c r="G937" s="171">
        <f t="shared" si="187"/>
        <v>43027</v>
      </c>
      <c r="H937" s="160">
        <f t="shared" si="188"/>
        <v>137</v>
      </c>
      <c r="I937" s="152">
        <f t="shared" si="180"/>
        <v>3</v>
      </c>
      <c r="J937" s="152">
        <f t="shared" si="181"/>
        <v>12</v>
      </c>
      <c r="K937" s="152">
        <f t="shared" si="182"/>
        <v>202</v>
      </c>
      <c r="L937" s="152">
        <f t="shared" si="183"/>
        <v>19</v>
      </c>
      <c r="M937" s="152">
        <f t="shared" si="184"/>
        <v>1</v>
      </c>
      <c r="N937" s="152">
        <f t="shared" si="185"/>
        <v>3</v>
      </c>
      <c r="P937" s="172">
        <f t="shared" si="186"/>
        <v>48</v>
      </c>
      <c r="AI937" s="191"/>
      <c r="AJ937" s="189"/>
      <c r="AK937" s="189" t="s">
        <v>164</v>
      </c>
      <c r="AL937" s="189"/>
      <c r="AM937" s="189"/>
      <c r="AN937" s="189"/>
      <c r="AO937" s="189"/>
      <c r="AP937" s="189"/>
      <c r="AQ937" s="189"/>
      <c r="AR937" s="189"/>
      <c r="AS937" s="189"/>
      <c r="AT937" s="189">
        <v>3</v>
      </c>
      <c r="AU937" s="189">
        <v>12</v>
      </c>
      <c r="AV937" s="189"/>
      <c r="AW937" s="189"/>
      <c r="AX937" s="189"/>
      <c r="AY937" s="189">
        <v>1</v>
      </c>
      <c r="AZ937" s="189">
        <v>3</v>
      </c>
      <c r="BA937" s="189">
        <v>3</v>
      </c>
      <c r="BB937" s="152" t="s">
        <v>25</v>
      </c>
      <c r="BC937" s="150"/>
      <c r="BD937" s="203"/>
      <c r="BF937" s="152" t="s">
        <v>441</v>
      </c>
    </row>
    <row r="938" spans="1:58" s="152" customFormat="1" ht="14.25" x14ac:dyDescent="0.2">
      <c r="A938" s="160" t="s">
        <v>659</v>
      </c>
      <c r="B938" s="152" t="s">
        <v>656</v>
      </c>
      <c r="C938" s="160">
        <f t="shared" si="179"/>
        <v>38.85</v>
      </c>
      <c r="D938" s="160"/>
      <c r="E938" s="170" t="str">
        <f>IF(OR(A938="",B938="",C938=""),"eine der Spalten BAB, FR, km leer?",CONCATENATE(VLOOKUP(VALUE(I938),[1]Grundlage!$A$1:$B$14,2,0),IF(LEFT(A938,1)="A",IF(VALUE(MID(A938,2,10))&lt;10,"A00"&amp;VALUE(MID(A938,2,10)),IF(VALUE(MID(A938,2,10))&lt;100,"A0"&amp;VALUE(MID(A938,2,10)),IF(VALUE(MID(A938,2,10))&lt;1000,"A"&amp;VALUE(MID(A938,2,10))))),IF(LEFT(A938,1)="B",IF(VALUE(MID(A938,2,10))&lt;10,"B00"&amp;VALUE(MID(A938,2,10)),IF(VALUE(MID(A938,2,10))&lt;100,"B0"&amp;VALUE(MID(A938,2,10)),IF(VALUE(MID(A938,2,10))&lt;1000,"B"&amp;VALUE(MID(A938,2,10))))),A938)),"_",IF(NOT(OR(C938=1000,C938&gt;1000)),MID(TEXT((C938+1000)*1000,0),2,6),"keine Meter in Spalte km!!!"),IF(VALUE(I938)=1,CONCATENATE("_",VLOOKUP(IF(V938&gt;0,V938,J938),[1]Grundlage!$A$20:$B$181,2,0)),CONCATENATE("_",B938))))</f>
        <v>UQ_B015_038850_N</v>
      </c>
      <c r="F938" s="152" t="s">
        <v>26</v>
      </c>
      <c r="G938" s="171">
        <f t="shared" si="187"/>
        <v>43027</v>
      </c>
      <c r="H938" s="160">
        <f t="shared" si="188"/>
        <v>137</v>
      </c>
      <c r="I938" s="152">
        <f t="shared" si="180"/>
        <v>3</v>
      </c>
      <c r="J938" s="152">
        <f t="shared" si="181"/>
        <v>13</v>
      </c>
      <c r="K938" s="152">
        <f t="shared" si="182"/>
        <v>202</v>
      </c>
      <c r="L938" s="152">
        <f t="shared" si="183"/>
        <v>19</v>
      </c>
      <c r="M938" s="152">
        <f t="shared" si="184"/>
        <v>1</v>
      </c>
      <c r="N938" s="152">
        <f t="shared" si="185"/>
        <v>4</v>
      </c>
      <c r="P938" s="172">
        <f t="shared" si="186"/>
        <v>55</v>
      </c>
      <c r="AI938" s="191"/>
      <c r="AJ938" s="189"/>
      <c r="AK938" s="189" t="s">
        <v>164</v>
      </c>
      <c r="AL938" s="189"/>
      <c r="AM938" s="189"/>
      <c r="AN938" s="189"/>
      <c r="AO938" s="189"/>
      <c r="AP938" s="189"/>
      <c r="AQ938" s="189"/>
      <c r="AR938" s="189"/>
      <c r="AS938" s="189"/>
      <c r="AT938" s="189">
        <v>3</v>
      </c>
      <c r="AU938" s="189">
        <v>13</v>
      </c>
      <c r="AV938" s="189"/>
      <c r="AW938" s="189"/>
      <c r="AX938" s="189"/>
      <c r="AY938" s="189">
        <v>1</v>
      </c>
      <c r="AZ938" s="189">
        <v>4</v>
      </c>
      <c r="BA938" s="189">
        <v>4</v>
      </c>
      <c r="BB938" s="152" t="s">
        <v>26</v>
      </c>
      <c r="BC938" s="150"/>
      <c r="BD938" s="203"/>
      <c r="BF938" s="152" t="s">
        <v>442</v>
      </c>
    </row>
    <row r="939" spans="1:58" s="152" customFormat="1" ht="14.25" x14ac:dyDescent="0.2">
      <c r="A939" s="160" t="s">
        <v>659</v>
      </c>
      <c r="B939" s="152" t="s">
        <v>656</v>
      </c>
      <c r="C939" s="160">
        <f t="shared" si="179"/>
        <v>38.85</v>
      </c>
      <c r="D939" s="160"/>
      <c r="E939" s="170" t="str">
        <f>IF(OR(A939="",B939="",C939=""),"eine der Spalten BAB, FR, km leer?",CONCATENATE(VLOOKUP(VALUE(I939),[1]Grundlage!$A$1:$B$14,2,0),IF(LEFT(A939,1)="A",IF(VALUE(MID(A939,2,10))&lt;10,"A00"&amp;VALUE(MID(A939,2,10)),IF(VALUE(MID(A939,2,10))&lt;100,"A0"&amp;VALUE(MID(A939,2,10)),IF(VALUE(MID(A939,2,10))&lt;1000,"A"&amp;VALUE(MID(A939,2,10))))),IF(LEFT(A939,1)="B",IF(VALUE(MID(A939,2,10))&lt;10,"B00"&amp;VALUE(MID(A939,2,10)),IF(VALUE(MID(A939,2,10))&lt;100,"B0"&amp;VALUE(MID(A939,2,10)),IF(VALUE(MID(A939,2,10))&lt;1000,"B"&amp;VALUE(MID(A939,2,10))))),A939)),"_",IF(NOT(OR(C939=1000,C939&gt;1000)),MID(TEXT((C939+1000)*1000,0),2,6),"keine Meter in Spalte km!!!"),IF(VALUE(I939)=1,CONCATENATE("_",VLOOKUP(IF(V939&gt;0,V939,J939),[1]Grundlage!$A$20:$B$181,2,0)),CONCATENATE("_",B939))))</f>
        <v>UQ_B015_038850_N</v>
      </c>
      <c r="F939" s="152" t="s">
        <v>27</v>
      </c>
      <c r="G939" s="171">
        <f t="shared" si="187"/>
        <v>43027</v>
      </c>
      <c r="H939" s="160">
        <f t="shared" si="188"/>
        <v>137</v>
      </c>
      <c r="I939" s="152">
        <f t="shared" si="180"/>
        <v>3</v>
      </c>
      <c r="J939" s="152">
        <f t="shared" si="181"/>
        <v>14</v>
      </c>
      <c r="K939" s="152">
        <f t="shared" si="182"/>
        <v>202</v>
      </c>
      <c r="L939" s="152">
        <f t="shared" si="183"/>
        <v>19</v>
      </c>
      <c r="M939" s="152">
        <f t="shared" si="184"/>
        <v>1</v>
      </c>
      <c r="N939" s="152">
        <f t="shared" si="185"/>
        <v>5</v>
      </c>
      <c r="P939" s="172">
        <f t="shared" si="186"/>
        <v>66</v>
      </c>
      <c r="AI939" s="191"/>
      <c r="AJ939" s="189"/>
      <c r="AK939" s="189" t="s">
        <v>164</v>
      </c>
      <c r="AL939" s="189"/>
      <c r="AM939" s="189"/>
      <c r="AN939" s="189"/>
      <c r="AO939" s="189"/>
      <c r="AP939" s="189"/>
      <c r="AQ939" s="189"/>
      <c r="AR939" s="189"/>
      <c r="AS939" s="189"/>
      <c r="AT939" s="189">
        <v>3</v>
      </c>
      <c r="AU939" s="189">
        <v>14</v>
      </c>
      <c r="AV939" s="189"/>
      <c r="AW939" s="189"/>
      <c r="AX939" s="189"/>
      <c r="AY939" s="189">
        <v>1</v>
      </c>
      <c r="AZ939" s="189">
        <v>5</v>
      </c>
      <c r="BA939" s="189">
        <v>5</v>
      </c>
      <c r="BB939" s="152" t="s">
        <v>27</v>
      </c>
      <c r="BC939" s="150"/>
      <c r="BD939" s="203"/>
      <c r="BF939" s="152" t="s">
        <v>443</v>
      </c>
    </row>
    <row r="940" spans="1:58" s="152" customFormat="1" ht="14.25" x14ac:dyDescent="0.2">
      <c r="A940" s="160" t="s">
        <v>659</v>
      </c>
      <c r="B940" s="152" t="s">
        <v>656</v>
      </c>
      <c r="C940" s="160">
        <f t="shared" si="179"/>
        <v>38.85</v>
      </c>
      <c r="D940" s="160"/>
      <c r="E940" s="170" t="str">
        <f>IF(OR(A940="",B940="",C940=""),"eine der Spalten BAB, FR, km leer?",CONCATENATE(VLOOKUP(VALUE(I940),[1]Grundlage!$A$1:$B$14,2,0),IF(LEFT(A940,1)="A",IF(VALUE(MID(A940,2,10))&lt;10,"A00"&amp;VALUE(MID(A940,2,10)),IF(VALUE(MID(A940,2,10))&lt;100,"A0"&amp;VALUE(MID(A940,2,10)),IF(VALUE(MID(A940,2,10))&lt;1000,"A"&amp;VALUE(MID(A940,2,10))))),IF(LEFT(A940,1)="B",IF(VALUE(MID(A940,2,10))&lt;10,"B00"&amp;VALUE(MID(A940,2,10)),IF(VALUE(MID(A940,2,10))&lt;100,"B0"&amp;VALUE(MID(A940,2,10)),IF(VALUE(MID(A940,2,10))&lt;1000,"B"&amp;VALUE(MID(A940,2,10))))),A940)),"_",IF(NOT(OR(C940=1000,C940&gt;1000)),MID(TEXT((C940+1000)*1000,0),2,6),"keine Meter in Spalte km!!!"),IF(VALUE(I940)=1,CONCATENATE("_",VLOOKUP(IF(V940&gt;0,V940,J940),[1]Grundlage!$A$20:$B$181,2,0)),CONCATENATE("_",B940))))</f>
        <v>UQ_B015_038850_N</v>
      </c>
      <c r="F940" s="152" t="s">
        <v>28</v>
      </c>
      <c r="G940" s="171">
        <f t="shared" si="187"/>
        <v>43027</v>
      </c>
      <c r="H940" s="160">
        <f t="shared" si="188"/>
        <v>137</v>
      </c>
      <c r="I940" s="152">
        <f t="shared" si="180"/>
        <v>3</v>
      </c>
      <c r="J940" s="152">
        <f t="shared" si="181"/>
        <v>15</v>
      </c>
      <c r="K940" s="152">
        <f t="shared" si="182"/>
        <v>202</v>
      </c>
      <c r="L940" s="152">
        <f t="shared" si="183"/>
        <v>19</v>
      </c>
      <c r="M940" s="152">
        <f t="shared" si="184"/>
        <v>1</v>
      </c>
      <c r="N940" s="152">
        <f t="shared" si="185"/>
        <v>6</v>
      </c>
      <c r="P940" s="172">
        <f t="shared" si="186"/>
        <v>65</v>
      </c>
      <c r="AI940" s="191"/>
      <c r="AJ940" s="189"/>
      <c r="AK940" s="189" t="s">
        <v>164</v>
      </c>
      <c r="AL940" s="189"/>
      <c r="AM940" s="189"/>
      <c r="AN940" s="189"/>
      <c r="AO940" s="189"/>
      <c r="AP940" s="189"/>
      <c r="AQ940" s="189"/>
      <c r="AR940" s="189"/>
      <c r="AS940" s="189"/>
      <c r="AT940" s="189">
        <v>3</v>
      </c>
      <c r="AU940" s="189">
        <v>15</v>
      </c>
      <c r="AV940" s="189"/>
      <c r="AW940" s="189"/>
      <c r="AX940" s="189"/>
      <c r="AY940" s="189">
        <v>1</v>
      </c>
      <c r="AZ940" s="189">
        <v>6</v>
      </c>
      <c r="BA940" s="189">
        <v>6</v>
      </c>
      <c r="BB940" s="152" t="s">
        <v>28</v>
      </c>
      <c r="BC940" s="150"/>
      <c r="BD940" s="203"/>
      <c r="BF940" s="152" t="s">
        <v>566</v>
      </c>
    </row>
    <row r="941" spans="1:58" s="152" customFormat="1" ht="14.25" x14ac:dyDescent="0.2">
      <c r="A941" s="160" t="s">
        <v>659</v>
      </c>
      <c r="B941" s="152" t="s">
        <v>656</v>
      </c>
      <c r="C941" s="160">
        <f t="shared" si="179"/>
        <v>38.85</v>
      </c>
      <c r="D941" s="160"/>
      <c r="E941" s="170" t="str">
        <f>IF(OR(A941="",B941="",C941=""),"eine der Spalten BAB, FR, km leer?",CONCATENATE(VLOOKUP(VALUE(I941),[1]Grundlage!$A$1:$B$14,2,0),IF(LEFT(A941,1)="A",IF(VALUE(MID(A941,2,10))&lt;10,"A00"&amp;VALUE(MID(A941,2,10)),IF(VALUE(MID(A941,2,10))&lt;100,"A0"&amp;VALUE(MID(A941,2,10)),IF(VALUE(MID(A941,2,10))&lt;1000,"A"&amp;VALUE(MID(A941,2,10))))),IF(LEFT(A941,1)="B",IF(VALUE(MID(A941,2,10))&lt;10,"B00"&amp;VALUE(MID(A941,2,10)),IF(VALUE(MID(A941,2,10))&lt;100,"B0"&amp;VALUE(MID(A941,2,10)),IF(VALUE(MID(A941,2,10))&lt;1000,"B"&amp;VALUE(MID(A941,2,10))))),A941)),"_",IF(NOT(OR(C941=1000,C941&gt;1000)),MID(TEXT((C941+1000)*1000,0),2,6),"keine Meter in Spalte km!!!"),IF(VALUE(I941)=1,CONCATENATE("_",VLOOKUP(IF(V941&gt;0,V941,J941),[1]Grundlage!$A$20:$B$181,2,0)),CONCATENATE("_",B941))))</f>
        <v>UQ_B015_038850_N</v>
      </c>
      <c r="F941" s="152" t="s">
        <v>29</v>
      </c>
      <c r="G941" s="171">
        <f t="shared" si="187"/>
        <v>43027</v>
      </c>
      <c r="H941" s="160">
        <f t="shared" si="188"/>
        <v>137</v>
      </c>
      <c r="I941" s="152">
        <f t="shared" si="180"/>
        <v>3</v>
      </c>
      <c r="J941" s="152">
        <f t="shared" si="181"/>
        <v>19</v>
      </c>
      <c r="K941" s="152">
        <f t="shared" si="182"/>
        <v>202</v>
      </c>
      <c r="L941" s="152">
        <f t="shared" si="183"/>
        <v>19</v>
      </c>
      <c r="M941" s="152">
        <f t="shared" si="184"/>
        <v>1</v>
      </c>
      <c r="N941" s="152">
        <f t="shared" si="185"/>
        <v>7</v>
      </c>
      <c r="P941" s="172">
        <f t="shared" si="186"/>
        <v>49</v>
      </c>
      <c r="AI941" s="191"/>
      <c r="AJ941" s="189"/>
      <c r="AK941" s="189" t="s">
        <v>164</v>
      </c>
      <c r="AL941" s="189"/>
      <c r="AM941" s="189"/>
      <c r="AN941" s="189"/>
      <c r="AO941" s="189"/>
      <c r="AP941" s="189"/>
      <c r="AQ941" s="189"/>
      <c r="AR941" s="189"/>
      <c r="AS941" s="189"/>
      <c r="AT941" s="189">
        <v>3</v>
      </c>
      <c r="AU941" s="189">
        <v>19</v>
      </c>
      <c r="AV941" s="189"/>
      <c r="AW941" s="189"/>
      <c r="AX941" s="189"/>
      <c r="AY941" s="189">
        <v>1</v>
      </c>
      <c r="AZ941" s="189">
        <v>7</v>
      </c>
      <c r="BA941" s="189">
        <v>7</v>
      </c>
      <c r="BB941" s="152" t="s">
        <v>29</v>
      </c>
      <c r="BC941" s="150"/>
      <c r="BD941" s="203"/>
      <c r="BF941" s="152" t="s">
        <v>567</v>
      </c>
    </row>
    <row r="942" spans="1:58" s="152" customFormat="1" ht="14.25" x14ac:dyDescent="0.2">
      <c r="A942" s="160" t="s">
        <v>659</v>
      </c>
      <c r="B942" s="152" t="s">
        <v>656</v>
      </c>
      <c r="C942" s="160">
        <f t="shared" si="179"/>
        <v>38.85</v>
      </c>
      <c r="D942" s="160"/>
      <c r="E942" s="170" t="str">
        <f>IF(OR(A942="",B942="",C942=""),"eine der Spalten BAB, FR, km leer?",CONCATENATE(VLOOKUP(VALUE(I942),[1]Grundlage!$A$1:$B$14,2,0),IF(LEFT(A942,1)="A",IF(VALUE(MID(A942,2,10))&lt;10,"A00"&amp;VALUE(MID(A942,2,10)),IF(VALUE(MID(A942,2,10))&lt;100,"A0"&amp;VALUE(MID(A942,2,10)),IF(VALUE(MID(A942,2,10))&lt;1000,"A"&amp;VALUE(MID(A942,2,10))))),IF(LEFT(A942,1)="B",IF(VALUE(MID(A942,2,10))&lt;10,"B00"&amp;VALUE(MID(A942,2,10)),IF(VALUE(MID(A942,2,10))&lt;100,"B0"&amp;VALUE(MID(A942,2,10)),IF(VALUE(MID(A942,2,10))&lt;1000,"B"&amp;VALUE(MID(A942,2,10))))),A942)),"_",IF(NOT(OR(C942=1000,C942&gt;1000)),MID(TEXT((C942+1000)*1000,0),2,6),"keine Meter in Spalte km!!!"),IF(VALUE(I942)=1,CONCATENATE("_",VLOOKUP(IF(V942&gt;0,V942,J942),[1]Grundlage!$A$20:$B$181,2,0)),CONCATENATE("_",B942))))</f>
        <v>UQ_B015_038850_N</v>
      </c>
      <c r="F942" s="152" t="s">
        <v>30</v>
      </c>
      <c r="G942" s="171">
        <f t="shared" si="187"/>
        <v>43027</v>
      </c>
      <c r="H942" s="160">
        <f t="shared" si="188"/>
        <v>137</v>
      </c>
      <c r="I942" s="152">
        <f t="shared" si="180"/>
        <v>3</v>
      </c>
      <c r="J942" s="152">
        <f t="shared" si="181"/>
        <v>21</v>
      </c>
      <c r="K942" s="152">
        <f t="shared" si="182"/>
        <v>202</v>
      </c>
      <c r="L942" s="152">
        <f t="shared" si="183"/>
        <v>19</v>
      </c>
      <c r="M942" s="152">
        <f t="shared" si="184"/>
        <v>1</v>
      </c>
      <c r="N942" s="152">
        <f t="shared" si="185"/>
        <v>8</v>
      </c>
      <c r="P942" s="172">
        <f t="shared" si="186"/>
        <v>67</v>
      </c>
      <c r="AI942" s="191"/>
      <c r="AJ942" s="189"/>
      <c r="AK942" s="189" t="s">
        <v>164</v>
      </c>
      <c r="AL942" s="189"/>
      <c r="AM942" s="189"/>
      <c r="AN942" s="189"/>
      <c r="AO942" s="189"/>
      <c r="AP942" s="189"/>
      <c r="AQ942" s="189"/>
      <c r="AR942" s="189"/>
      <c r="AS942" s="189"/>
      <c r="AT942" s="189">
        <v>3</v>
      </c>
      <c r="AU942" s="189">
        <v>21</v>
      </c>
      <c r="AV942" s="189"/>
      <c r="AW942" s="189"/>
      <c r="AX942" s="189"/>
      <c r="AY942" s="189">
        <v>1</v>
      </c>
      <c r="AZ942" s="189">
        <v>8</v>
      </c>
      <c r="BA942" s="189">
        <v>8</v>
      </c>
      <c r="BB942" s="152" t="s">
        <v>30</v>
      </c>
      <c r="BC942" s="150"/>
      <c r="BD942" s="203"/>
      <c r="BF942" s="152" t="s">
        <v>568</v>
      </c>
    </row>
    <row r="943" spans="1:58" s="152" customFormat="1" ht="14.25" x14ac:dyDescent="0.2">
      <c r="A943" s="160" t="s">
        <v>659</v>
      </c>
      <c r="B943" s="152" t="s">
        <v>656</v>
      </c>
      <c r="C943" s="160">
        <f t="shared" si="179"/>
        <v>38.85</v>
      </c>
      <c r="D943" s="160"/>
      <c r="E943" s="170" t="str">
        <f>IF(OR(A943="",B943="",C943=""),"eine der Spalten BAB, FR, km leer?",CONCATENATE(VLOOKUP(VALUE(I943),[1]Grundlage!$A$1:$B$14,2,0),IF(LEFT(A943,1)="A",IF(VALUE(MID(A943,2,10))&lt;10,"A00"&amp;VALUE(MID(A943,2,10)),IF(VALUE(MID(A943,2,10))&lt;100,"A0"&amp;VALUE(MID(A943,2,10)),IF(VALUE(MID(A943,2,10))&lt;1000,"A"&amp;VALUE(MID(A943,2,10))))),IF(LEFT(A943,1)="B",IF(VALUE(MID(A943,2,10))&lt;10,"B00"&amp;VALUE(MID(A943,2,10)),IF(VALUE(MID(A943,2,10))&lt;100,"B0"&amp;VALUE(MID(A943,2,10)),IF(VALUE(MID(A943,2,10))&lt;1000,"B"&amp;VALUE(MID(A943,2,10))))),A943)),"_",IF(NOT(OR(C943=1000,C943&gt;1000)),MID(TEXT((C943+1000)*1000,0),2,6),"keine Meter in Spalte km!!!"),IF(VALUE(I943)=1,CONCATENATE("_",VLOOKUP(IF(V943&gt;0,V943,J943),[1]Grundlage!$A$20:$B$181,2,0)),CONCATENATE("_",B943))))</f>
        <v>UQ_B015_038850_N</v>
      </c>
      <c r="F943" s="152" t="s">
        <v>271</v>
      </c>
      <c r="G943" s="171">
        <f t="shared" si="187"/>
        <v>43027</v>
      </c>
      <c r="H943" s="160">
        <f t="shared" si="188"/>
        <v>137</v>
      </c>
      <c r="I943" s="152">
        <f t="shared" si="180"/>
        <v>3</v>
      </c>
      <c r="J943" s="152">
        <f t="shared" si="181"/>
        <v>67</v>
      </c>
      <c r="K943" s="152">
        <f t="shared" si="182"/>
        <v>202</v>
      </c>
      <c r="L943" s="152">
        <f t="shared" si="183"/>
        <v>19</v>
      </c>
      <c r="M943" s="152">
        <f t="shared" si="184"/>
        <v>1</v>
      </c>
      <c r="N943" s="152">
        <f t="shared" si="185"/>
        <v>9</v>
      </c>
      <c r="P943" s="172">
        <f t="shared" si="186"/>
        <v>53</v>
      </c>
      <c r="AI943" s="191"/>
      <c r="AJ943" s="189"/>
      <c r="AK943" s="187" t="s">
        <v>164</v>
      </c>
      <c r="AL943" s="187"/>
      <c r="AM943" s="187"/>
      <c r="AN943" s="187"/>
      <c r="AO943" s="187"/>
      <c r="AP943" s="189"/>
      <c r="AQ943" s="189"/>
      <c r="AR943" s="189"/>
      <c r="AS943" s="189"/>
      <c r="AT943" s="148">
        <v>3</v>
      </c>
      <c r="AU943" s="189">
        <v>67</v>
      </c>
      <c r="AV943" s="189">
        <v>43</v>
      </c>
      <c r="AY943" s="148">
        <v>1</v>
      </c>
      <c r="AZ943" s="189">
        <v>9</v>
      </c>
      <c r="BA943" s="187">
        <v>9</v>
      </c>
      <c r="BB943" s="152" t="s">
        <v>271</v>
      </c>
      <c r="BC943" s="150"/>
      <c r="BD943" s="193"/>
      <c r="BF943" s="152" t="s">
        <v>444</v>
      </c>
    </row>
    <row r="944" spans="1:58" s="152" customFormat="1" ht="14.25" x14ac:dyDescent="0.2">
      <c r="A944" s="160" t="s">
        <v>659</v>
      </c>
      <c r="B944" s="152" t="s">
        <v>656</v>
      </c>
      <c r="C944" s="160">
        <f t="shared" si="179"/>
        <v>38.85</v>
      </c>
      <c r="D944" s="160"/>
      <c r="E944" s="170" t="str">
        <f>IF(OR(A944="",B944="",C944=""),"eine der Spalten BAB, FR, km leer?",CONCATENATE(VLOOKUP(VALUE(I944),[1]Grundlage!$A$1:$B$14,2,0),IF(LEFT(A944,1)="A",IF(VALUE(MID(A944,2,10))&lt;10,"A00"&amp;VALUE(MID(A944,2,10)),IF(VALUE(MID(A944,2,10))&lt;100,"A0"&amp;VALUE(MID(A944,2,10)),IF(VALUE(MID(A944,2,10))&lt;1000,"A"&amp;VALUE(MID(A944,2,10))))),IF(LEFT(A944,1)="B",IF(VALUE(MID(A944,2,10))&lt;10,"B00"&amp;VALUE(MID(A944,2,10)),IF(VALUE(MID(A944,2,10))&lt;100,"B0"&amp;VALUE(MID(A944,2,10)),IF(VALUE(MID(A944,2,10))&lt;1000,"B"&amp;VALUE(MID(A944,2,10))))),A944)),"_",IF(NOT(OR(C944=1000,C944&gt;1000)),MID(TEXT((C944+1000)*1000,0),2,6),"keine Meter in Spalte km!!!"),IF(VALUE(I944)=1,CONCATENATE("_",VLOOKUP(IF(V944&gt;0,V944,J944),[1]Grundlage!$A$20:$B$181,2,0)),CONCATENATE("_",B944))))</f>
        <v>UQ_B015_038850_N</v>
      </c>
      <c r="F944" s="152" t="s">
        <v>272</v>
      </c>
      <c r="G944" s="171">
        <f t="shared" si="187"/>
        <v>43027</v>
      </c>
      <c r="H944" s="160">
        <f t="shared" si="188"/>
        <v>137</v>
      </c>
      <c r="I944" s="152">
        <f t="shared" si="180"/>
        <v>3</v>
      </c>
      <c r="J944" s="152">
        <f t="shared" si="181"/>
        <v>82</v>
      </c>
      <c r="K944" s="152">
        <f t="shared" si="182"/>
        <v>202</v>
      </c>
      <c r="L944" s="152">
        <f t="shared" si="183"/>
        <v>19</v>
      </c>
      <c r="M944" s="152">
        <f t="shared" si="184"/>
        <v>1</v>
      </c>
      <c r="N944" s="152">
        <f t="shared" si="185"/>
        <v>10</v>
      </c>
      <c r="P944" s="172">
        <f t="shared" si="186"/>
        <v>72</v>
      </c>
      <c r="AI944" s="191"/>
      <c r="AJ944" s="189"/>
      <c r="AK944" s="187" t="s">
        <v>164</v>
      </c>
      <c r="AL944" s="187"/>
      <c r="AM944" s="187"/>
      <c r="AN944" s="187"/>
      <c r="AO944" s="187"/>
      <c r="AP944" s="189"/>
      <c r="AQ944" s="189"/>
      <c r="AR944" s="189"/>
      <c r="AS944" s="189"/>
      <c r="AT944" s="148">
        <v>3</v>
      </c>
      <c r="AU944" s="189">
        <v>82</v>
      </c>
      <c r="AV944" s="189">
        <v>52</v>
      </c>
      <c r="AY944" s="148">
        <v>1</v>
      </c>
      <c r="AZ944" s="189">
        <v>10</v>
      </c>
      <c r="BA944" s="187" t="s">
        <v>95</v>
      </c>
      <c r="BB944" s="152" t="s">
        <v>272</v>
      </c>
      <c r="BC944" s="150"/>
      <c r="BD944" s="193"/>
      <c r="BF944" s="152" t="s">
        <v>569</v>
      </c>
    </row>
    <row r="945" spans="1:58" s="152" customFormat="1" ht="14.25" x14ac:dyDescent="0.2">
      <c r="A945" s="160" t="s">
        <v>659</v>
      </c>
      <c r="C945" s="160">
        <f t="shared" si="179"/>
        <v>38.85</v>
      </c>
      <c r="D945" s="160"/>
      <c r="E945" s="169" t="str">
        <f>IF(OR(A945="",B945="",C945=""),"",CONCATENATE(VLOOKUP(VALUE(I945),[1]Grundlage!$A$1:$B$14,2,0),IF(LEFT(A945,1)="A",IF(VALUE(MID(A945,2,10))&lt;10,"A00"&amp;VALUE(MID(A945,2,10)),IF(VALUE(MID(A945,2,10))&lt;100,"A0"&amp;VALUE(MID(A945,2,10)),IF(VALUE(MID(A945,2,10))&lt;1000,"A"&amp;VALUE(MID(A945,2,10))))),IF(LEFT(A945,1)="B",IF(VALUE(MID(A945,2,10))&lt;10,"B00"&amp;VALUE(MID(A945,2,10)),IF(VALUE(MID(A945,2,10))&lt;100,"B0"&amp;VALUE(MID(A945,2,10)),IF(VALUE(MID(A945,2,10))&lt;1000,"B"&amp;VALUE(MID(A945,2,10))))),A945)),"_",IF(NOT(OR(C945=1000,C945&gt;1000)),MID(TEXT((C945+1000)*1000,0),2,6),"keine Meter in Spalte km!!!"),IF(VALUE(I945)=1,CONCATENATE("_",VLOOKUP(IF(V945&gt;0,V945,J945),[1]Grundlage!$A$20:$B$181,2,0)),CONCATENATE("_",B945))))</f>
        <v/>
      </c>
      <c r="F945" s="152" t="s">
        <v>669</v>
      </c>
      <c r="G945" s="171">
        <f t="shared" si="187"/>
        <v>43027</v>
      </c>
      <c r="H945" s="160">
        <f t="shared" si="188"/>
        <v>137</v>
      </c>
      <c r="I945" s="152">
        <f t="shared" si="180"/>
        <v>0</v>
      </c>
      <c r="J945" s="152">
        <f t="shared" si="181"/>
        <v>0</v>
      </c>
      <c r="K945" s="152">
        <f t="shared" si="182"/>
        <v>202</v>
      </c>
      <c r="L945" s="152">
        <f t="shared" si="183"/>
        <v>19</v>
      </c>
      <c r="M945" s="152" t="str">
        <f t="shared" si="184"/>
        <v/>
      </c>
      <c r="N945" s="152" t="str">
        <f t="shared" si="185"/>
        <v/>
      </c>
      <c r="P945" s="172" t="str">
        <f t="shared" si="186"/>
        <v/>
      </c>
      <c r="AI945" s="191"/>
      <c r="AJ945" s="189"/>
      <c r="AK945" s="187"/>
      <c r="AL945" s="187"/>
      <c r="AM945" s="187"/>
      <c r="AN945" s="187"/>
      <c r="AO945" s="187"/>
      <c r="AP945" s="189"/>
      <c r="AQ945" s="189"/>
      <c r="AR945" s="189"/>
      <c r="AS945" s="189"/>
      <c r="AT945" s="148"/>
      <c r="AU945" s="189"/>
      <c r="AV945" s="189"/>
      <c r="AY945" s="148"/>
      <c r="AZ945" s="189"/>
      <c r="BA945" s="187"/>
      <c r="BC945" s="150"/>
      <c r="BD945" s="193"/>
    </row>
    <row r="946" spans="1:58" s="152" customFormat="1" ht="14.25" x14ac:dyDescent="0.2">
      <c r="A946" s="160" t="str">
        <f t="shared" ref="A946:A969" si="189">IF(ISBLANK(AK946),A945,AK946)</f>
        <v>A3</v>
      </c>
      <c r="B946" s="152" t="s">
        <v>656</v>
      </c>
      <c r="C946" s="160">
        <f t="shared" si="179"/>
        <v>466.59</v>
      </c>
      <c r="D946" s="160"/>
      <c r="E946" s="170" t="str">
        <f>IF(OR(A946="",B946="",C946=""),"eine der Spalten BAB, FR, km leer?",CONCATENATE(VLOOKUP(VALUE(I946),[1]Grundlage!$A$1:$B$14,2,0),IF(LEFT(A946,1)="A",IF(VALUE(MID(A946,2,10))&lt;10,"A00"&amp;VALUE(MID(A946,2,10)),IF(VALUE(MID(A946,2,10))&lt;100,"A0"&amp;VALUE(MID(A946,2,10)),IF(VALUE(MID(A946,2,10))&lt;1000,"A"&amp;VALUE(MID(A946,2,10))))),IF(LEFT(A946,1)="B",IF(VALUE(MID(A946,2,10))&lt;10,"B00"&amp;VALUE(MID(A946,2,10)),IF(VALUE(MID(A946,2,10))&lt;100,"B0"&amp;VALUE(MID(A946,2,10)),IF(VALUE(MID(A946,2,10))&lt;1000,"B"&amp;VALUE(MID(A946,2,10))))),A946)),"_",IF(NOT(OR(C946=1000,C946&gt;1000)),MID(TEXT((C946+1000)*1000,0),2,6),"keine Meter in Spalte km!!!"),IF(VALUE(I946)=1,CONCATENATE("_",VLOOKUP(IF(V946&gt;0,V946,J946),[1]Grundlage!$A$20:$B$181,2,0)),CONCATENATE("_",B946))))</f>
        <v>SSt_A003_466590_N</v>
      </c>
      <c r="F946" s="152" t="s">
        <v>297</v>
      </c>
      <c r="G946" s="171">
        <f t="shared" si="187"/>
        <v>1196</v>
      </c>
      <c r="H946" s="160">
        <f t="shared" si="188"/>
        <v>91</v>
      </c>
      <c r="I946" s="152">
        <f t="shared" si="180"/>
        <v>0</v>
      </c>
      <c r="J946" s="152">
        <f t="shared" si="181"/>
        <v>0</v>
      </c>
      <c r="K946" s="152">
        <f t="shared" si="182"/>
        <v>201</v>
      </c>
      <c r="L946" s="152">
        <f t="shared" si="183"/>
        <v>19</v>
      </c>
      <c r="M946" s="152">
        <f t="shared" si="184"/>
        <v>28</v>
      </c>
      <c r="N946" s="152" t="str">
        <f t="shared" si="185"/>
        <v/>
      </c>
      <c r="P946" s="172" t="str">
        <f t="shared" si="186"/>
        <v/>
      </c>
      <c r="AI946" s="188">
        <v>466.59</v>
      </c>
      <c r="AJ946" s="189" t="s">
        <v>19</v>
      </c>
      <c r="AK946" s="189" t="s">
        <v>62</v>
      </c>
      <c r="AL946" s="189"/>
      <c r="AM946" s="189"/>
      <c r="AN946" s="189"/>
      <c r="AO946" s="189"/>
      <c r="AP946" s="189">
        <v>306267</v>
      </c>
      <c r="AQ946" s="189">
        <v>4</v>
      </c>
      <c r="AR946" s="189" t="s">
        <v>300</v>
      </c>
      <c r="AS946" s="189" t="s">
        <v>299</v>
      </c>
      <c r="AW946" s="189">
        <v>201</v>
      </c>
      <c r="AX946" s="189"/>
      <c r="AY946" s="189">
        <v>28</v>
      </c>
      <c r="AZ946" s="189"/>
      <c r="BA946" s="189"/>
      <c r="BB946" s="190" t="s">
        <v>297</v>
      </c>
      <c r="BC946" s="158"/>
      <c r="BD946" s="151" t="s">
        <v>163</v>
      </c>
      <c r="BE946" s="152" t="s">
        <v>133</v>
      </c>
      <c r="BF946" s="152" t="s">
        <v>561</v>
      </c>
    </row>
    <row r="947" spans="1:58" s="152" customFormat="1" ht="14.25" x14ac:dyDescent="0.2">
      <c r="A947" s="160" t="str">
        <f t="shared" si="189"/>
        <v>A3</v>
      </c>
      <c r="B947" s="152" t="s">
        <v>656</v>
      </c>
      <c r="C947" s="160">
        <f t="shared" si="179"/>
        <v>466.59</v>
      </c>
      <c r="D947" s="160"/>
      <c r="E947" s="170" t="str">
        <f>IF(OR(A947="",B947="",C947=""),"eine der Spalten BAB, FR, km leer?",CONCATENATE(VLOOKUP(VALUE(I947),[1]Grundlage!$A$1:$B$14,2,0),IF(LEFT(A947,1)="A",IF(VALUE(MID(A947,2,10))&lt;10,"A00"&amp;VALUE(MID(A947,2,10)),IF(VALUE(MID(A947,2,10))&lt;100,"A0"&amp;VALUE(MID(A947,2,10)),IF(VALUE(MID(A947,2,10))&lt;1000,"A"&amp;VALUE(MID(A947,2,10))))),IF(LEFT(A947,1)="B",IF(VALUE(MID(A947,2,10))&lt;10,"B00"&amp;VALUE(MID(A947,2,10)),IF(VALUE(MID(A947,2,10))&lt;100,"B0"&amp;VALUE(MID(A947,2,10)),IF(VALUE(MID(A947,2,10))&lt;1000,"B"&amp;VALUE(MID(A947,2,10))))),A947)),"_",IF(NOT(OR(C947=1000,C947&gt;1000)),MID(TEXT((C947+1000)*1000,0),2,6),"keine Meter in Spalte km!!!"),IF(VALUE(I947)=1,CONCATENATE("_",VLOOKUP(IF(V947&gt;0,V947,J947),[1]Grundlage!$A$20:$B$181,2,0)),CONCATENATE("_",B947))))</f>
        <v>UQ_A003_466590_N</v>
      </c>
      <c r="F947" s="152" t="s">
        <v>269</v>
      </c>
      <c r="G947" s="171">
        <f t="shared" si="187"/>
        <v>1196</v>
      </c>
      <c r="H947" s="160">
        <f t="shared" si="188"/>
        <v>91</v>
      </c>
      <c r="I947" s="152">
        <f t="shared" si="180"/>
        <v>3</v>
      </c>
      <c r="J947" s="152">
        <f t="shared" si="181"/>
        <v>6</v>
      </c>
      <c r="K947" s="152">
        <f t="shared" si="182"/>
        <v>201</v>
      </c>
      <c r="L947" s="152">
        <f t="shared" si="183"/>
        <v>19</v>
      </c>
      <c r="M947" s="152">
        <f t="shared" si="184"/>
        <v>1</v>
      </c>
      <c r="N947" s="152">
        <f t="shared" si="185"/>
        <v>1</v>
      </c>
      <c r="P947" s="172">
        <f t="shared" si="186"/>
        <v>71</v>
      </c>
      <c r="AI947" s="191"/>
      <c r="AJ947" s="189"/>
      <c r="AK947" s="187"/>
      <c r="AL947" s="187"/>
      <c r="AM947" s="187"/>
      <c r="AN947" s="187"/>
      <c r="AO947" s="187"/>
      <c r="AP947" s="189"/>
      <c r="AQ947" s="189"/>
      <c r="AR947" s="189"/>
      <c r="AS947" s="189"/>
      <c r="AT947" s="148">
        <v>3</v>
      </c>
      <c r="AU947" s="148">
        <v>6</v>
      </c>
      <c r="AV947" s="192"/>
      <c r="AW947" s="148"/>
      <c r="AX947" s="148"/>
      <c r="AY947" s="148">
        <v>1</v>
      </c>
      <c r="AZ947" s="148">
        <v>1</v>
      </c>
      <c r="BA947" s="192">
        <v>1</v>
      </c>
      <c r="BB947" s="152" t="s">
        <v>269</v>
      </c>
      <c r="BC947" s="150"/>
      <c r="BD947" s="193"/>
      <c r="BF947" s="152" t="s">
        <v>440</v>
      </c>
    </row>
    <row r="948" spans="1:58" s="152" customFormat="1" ht="14.25" x14ac:dyDescent="0.2">
      <c r="A948" s="160" t="str">
        <f t="shared" si="189"/>
        <v>A3</v>
      </c>
      <c r="B948" s="152" t="s">
        <v>656</v>
      </c>
      <c r="C948" s="160">
        <f t="shared" si="179"/>
        <v>466.59</v>
      </c>
      <c r="D948" s="160"/>
      <c r="E948" s="170" t="str">
        <f>IF(OR(A948="",B948="",C948=""),"eine der Spalten BAB, FR, km leer?",CONCATENATE(VLOOKUP(VALUE(I948),[1]Grundlage!$A$1:$B$14,2,0),IF(LEFT(A948,1)="A",IF(VALUE(MID(A948,2,10))&lt;10,"A00"&amp;VALUE(MID(A948,2,10)),IF(VALUE(MID(A948,2,10))&lt;100,"A0"&amp;VALUE(MID(A948,2,10)),IF(VALUE(MID(A948,2,10))&lt;1000,"A"&amp;VALUE(MID(A948,2,10))))),IF(LEFT(A948,1)="B",IF(VALUE(MID(A948,2,10))&lt;10,"B00"&amp;VALUE(MID(A948,2,10)),IF(VALUE(MID(A948,2,10))&lt;100,"B0"&amp;VALUE(MID(A948,2,10)),IF(VALUE(MID(A948,2,10))&lt;1000,"B"&amp;VALUE(MID(A948,2,10))))),A948)),"_",IF(NOT(OR(C948=1000,C948&gt;1000)),MID(TEXT((C948+1000)*1000,0),2,6),"keine Meter in Spalte km!!!"),IF(VALUE(I948)=1,CONCATENATE("_",VLOOKUP(IF(V948&gt;0,V948,J948),[1]Grundlage!$A$20:$B$181,2,0)),CONCATENATE("_",B948))))</f>
        <v>UQ_A003_466590_N</v>
      </c>
      <c r="F948" s="152" t="s">
        <v>270</v>
      </c>
      <c r="G948" s="171">
        <f t="shared" si="187"/>
        <v>1196</v>
      </c>
      <c r="H948" s="160">
        <f t="shared" si="188"/>
        <v>91</v>
      </c>
      <c r="I948" s="152">
        <f t="shared" si="180"/>
        <v>3</v>
      </c>
      <c r="J948" s="152">
        <f t="shared" si="181"/>
        <v>11</v>
      </c>
      <c r="K948" s="152">
        <f t="shared" si="182"/>
        <v>201</v>
      </c>
      <c r="L948" s="152">
        <f t="shared" si="183"/>
        <v>19</v>
      </c>
      <c r="M948" s="152">
        <f t="shared" si="184"/>
        <v>1</v>
      </c>
      <c r="N948" s="152">
        <f t="shared" si="185"/>
        <v>2</v>
      </c>
      <c r="P948" s="172">
        <f t="shared" si="186"/>
        <v>70</v>
      </c>
      <c r="AI948" s="191"/>
      <c r="AJ948" s="189"/>
      <c r="AK948" s="187"/>
      <c r="AL948" s="187"/>
      <c r="AM948" s="187"/>
      <c r="AN948" s="187"/>
      <c r="AO948" s="187"/>
      <c r="AP948" s="189"/>
      <c r="AQ948" s="189"/>
      <c r="AR948" s="189"/>
      <c r="AS948" s="189"/>
      <c r="AT948" s="148">
        <v>3</v>
      </c>
      <c r="AU948" s="148">
        <v>11</v>
      </c>
      <c r="AV948" s="148"/>
      <c r="AW948" s="148"/>
      <c r="AX948" s="148"/>
      <c r="AY948" s="148">
        <v>1</v>
      </c>
      <c r="AZ948" s="148">
        <v>2</v>
      </c>
      <c r="BA948" s="148">
        <v>2</v>
      </c>
      <c r="BB948" s="152" t="s">
        <v>270</v>
      </c>
      <c r="BC948" s="150"/>
      <c r="BD948" s="193"/>
      <c r="BF948" s="152" t="s">
        <v>484</v>
      </c>
    </row>
    <row r="949" spans="1:58" s="152" customFormat="1" ht="14.25" x14ac:dyDescent="0.2">
      <c r="A949" s="160" t="str">
        <f t="shared" si="189"/>
        <v>A3</v>
      </c>
      <c r="B949" s="152" t="s">
        <v>656</v>
      </c>
      <c r="C949" s="160">
        <f t="shared" si="179"/>
        <v>466.59</v>
      </c>
      <c r="D949" s="160"/>
      <c r="E949" s="170" t="str">
        <f>IF(OR(A949="",B949="",C949=""),"eine der Spalten BAB, FR, km leer?",CONCATENATE(VLOOKUP(VALUE(I949),[1]Grundlage!$A$1:$B$14,2,0),IF(LEFT(A949,1)="A",IF(VALUE(MID(A949,2,10))&lt;10,"A00"&amp;VALUE(MID(A949,2,10)),IF(VALUE(MID(A949,2,10))&lt;100,"A0"&amp;VALUE(MID(A949,2,10)),IF(VALUE(MID(A949,2,10))&lt;1000,"A"&amp;VALUE(MID(A949,2,10))))),IF(LEFT(A949,1)="B",IF(VALUE(MID(A949,2,10))&lt;10,"B00"&amp;VALUE(MID(A949,2,10)),IF(VALUE(MID(A949,2,10))&lt;100,"B0"&amp;VALUE(MID(A949,2,10)),IF(VALUE(MID(A949,2,10))&lt;1000,"B"&amp;VALUE(MID(A949,2,10))))),A949)),"_",IF(NOT(OR(C949=1000,C949&gt;1000)),MID(TEXT((C949+1000)*1000,0),2,6),"keine Meter in Spalte km!!!"),IF(VALUE(I949)=1,CONCATENATE("_",VLOOKUP(IF(V949&gt;0,V949,J949),[1]Grundlage!$A$20:$B$181,2,0)),CONCATENATE("_",B949))))</f>
        <v>UQ_A003_466590_N</v>
      </c>
      <c r="F949" s="152" t="s">
        <v>25</v>
      </c>
      <c r="G949" s="171">
        <f t="shared" si="187"/>
        <v>1196</v>
      </c>
      <c r="H949" s="160">
        <f t="shared" si="188"/>
        <v>91</v>
      </c>
      <c r="I949" s="152">
        <f t="shared" si="180"/>
        <v>3</v>
      </c>
      <c r="J949" s="152">
        <f t="shared" si="181"/>
        <v>12</v>
      </c>
      <c r="K949" s="152">
        <f t="shared" si="182"/>
        <v>201</v>
      </c>
      <c r="L949" s="152">
        <f t="shared" si="183"/>
        <v>19</v>
      </c>
      <c r="M949" s="152">
        <f t="shared" si="184"/>
        <v>1</v>
      </c>
      <c r="N949" s="152">
        <f t="shared" si="185"/>
        <v>3</v>
      </c>
      <c r="P949" s="172">
        <f t="shared" si="186"/>
        <v>48</v>
      </c>
      <c r="AI949" s="191"/>
      <c r="AJ949" s="189"/>
      <c r="AK949" s="187"/>
      <c r="AL949" s="187"/>
      <c r="AM949" s="187"/>
      <c r="AN949" s="187"/>
      <c r="AO949" s="187"/>
      <c r="AP949" s="189"/>
      <c r="AQ949" s="189"/>
      <c r="AR949" s="189"/>
      <c r="AS949" s="189"/>
      <c r="AT949" s="189">
        <v>3</v>
      </c>
      <c r="AU949" s="189">
        <v>12</v>
      </c>
      <c r="AV949" s="189"/>
      <c r="AW949" s="189"/>
      <c r="AX949" s="189"/>
      <c r="AY949" s="189">
        <v>1</v>
      </c>
      <c r="AZ949" s="189">
        <v>3</v>
      </c>
      <c r="BA949" s="189">
        <v>3</v>
      </c>
      <c r="BB949" s="152" t="s">
        <v>25</v>
      </c>
      <c r="BC949" s="150"/>
      <c r="BD949" s="193"/>
      <c r="BF949" s="152" t="s">
        <v>441</v>
      </c>
    </row>
    <row r="950" spans="1:58" s="152" customFormat="1" ht="14.25" x14ac:dyDescent="0.2">
      <c r="A950" s="160" t="str">
        <f t="shared" si="189"/>
        <v>A3</v>
      </c>
      <c r="B950" s="152" t="s">
        <v>656</v>
      </c>
      <c r="C950" s="160">
        <f t="shared" si="179"/>
        <v>466.59</v>
      </c>
      <c r="D950" s="160"/>
      <c r="E950" s="170" t="str">
        <f>IF(OR(A950="",B950="",C950=""),"eine der Spalten BAB, FR, km leer?",CONCATENATE(VLOOKUP(VALUE(I950),[1]Grundlage!$A$1:$B$14,2,0),IF(LEFT(A950,1)="A",IF(VALUE(MID(A950,2,10))&lt;10,"A00"&amp;VALUE(MID(A950,2,10)),IF(VALUE(MID(A950,2,10))&lt;100,"A0"&amp;VALUE(MID(A950,2,10)),IF(VALUE(MID(A950,2,10))&lt;1000,"A"&amp;VALUE(MID(A950,2,10))))),IF(LEFT(A950,1)="B",IF(VALUE(MID(A950,2,10))&lt;10,"B00"&amp;VALUE(MID(A950,2,10)),IF(VALUE(MID(A950,2,10))&lt;100,"B0"&amp;VALUE(MID(A950,2,10)),IF(VALUE(MID(A950,2,10))&lt;1000,"B"&amp;VALUE(MID(A950,2,10))))),A950)),"_",IF(NOT(OR(C950=1000,C950&gt;1000)),MID(TEXT((C950+1000)*1000,0),2,6),"keine Meter in Spalte km!!!"),IF(VALUE(I950)=1,CONCATENATE("_",VLOOKUP(IF(V950&gt;0,V950,J950),[1]Grundlage!$A$20:$B$181,2,0)),CONCATENATE("_",B950))))</f>
        <v>UQ_A003_466590_N</v>
      </c>
      <c r="F950" s="152" t="s">
        <v>26</v>
      </c>
      <c r="G950" s="171">
        <f t="shared" si="187"/>
        <v>1196</v>
      </c>
      <c r="H950" s="160">
        <f t="shared" si="188"/>
        <v>91</v>
      </c>
      <c r="I950" s="152">
        <f t="shared" si="180"/>
        <v>3</v>
      </c>
      <c r="J950" s="152">
        <f t="shared" si="181"/>
        <v>13</v>
      </c>
      <c r="K950" s="152">
        <f t="shared" si="182"/>
        <v>201</v>
      </c>
      <c r="L950" s="152">
        <f t="shared" si="183"/>
        <v>19</v>
      </c>
      <c r="M950" s="152">
        <f t="shared" si="184"/>
        <v>1</v>
      </c>
      <c r="N950" s="152">
        <f t="shared" si="185"/>
        <v>4</v>
      </c>
      <c r="P950" s="172">
        <f t="shared" si="186"/>
        <v>55</v>
      </c>
      <c r="AI950" s="191"/>
      <c r="AJ950" s="189"/>
      <c r="AK950" s="187"/>
      <c r="AL950" s="187"/>
      <c r="AM950" s="187"/>
      <c r="AN950" s="187"/>
      <c r="AO950" s="187"/>
      <c r="AP950" s="189"/>
      <c r="AQ950" s="189"/>
      <c r="AR950" s="189"/>
      <c r="AS950" s="189"/>
      <c r="AT950" s="189">
        <v>3</v>
      </c>
      <c r="AU950" s="189">
        <v>13</v>
      </c>
      <c r="AV950" s="189"/>
      <c r="AW950" s="189"/>
      <c r="AX950" s="189"/>
      <c r="AY950" s="189">
        <v>1</v>
      </c>
      <c r="AZ950" s="189">
        <v>4</v>
      </c>
      <c r="BA950" s="189">
        <v>4</v>
      </c>
      <c r="BB950" s="152" t="s">
        <v>26</v>
      </c>
      <c r="BC950" s="150"/>
      <c r="BD950" s="193"/>
      <c r="BF950" s="152" t="s">
        <v>581</v>
      </c>
    </row>
    <row r="951" spans="1:58" s="152" customFormat="1" ht="14.25" x14ac:dyDescent="0.2">
      <c r="A951" s="160" t="str">
        <f t="shared" si="189"/>
        <v>A3</v>
      </c>
      <c r="B951" s="152" t="s">
        <v>656</v>
      </c>
      <c r="C951" s="160">
        <f t="shared" si="179"/>
        <v>466.59</v>
      </c>
      <c r="D951" s="160"/>
      <c r="E951" s="170" t="str">
        <f>IF(OR(A951="",B951="",C951=""),"eine der Spalten BAB, FR, km leer?",CONCATENATE(VLOOKUP(VALUE(I951),[1]Grundlage!$A$1:$B$14,2,0),IF(LEFT(A951,1)="A",IF(VALUE(MID(A951,2,10))&lt;10,"A00"&amp;VALUE(MID(A951,2,10)),IF(VALUE(MID(A951,2,10))&lt;100,"A0"&amp;VALUE(MID(A951,2,10)),IF(VALUE(MID(A951,2,10))&lt;1000,"A"&amp;VALUE(MID(A951,2,10))))),IF(LEFT(A951,1)="B",IF(VALUE(MID(A951,2,10))&lt;10,"B00"&amp;VALUE(MID(A951,2,10)),IF(VALUE(MID(A951,2,10))&lt;100,"B0"&amp;VALUE(MID(A951,2,10)),IF(VALUE(MID(A951,2,10))&lt;1000,"B"&amp;VALUE(MID(A951,2,10))))),A951)),"_",IF(NOT(OR(C951=1000,C951&gt;1000)),MID(TEXT((C951+1000)*1000,0),2,6),"keine Meter in Spalte km!!!"),IF(VALUE(I951)=1,CONCATENATE("_",VLOOKUP(IF(V951&gt;0,V951,J951),[1]Grundlage!$A$20:$B$181,2,0)),CONCATENATE("_",B951))))</f>
        <v>UQ_A003_466590_N</v>
      </c>
      <c r="F951" s="152" t="s">
        <v>27</v>
      </c>
      <c r="G951" s="171">
        <f t="shared" si="187"/>
        <v>1196</v>
      </c>
      <c r="H951" s="160">
        <f t="shared" si="188"/>
        <v>91</v>
      </c>
      <c r="I951" s="152">
        <f t="shared" si="180"/>
        <v>3</v>
      </c>
      <c r="J951" s="152">
        <f t="shared" si="181"/>
        <v>14</v>
      </c>
      <c r="K951" s="152">
        <f t="shared" si="182"/>
        <v>201</v>
      </c>
      <c r="L951" s="152">
        <f t="shared" si="183"/>
        <v>19</v>
      </c>
      <c r="M951" s="152">
        <f t="shared" si="184"/>
        <v>1</v>
      </c>
      <c r="N951" s="152">
        <f t="shared" si="185"/>
        <v>5</v>
      </c>
      <c r="P951" s="172">
        <f t="shared" si="186"/>
        <v>66</v>
      </c>
      <c r="AI951" s="191"/>
      <c r="AJ951" s="189"/>
      <c r="AK951" s="187"/>
      <c r="AL951" s="187"/>
      <c r="AM951" s="187"/>
      <c r="AN951" s="187"/>
      <c r="AO951" s="187"/>
      <c r="AP951" s="189"/>
      <c r="AQ951" s="189"/>
      <c r="AR951" s="189"/>
      <c r="AS951" s="189"/>
      <c r="AT951" s="189">
        <v>3</v>
      </c>
      <c r="AU951" s="189">
        <v>14</v>
      </c>
      <c r="AV951" s="189"/>
      <c r="AW951" s="189"/>
      <c r="AX951" s="189"/>
      <c r="AY951" s="189">
        <v>1</v>
      </c>
      <c r="AZ951" s="189">
        <v>5</v>
      </c>
      <c r="BA951" s="189">
        <v>5</v>
      </c>
      <c r="BB951" s="152" t="s">
        <v>27</v>
      </c>
      <c r="BC951" s="150"/>
      <c r="BD951" s="193"/>
      <c r="BF951" s="152" t="s">
        <v>443</v>
      </c>
    </row>
    <row r="952" spans="1:58" s="152" customFormat="1" ht="14.25" x14ac:dyDescent="0.2">
      <c r="A952" s="160" t="str">
        <f t="shared" si="189"/>
        <v>A3</v>
      </c>
      <c r="B952" s="152" t="s">
        <v>656</v>
      </c>
      <c r="C952" s="160">
        <f t="shared" si="179"/>
        <v>466.59</v>
      </c>
      <c r="D952" s="160"/>
      <c r="E952" s="170" t="str">
        <f>IF(OR(A952="",B952="",C952=""),"eine der Spalten BAB, FR, km leer?",CONCATENATE(VLOOKUP(VALUE(I952),[1]Grundlage!$A$1:$B$14,2,0),IF(LEFT(A952,1)="A",IF(VALUE(MID(A952,2,10))&lt;10,"A00"&amp;VALUE(MID(A952,2,10)),IF(VALUE(MID(A952,2,10))&lt;100,"A0"&amp;VALUE(MID(A952,2,10)),IF(VALUE(MID(A952,2,10))&lt;1000,"A"&amp;VALUE(MID(A952,2,10))))),IF(LEFT(A952,1)="B",IF(VALUE(MID(A952,2,10))&lt;10,"B00"&amp;VALUE(MID(A952,2,10)),IF(VALUE(MID(A952,2,10))&lt;100,"B0"&amp;VALUE(MID(A952,2,10)),IF(VALUE(MID(A952,2,10))&lt;1000,"B"&amp;VALUE(MID(A952,2,10))))),A952)),"_",IF(NOT(OR(C952=1000,C952&gt;1000)),MID(TEXT((C952+1000)*1000,0),2,6),"keine Meter in Spalte km!!!"),IF(VALUE(I952)=1,CONCATENATE("_",VLOOKUP(IF(V952&gt;0,V952,J952),[1]Grundlage!$A$20:$B$181,2,0)),CONCATENATE("_",B952))))</f>
        <v>UQ_A003_466590_N</v>
      </c>
      <c r="F952" s="152" t="s">
        <v>28</v>
      </c>
      <c r="G952" s="171">
        <f t="shared" si="187"/>
        <v>1196</v>
      </c>
      <c r="H952" s="160">
        <f t="shared" si="188"/>
        <v>91</v>
      </c>
      <c r="I952" s="152">
        <f t="shared" si="180"/>
        <v>3</v>
      </c>
      <c r="J952" s="152">
        <f t="shared" si="181"/>
        <v>15</v>
      </c>
      <c r="K952" s="152">
        <f t="shared" si="182"/>
        <v>201</v>
      </c>
      <c r="L952" s="152">
        <f t="shared" si="183"/>
        <v>19</v>
      </c>
      <c r="M952" s="152">
        <f t="shared" si="184"/>
        <v>1</v>
      </c>
      <c r="N952" s="152">
        <f t="shared" si="185"/>
        <v>6</v>
      </c>
      <c r="P952" s="172">
        <f t="shared" si="186"/>
        <v>65</v>
      </c>
      <c r="AI952" s="191"/>
      <c r="AJ952" s="189"/>
      <c r="AK952" s="187"/>
      <c r="AL952" s="187"/>
      <c r="AM952" s="187"/>
      <c r="AN952" s="187"/>
      <c r="AO952" s="187"/>
      <c r="AP952" s="189"/>
      <c r="AQ952" s="189"/>
      <c r="AR952" s="189"/>
      <c r="AS952" s="189"/>
      <c r="AT952" s="189">
        <v>3</v>
      </c>
      <c r="AU952" s="189">
        <v>15</v>
      </c>
      <c r="AV952" s="189"/>
      <c r="AW952" s="189"/>
      <c r="AX952" s="189"/>
      <c r="AY952" s="189">
        <v>1</v>
      </c>
      <c r="AZ952" s="189">
        <v>6</v>
      </c>
      <c r="BA952" s="189">
        <v>6</v>
      </c>
      <c r="BB952" s="152" t="s">
        <v>28</v>
      </c>
      <c r="BC952" s="150"/>
      <c r="BD952" s="193"/>
      <c r="BF952" s="152" t="s">
        <v>485</v>
      </c>
    </row>
    <row r="953" spans="1:58" s="152" customFormat="1" ht="14.25" x14ac:dyDescent="0.2">
      <c r="A953" s="160" t="str">
        <f t="shared" si="189"/>
        <v>A3</v>
      </c>
      <c r="B953" s="152" t="s">
        <v>656</v>
      </c>
      <c r="C953" s="160">
        <f t="shared" si="179"/>
        <v>466.59</v>
      </c>
      <c r="D953" s="160"/>
      <c r="E953" s="170" t="str">
        <f>IF(OR(A953="",B953="",C953=""),"eine der Spalten BAB, FR, km leer?",CONCATENATE(VLOOKUP(VALUE(I953),[1]Grundlage!$A$1:$B$14,2,0),IF(LEFT(A953,1)="A",IF(VALUE(MID(A953,2,10))&lt;10,"A00"&amp;VALUE(MID(A953,2,10)),IF(VALUE(MID(A953,2,10))&lt;100,"A0"&amp;VALUE(MID(A953,2,10)),IF(VALUE(MID(A953,2,10))&lt;1000,"A"&amp;VALUE(MID(A953,2,10))))),IF(LEFT(A953,1)="B",IF(VALUE(MID(A953,2,10))&lt;10,"B00"&amp;VALUE(MID(A953,2,10)),IF(VALUE(MID(A953,2,10))&lt;100,"B0"&amp;VALUE(MID(A953,2,10)),IF(VALUE(MID(A953,2,10))&lt;1000,"B"&amp;VALUE(MID(A953,2,10))))),A953)),"_",IF(NOT(OR(C953=1000,C953&gt;1000)),MID(TEXT((C953+1000)*1000,0),2,6),"keine Meter in Spalte km!!!"),IF(VALUE(I953)=1,CONCATENATE("_",VLOOKUP(IF(V953&gt;0,V953,J953),[1]Grundlage!$A$20:$B$181,2,0)),CONCATENATE("_",B953))))</f>
        <v>UQ_A003_466590_N</v>
      </c>
      <c r="F953" s="152" t="s">
        <v>29</v>
      </c>
      <c r="G953" s="171">
        <f t="shared" si="187"/>
        <v>1196</v>
      </c>
      <c r="H953" s="160">
        <f t="shared" si="188"/>
        <v>91</v>
      </c>
      <c r="I953" s="152">
        <f t="shared" si="180"/>
        <v>3</v>
      </c>
      <c r="J953" s="152">
        <f t="shared" si="181"/>
        <v>19</v>
      </c>
      <c r="K953" s="152">
        <f t="shared" si="182"/>
        <v>201</v>
      </c>
      <c r="L953" s="152">
        <f t="shared" si="183"/>
        <v>19</v>
      </c>
      <c r="M953" s="152">
        <f t="shared" si="184"/>
        <v>1</v>
      </c>
      <c r="N953" s="152">
        <f t="shared" si="185"/>
        <v>7</v>
      </c>
      <c r="P953" s="172">
        <f t="shared" si="186"/>
        <v>49</v>
      </c>
      <c r="AI953" s="191"/>
      <c r="AJ953" s="189"/>
      <c r="AK953" s="187"/>
      <c r="AL953" s="187"/>
      <c r="AM953" s="187"/>
      <c r="AN953" s="187"/>
      <c r="AO953" s="187"/>
      <c r="AP953" s="189"/>
      <c r="AQ953" s="189"/>
      <c r="AR953" s="189"/>
      <c r="AS953" s="189"/>
      <c r="AT953" s="189">
        <v>3</v>
      </c>
      <c r="AU953" s="189">
        <v>19</v>
      </c>
      <c r="AV953" s="189"/>
      <c r="AW953" s="189"/>
      <c r="AX953" s="189"/>
      <c r="AY953" s="189">
        <v>1</v>
      </c>
      <c r="AZ953" s="189">
        <v>7</v>
      </c>
      <c r="BA953" s="189">
        <v>7</v>
      </c>
      <c r="BB953" s="152" t="s">
        <v>29</v>
      </c>
      <c r="BC953" s="150"/>
      <c r="BD953" s="193"/>
      <c r="BF953" s="152" t="s">
        <v>486</v>
      </c>
    </row>
    <row r="954" spans="1:58" s="152" customFormat="1" ht="14.25" x14ac:dyDescent="0.2">
      <c r="A954" s="160" t="str">
        <f t="shared" si="189"/>
        <v>A3</v>
      </c>
      <c r="B954" s="152" t="s">
        <v>656</v>
      </c>
      <c r="C954" s="160">
        <f t="shared" si="179"/>
        <v>466.59</v>
      </c>
      <c r="D954" s="160"/>
      <c r="E954" s="170" t="str">
        <f>IF(OR(A954="",B954="",C954=""),"eine der Spalten BAB, FR, km leer?",CONCATENATE(VLOOKUP(VALUE(I954),[1]Grundlage!$A$1:$B$14,2,0),IF(LEFT(A954,1)="A",IF(VALUE(MID(A954,2,10))&lt;10,"A00"&amp;VALUE(MID(A954,2,10)),IF(VALUE(MID(A954,2,10))&lt;100,"A0"&amp;VALUE(MID(A954,2,10)),IF(VALUE(MID(A954,2,10))&lt;1000,"A"&amp;VALUE(MID(A954,2,10))))),IF(LEFT(A954,1)="B",IF(VALUE(MID(A954,2,10))&lt;10,"B00"&amp;VALUE(MID(A954,2,10)),IF(VALUE(MID(A954,2,10))&lt;100,"B0"&amp;VALUE(MID(A954,2,10)),IF(VALUE(MID(A954,2,10))&lt;1000,"B"&amp;VALUE(MID(A954,2,10))))),A954)),"_",IF(NOT(OR(C954=1000,C954&gt;1000)),MID(TEXT((C954+1000)*1000,0),2,6),"keine Meter in Spalte km!!!"),IF(VALUE(I954)=1,CONCATENATE("_",VLOOKUP(IF(V954&gt;0,V954,J954),[1]Grundlage!$A$20:$B$181,2,0)),CONCATENATE("_",B954))))</f>
        <v>UQ_A003_466590_N</v>
      </c>
      <c r="F954" s="152" t="s">
        <v>30</v>
      </c>
      <c r="G954" s="171">
        <f t="shared" si="187"/>
        <v>1196</v>
      </c>
      <c r="H954" s="160">
        <f t="shared" si="188"/>
        <v>91</v>
      </c>
      <c r="I954" s="152">
        <f t="shared" si="180"/>
        <v>3</v>
      </c>
      <c r="J954" s="152">
        <f t="shared" si="181"/>
        <v>21</v>
      </c>
      <c r="K954" s="152">
        <f t="shared" si="182"/>
        <v>201</v>
      </c>
      <c r="L954" s="152">
        <f t="shared" si="183"/>
        <v>19</v>
      </c>
      <c r="M954" s="152">
        <f t="shared" si="184"/>
        <v>1</v>
      </c>
      <c r="N954" s="152">
        <f t="shared" si="185"/>
        <v>8</v>
      </c>
      <c r="P954" s="172">
        <f t="shared" si="186"/>
        <v>67</v>
      </c>
      <c r="AI954" s="191"/>
      <c r="AJ954" s="189"/>
      <c r="AK954" s="187"/>
      <c r="AL954" s="187"/>
      <c r="AM954" s="187"/>
      <c r="AN954" s="187"/>
      <c r="AO954" s="187"/>
      <c r="AP954" s="189"/>
      <c r="AQ954" s="189"/>
      <c r="AR954" s="189"/>
      <c r="AS954" s="189"/>
      <c r="AT954" s="189">
        <v>3</v>
      </c>
      <c r="AU954" s="189">
        <v>21</v>
      </c>
      <c r="AV954" s="189"/>
      <c r="AW954" s="189"/>
      <c r="AX954" s="189"/>
      <c r="AY954" s="189">
        <v>1</v>
      </c>
      <c r="AZ954" s="189">
        <v>8</v>
      </c>
      <c r="BA954" s="189">
        <v>8</v>
      </c>
      <c r="BB954" s="152" t="s">
        <v>30</v>
      </c>
      <c r="BC954" s="150"/>
      <c r="BD954" s="193"/>
      <c r="BF954" s="152" t="s">
        <v>487</v>
      </c>
    </row>
    <row r="955" spans="1:58" s="152" customFormat="1" ht="14.25" x14ac:dyDescent="0.2">
      <c r="A955" s="160" t="str">
        <f t="shared" si="189"/>
        <v>A3</v>
      </c>
      <c r="B955" s="152" t="s">
        <v>656</v>
      </c>
      <c r="C955" s="160">
        <f t="shared" si="179"/>
        <v>466.59</v>
      </c>
      <c r="D955" s="160"/>
      <c r="E955" s="170" t="str">
        <f>IF(OR(A955="",B955="",C955=""),"eine der Spalten BAB, FR, km leer?",CONCATENATE(VLOOKUP(VALUE(I955),[1]Grundlage!$A$1:$B$14,2,0),IF(LEFT(A955,1)="A",IF(VALUE(MID(A955,2,10))&lt;10,"A00"&amp;VALUE(MID(A955,2,10)),IF(VALUE(MID(A955,2,10))&lt;100,"A0"&amp;VALUE(MID(A955,2,10)),IF(VALUE(MID(A955,2,10))&lt;1000,"A"&amp;VALUE(MID(A955,2,10))))),IF(LEFT(A955,1)="B",IF(VALUE(MID(A955,2,10))&lt;10,"B00"&amp;VALUE(MID(A955,2,10)),IF(VALUE(MID(A955,2,10))&lt;100,"B0"&amp;VALUE(MID(A955,2,10)),IF(VALUE(MID(A955,2,10))&lt;1000,"B"&amp;VALUE(MID(A955,2,10))))),A955)),"_",IF(NOT(OR(C955=1000,C955&gt;1000)),MID(TEXT((C955+1000)*1000,0),2,6),"keine Meter in Spalte km!!!"),IF(VALUE(I955)=1,CONCATENATE("_",VLOOKUP(IF(V955&gt;0,V955,J955),[1]Grundlage!$A$20:$B$181,2,0)),CONCATENATE("_",B955))))</f>
        <v>UQ_A003_466590_N</v>
      </c>
      <c r="F955" s="152" t="s">
        <v>301</v>
      </c>
      <c r="G955" s="171">
        <f t="shared" si="187"/>
        <v>1196</v>
      </c>
      <c r="H955" s="160">
        <f t="shared" si="188"/>
        <v>91</v>
      </c>
      <c r="I955" s="152">
        <f t="shared" si="180"/>
        <v>3</v>
      </c>
      <c r="J955" s="152">
        <f t="shared" si="181"/>
        <v>27</v>
      </c>
      <c r="K955" s="152">
        <f t="shared" si="182"/>
        <v>201</v>
      </c>
      <c r="L955" s="152">
        <f t="shared" si="183"/>
        <v>19</v>
      </c>
      <c r="M955" s="152">
        <f t="shared" si="184"/>
        <v>1</v>
      </c>
      <c r="N955" s="152">
        <f t="shared" si="185"/>
        <v>9</v>
      </c>
      <c r="P955" s="172">
        <f t="shared" si="186"/>
        <v>69</v>
      </c>
      <c r="AI955" s="191"/>
      <c r="AJ955" s="189"/>
      <c r="AK955" s="187"/>
      <c r="AL955" s="187"/>
      <c r="AM955" s="187"/>
      <c r="AN955" s="187"/>
      <c r="AO955" s="187"/>
      <c r="AP955" s="189"/>
      <c r="AQ955" s="189"/>
      <c r="AR955" s="189"/>
      <c r="AS955" s="189"/>
      <c r="AT955" s="194">
        <v>3</v>
      </c>
      <c r="AU955" s="194">
        <v>27</v>
      </c>
      <c r="AV955" s="194"/>
      <c r="AW955" s="194"/>
      <c r="AX955" s="194"/>
      <c r="AY955" s="194">
        <v>1</v>
      </c>
      <c r="AZ955" s="194">
        <v>9</v>
      </c>
      <c r="BA955" s="189">
        <v>9</v>
      </c>
      <c r="BB955" s="195" t="s">
        <v>301</v>
      </c>
      <c r="BC955" s="150"/>
      <c r="BD955" s="193"/>
      <c r="BF955" s="152" t="s">
        <v>562</v>
      </c>
    </row>
    <row r="956" spans="1:58" s="152" customFormat="1" ht="14.25" x14ac:dyDescent="0.2">
      <c r="A956" s="160" t="str">
        <f t="shared" si="189"/>
        <v>A3</v>
      </c>
      <c r="B956" s="152" t="s">
        <v>656</v>
      </c>
      <c r="C956" s="160">
        <f t="shared" si="179"/>
        <v>466.59</v>
      </c>
      <c r="D956" s="160"/>
      <c r="E956" s="170" t="str">
        <f>IF(OR(A956="",B956="",C956=""),"eine der Spalten BAB, FR, km leer?",CONCATENATE(VLOOKUP(VALUE(I956),[1]Grundlage!$A$1:$B$14,2,0),IF(LEFT(A956,1)="A",IF(VALUE(MID(A956,2,10))&lt;10,"A00"&amp;VALUE(MID(A956,2,10)),IF(VALUE(MID(A956,2,10))&lt;100,"A0"&amp;VALUE(MID(A956,2,10)),IF(VALUE(MID(A956,2,10))&lt;1000,"A"&amp;VALUE(MID(A956,2,10))))),IF(LEFT(A956,1)="B",IF(VALUE(MID(A956,2,10))&lt;10,"B00"&amp;VALUE(MID(A956,2,10)),IF(VALUE(MID(A956,2,10))&lt;100,"B0"&amp;VALUE(MID(A956,2,10)),IF(VALUE(MID(A956,2,10))&lt;1000,"B"&amp;VALUE(MID(A956,2,10))))),A956)),"_",IF(NOT(OR(C956=1000,C956&gt;1000)),MID(TEXT((C956+1000)*1000,0),2,6),"keine Meter in Spalte km!!!"),IF(VALUE(I956)=1,CONCATENATE("_",VLOOKUP(IF(V956&gt;0,V956,J956),[1]Grundlage!$A$20:$B$181,2,0)),CONCATENATE("_",B956))))</f>
        <v>UQ_A003_466590_N</v>
      </c>
      <c r="F956" s="152" t="s">
        <v>271</v>
      </c>
      <c r="G956" s="171">
        <f t="shared" si="187"/>
        <v>1196</v>
      </c>
      <c r="H956" s="160">
        <f t="shared" si="188"/>
        <v>91</v>
      </c>
      <c r="I956" s="152">
        <f t="shared" si="180"/>
        <v>3</v>
      </c>
      <c r="J956" s="152">
        <f t="shared" si="181"/>
        <v>67</v>
      </c>
      <c r="K956" s="152">
        <f t="shared" si="182"/>
        <v>201</v>
      </c>
      <c r="L956" s="152">
        <f t="shared" si="183"/>
        <v>19</v>
      </c>
      <c r="M956" s="152">
        <f t="shared" si="184"/>
        <v>1</v>
      </c>
      <c r="N956" s="152">
        <f t="shared" si="185"/>
        <v>10</v>
      </c>
      <c r="P956" s="172">
        <f t="shared" si="186"/>
        <v>53</v>
      </c>
      <c r="AI956" s="191"/>
      <c r="AJ956" s="189"/>
      <c r="AK956" s="187"/>
      <c r="AL956" s="187"/>
      <c r="AM956" s="187"/>
      <c r="AN956" s="187"/>
      <c r="AO956" s="187"/>
      <c r="AP956" s="189"/>
      <c r="AQ956" s="189"/>
      <c r="AR956" s="189"/>
      <c r="AS956" s="189"/>
      <c r="AT956" s="148">
        <v>3</v>
      </c>
      <c r="AU956" s="189">
        <v>67</v>
      </c>
      <c r="AV956" s="189"/>
      <c r="AY956" s="148">
        <v>1</v>
      </c>
      <c r="AZ956" s="189">
        <v>10</v>
      </c>
      <c r="BA956" s="187" t="s">
        <v>95</v>
      </c>
      <c r="BB956" s="152" t="s">
        <v>271</v>
      </c>
      <c r="BC956" s="150"/>
      <c r="BD956" s="193"/>
      <c r="BF956" s="152" t="s">
        <v>444</v>
      </c>
    </row>
    <row r="957" spans="1:58" s="152" customFormat="1" ht="14.25" x14ac:dyDescent="0.2">
      <c r="A957" s="160" t="str">
        <f t="shared" si="189"/>
        <v>A3</v>
      </c>
      <c r="B957" s="152" t="s">
        <v>656</v>
      </c>
      <c r="C957" s="160">
        <f t="shared" si="179"/>
        <v>466.59</v>
      </c>
      <c r="D957" s="160"/>
      <c r="E957" s="170" t="str">
        <f>IF(OR(A957="",B957="",C957=""),"eine der Spalten BAB, FR, km leer?",CONCATENATE(VLOOKUP(VALUE(I957),[1]Grundlage!$A$1:$B$14,2,0),IF(LEFT(A957,1)="A",IF(VALUE(MID(A957,2,10))&lt;10,"A00"&amp;VALUE(MID(A957,2,10)),IF(VALUE(MID(A957,2,10))&lt;100,"A0"&amp;VALUE(MID(A957,2,10)),IF(VALUE(MID(A957,2,10))&lt;1000,"A"&amp;VALUE(MID(A957,2,10))))),IF(LEFT(A957,1)="B",IF(VALUE(MID(A957,2,10))&lt;10,"B00"&amp;VALUE(MID(A957,2,10)),IF(VALUE(MID(A957,2,10))&lt;100,"B0"&amp;VALUE(MID(A957,2,10)),IF(VALUE(MID(A957,2,10))&lt;1000,"B"&amp;VALUE(MID(A957,2,10))))),A957)),"_",IF(NOT(OR(C957=1000,C957&gt;1000)),MID(TEXT((C957+1000)*1000,0),2,6),"keine Meter in Spalte km!!!"),IF(VALUE(I957)=1,CONCATENATE("_",VLOOKUP(IF(V957&gt;0,V957,J957),[1]Grundlage!$A$20:$B$181,2,0)),CONCATENATE("_",B957))))</f>
        <v>UQ_A003_466590_N</v>
      </c>
      <c r="F957" s="152" t="s">
        <v>272</v>
      </c>
      <c r="G957" s="171">
        <f t="shared" si="187"/>
        <v>1196</v>
      </c>
      <c r="H957" s="160">
        <f t="shared" si="188"/>
        <v>91</v>
      </c>
      <c r="I957" s="152">
        <f t="shared" si="180"/>
        <v>3</v>
      </c>
      <c r="J957" s="152">
        <f t="shared" si="181"/>
        <v>82</v>
      </c>
      <c r="K957" s="152">
        <f t="shared" si="182"/>
        <v>201</v>
      </c>
      <c r="L957" s="152">
        <f t="shared" si="183"/>
        <v>19</v>
      </c>
      <c r="M957" s="152">
        <f t="shared" si="184"/>
        <v>1</v>
      </c>
      <c r="N957" s="152">
        <f t="shared" si="185"/>
        <v>11</v>
      </c>
      <c r="P957" s="172">
        <f t="shared" si="186"/>
        <v>72</v>
      </c>
      <c r="AI957" s="191"/>
      <c r="AJ957" s="189"/>
      <c r="AK957" s="187"/>
      <c r="AL957" s="187"/>
      <c r="AM957" s="187"/>
      <c r="AN957" s="187"/>
      <c r="AO957" s="187"/>
      <c r="AP957" s="189"/>
      <c r="AQ957" s="189"/>
      <c r="AR957" s="189"/>
      <c r="AS957" s="189"/>
      <c r="AT957" s="148">
        <v>3</v>
      </c>
      <c r="AU957" s="189">
        <v>82</v>
      </c>
      <c r="AV957" s="189"/>
      <c r="AY957" s="148">
        <v>1</v>
      </c>
      <c r="AZ957" s="189">
        <v>11</v>
      </c>
      <c r="BA957" s="187" t="s">
        <v>78</v>
      </c>
      <c r="BB957" s="152" t="s">
        <v>272</v>
      </c>
      <c r="BC957" s="150"/>
      <c r="BD957" s="193"/>
      <c r="BF957" s="152" t="s">
        <v>488</v>
      </c>
    </row>
    <row r="958" spans="1:58" ht="15" thickBot="1" x14ac:dyDescent="0.25">
      <c r="A958" t="str">
        <f t="shared" si="189"/>
        <v>A3</v>
      </c>
      <c r="C958">
        <f t="shared" si="179"/>
        <v>466.59</v>
      </c>
      <c r="D958" t="str">
        <f t="shared" ref="D958:D987" si="190">IF(AJ958="SST","SS",IF(AND(AJ958="",ISTEXT(BF958)),"UFD",""))</f>
        <v/>
      </c>
      <c r="E958" s="169" t="str">
        <f>IF(OR(A958="",B958="",C958=""),"",CONCATENATE(VLOOKUP(VALUE(I958),[1]Grundlage!$A$1:$B$14,2,0),IF(LEFT(A958,1)="A",IF(VALUE(MID(A958,2,10))&lt;10,"A00"&amp;VALUE(MID(A958,2,10)),IF(VALUE(MID(A958,2,10))&lt;100,"A0"&amp;VALUE(MID(A958,2,10)),IF(VALUE(MID(A958,2,10))&lt;1000,"A"&amp;VALUE(MID(A958,2,10))))),IF(LEFT(A958,1)="B",IF(VALUE(MID(A958,2,10))&lt;10,"B00"&amp;VALUE(MID(A958,2,10)),IF(VALUE(MID(A958,2,10))&lt;100,"B0"&amp;VALUE(MID(A958,2,10)),IF(VALUE(MID(A958,2,10))&lt;1000,"B"&amp;VALUE(MID(A958,2,10))))),A958)),"_",IF(NOT(OR(C958=1000,C958&gt;1000)),MID(TEXT((C958+1000)*1000,0),2,6),"keine Meter in Spalte km!!!"),IF(VALUE(I958)=1,CONCATENATE("_",VLOOKUP(IF(V958&gt;0,V958,J958),[1]Grundlage!$A$20:$B$181,2,0)),CONCATENATE("_",B958))))</f>
        <v/>
      </c>
      <c r="F958" s="2" t="s">
        <v>669</v>
      </c>
      <c r="G958" s="167">
        <f t="shared" si="187"/>
        <v>1196</v>
      </c>
      <c r="H958">
        <f t="shared" si="188"/>
        <v>91</v>
      </c>
      <c r="I958" s="2">
        <f t="shared" si="180"/>
        <v>0</v>
      </c>
      <c r="J958" s="2">
        <f t="shared" si="181"/>
        <v>0</v>
      </c>
      <c r="K958" s="2">
        <f t="shared" si="182"/>
        <v>201</v>
      </c>
      <c r="L958" s="2">
        <f t="shared" si="183"/>
        <v>19</v>
      </c>
      <c r="M958" s="2" t="str">
        <f t="shared" si="184"/>
        <v/>
      </c>
      <c r="N958" s="2" t="str">
        <f t="shared" si="185"/>
        <v/>
      </c>
      <c r="P958" s="168" t="str">
        <f t="shared" si="186"/>
        <v/>
      </c>
      <c r="AT958" s="19"/>
      <c r="AU958" s="14"/>
      <c r="AV958" s="14"/>
      <c r="AY958" s="1"/>
      <c r="AZ958" s="14"/>
      <c r="BB958" s="13"/>
    </row>
    <row r="959" spans="1:58" ht="15.75" thickTop="1" thickBot="1" x14ac:dyDescent="0.25">
      <c r="A959" t="str">
        <f t="shared" si="189"/>
        <v>Pankofen</v>
      </c>
      <c r="C959">
        <f t="shared" si="179"/>
        <v>466.59</v>
      </c>
      <c r="D959" t="str">
        <f t="shared" si="190"/>
        <v/>
      </c>
      <c r="E959" s="169" t="str">
        <f>IF(OR(A959="",B959="",C959=""),"",CONCATENATE(VLOOKUP(VALUE(I959),[1]Grundlage!$A$1:$B$14,2,0),IF(LEFT(A959,1)="A",IF(VALUE(MID(A959,2,10))&lt;10,"A00"&amp;VALUE(MID(A959,2,10)),IF(VALUE(MID(A959,2,10))&lt;100,"A0"&amp;VALUE(MID(A959,2,10)),IF(VALUE(MID(A959,2,10))&lt;1000,"A"&amp;VALUE(MID(A959,2,10))))),IF(LEFT(A959,1)="B",IF(VALUE(MID(A959,2,10))&lt;10,"B00"&amp;VALUE(MID(A959,2,10)),IF(VALUE(MID(A959,2,10))&lt;100,"B0"&amp;VALUE(MID(A959,2,10)),IF(VALUE(MID(A959,2,10))&lt;1000,"B"&amp;VALUE(MID(A959,2,10))))),A959)),"_",IF(NOT(OR(C959=1000,C959&gt;1000)),MID(TEXT((C959+1000)*1000,0),2,6),"keine Meter in Spalte km!!!"),IF(VALUE(I959)=1,CONCATENATE("_",VLOOKUP(IF(V959&gt;0,V959,J959),[1]Grundlage!$A$20:$B$181,2,0)),CONCATENATE("_",B959))))</f>
        <v/>
      </c>
      <c r="F959" s="2" t="s">
        <v>669</v>
      </c>
      <c r="G959" s="167">
        <f t="shared" si="187"/>
        <v>1196</v>
      </c>
      <c r="H959">
        <f t="shared" si="188"/>
        <v>91</v>
      </c>
      <c r="I959" s="2">
        <f t="shared" si="180"/>
        <v>0</v>
      </c>
      <c r="J959" s="2">
        <f t="shared" si="181"/>
        <v>0</v>
      </c>
      <c r="K959" s="2">
        <f t="shared" si="182"/>
        <v>201</v>
      </c>
      <c r="L959" s="2">
        <f t="shared" si="183"/>
        <v>19</v>
      </c>
      <c r="M959" s="2" t="str">
        <f t="shared" si="184"/>
        <v/>
      </c>
      <c r="N959" s="2" t="str">
        <f t="shared" si="185"/>
        <v/>
      </c>
      <c r="P959" s="168" t="str">
        <f t="shared" si="186"/>
        <v/>
      </c>
      <c r="AI959" s="48"/>
      <c r="AJ959" s="49" t="s">
        <v>17</v>
      </c>
      <c r="AK959" s="49" t="s">
        <v>66</v>
      </c>
      <c r="AL959" s="49"/>
      <c r="AM959" s="49"/>
      <c r="AN959" s="49"/>
      <c r="AO959" s="49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1"/>
      <c r="BD959" s="51"/>
      <c r="BE959" s="50"/>
    </row>
    <row r="960" spans="1:58" ht="15" thickTop="1" x14ac:dyDescent="0.2">
      <c r="A960" t="str">
        <f t="shared" si="189"/>
        <v>Pankofen</v>
      </c>
      <c r="C960">
        <f t="shared" si="179"/>
        <v>466.59</v>
      </c>
      <c r="D960" t="str">
        <f t="shared" si="190"/>
        <v/>
      </c>
      <c r="E960" s="169" t="str">
        <f>IF(OR(A960="",B960="",C960=""),"",CONCATENATE(VLOOKUP(VALUE(I960),[1]Grundlage!$A$1:$B$14,2,0),IF(LEFT(A960,1)="A",IF(VALUE(MID(A960,2,10))&lt;10,"A00"&amp;VALUE(MID(A960,2,10)),IF(VALUE(MID(A960,2,10))&lt;100,"A0"&amp;VALUE(MID(A960,2,10)),IF(VALUE(MID(A960,2,10))&lt;1000,"A"&amp;VALUE(MID(A960,2,10))))),IF(LEFT(A960,1)="B",IF(VALUE(MID(A960,2,10))&lt;10,"B00"&amp;VALUE(MID(A960,2,10)),IF(VALUE(MID(A960,2,10))&lt;100,"B0"&amp;VALUE(MID(A960,2,10)),IF(VALUE(MID(A960,2,10))&lt;1000,"B"&amp;VALUE(MID(A960,2,10))))),A960)),"_",IF(NOT(OR(C960=1000,C960&gt;1000)),MID(TEXT((C960+1000)*1000,0),2,6),"keine Meter in Spalte km!!!"),IF(VALUE(I960)=1,CONCATENATE("_",VLOOKUP(IF(V960&gt;0,V960,J960),[1]Grundlage!$A$20:$B$181,2,0)),CONCATENATE("_",B960))))</f>
        <v/>
      </c>
      <c r="F960" s="2" t="s">
        <v>669</v>
      </c>
      <c r="G960" s="167">
        <f t="shared" si="187"/>
        <v>1196</v>
      </c>
      <c r="H960">
        <f t="shared" si="188"/>
        <v>91</v>
      </c>
      <c r="I960" s="2">
        <f t="shared" si="180"/>
        <v>0</v>
      </c>
      <c r="J960" s="2">
        <f t="shared" si="181"/>
        <v>0</v>
      </c>
      <c r="K960" s="2">
        <f t="shared" si="182"/>
        <v>201</v>
      </c>
      <c r="L960" s="2">
        <f t="shared" si="183"/>
        <v>19</v>
      </c>
      <c r="M960" s="2" t="str">
        <f t="shared" si="184"/>
        <v/>
      </c>
      <c r="N960" s="2" t="str">
        <f t="shared" si="185"/>
        <v/>
      </c>
      <c r="P960" s="168" t="str">
        <f t="shared" si="186"/>
        <v/>
      </c>
    </row>
    <row r="961" spans="1:58" ht="14.25" x14ac:dyDescent="0.2">
      <c r="A961" t="str">
        <f t="shared" si="189"/>
        <v>A3</v>
      </c>
      <c r="B961" s="2" t="s">
        <v>656</v>
      </c>
      <c r="C961">
        <f t="shared" si="179"/>
        <v>596.25</v>
      </c>
      <c r="D961" t="str">
        <f t="shared" si="190"/>
        <v>SS</v>
      </c>
      <c r="E961" s="169" t="str">
        <f>IF(OR(A961="",B961="",C961=""),"eine der Spalten BAB, FR, km leer?",CONCATENATE(VLOOKUP(VALUE(I961),[1]Grundlage!$A$1:$B$14,2,0),IF(LEFT(A961,1)="A",IF(VALUE(MID(A961,2,10))&lt;10,"A00"&amp;VALUE(MID(A961,2,10)),IF(VALUE(MID(A961,2,10))&lt;100,"A0"&amp;VALUE(MID(A961,2,10)),IF(VALUE(MID(A961,2,10))&lt;1000,"A"&amp;VALUE(MID(A961,2,10))))),IF(LEFT(A961,1)="B",IF(VALUE(MID(A961,2,10))&lt;10,"B00"&amp;VALUE(MID(A961,2,10)),IF(VALUE(MID(A961,2,10))&lt;100,"B0"&amp;VALUE(MID(A961,2,10)),IF(VALUE(MID(A961,2,10))&lt;1000,"B"&amp;VALUE(MID(A961,2,10))))),A961)),"_",IF(NOT(OR(C961=1000,C961&gt;1000)),MID(TEXT((C961+1000)*1000,0),2,6),"keine Meter in Spalte km!!!"),IF(VALUE(I961)=1,CONCATENATE("_",VLOOKUP(IF(V961&gt;0,V961,J961),[1]Grundlage!$A$20:$B$181,2,0)),CONCATENATE("_",B961))))</f>
        <v>SSt_A003_596250_N</v>
      </c>
      <c r="F961" s="2" t="s">
        <v>63</v>
      </c>
      <c r="G961" s="167">
        <f t="shared" si="187"/>
        <v>1208</v>
      </c>
      <c r="H961">
        <f t="shared" si="188"/>
        <v>11</v>
      </c>
      <c r="I961" s="2">
        <f t="shared" si="180"/>
        <v>254</v>
      </c>
      <c r="J961" s="2">
        <f t="shared" si="181"/>
        <v>0</v>
      </c>
      <c r="K961" s="13">
        <v>210</v>
      </c>
      <c r="L961" s="2">
        <f t="shared" si="183"/>
        <v>1</v>
      </c>
      <c r="M961" s="2" t="str">
        <f t="shared" si="184"/>
        <v/>
      </c>
      <c r="N961" s="2" t="str">
        <f t="shared" si="185"/>
        <v/>
      </c>
      <c r="P961" s="168" t="str">
        <f t="shared" si="186"/>
        <v/>
      </c>
      <c r="AI961" s="35">
        <v>596.25</v>
      </c>
      <c r="AJ961" s="36" t="s">
        <v>19</v>
      </c>
      <c r="AK961" s="36" t="s">
        <v>62</v>
      </c>
      <c r="AL961" s="36"/>
      <c r="AM961" s="36"/>
      <c r="AN961" s="36"/>
      <c r="AO961" s="36"/>
      <c r="AP961" s="42">
        <v>309259</v>
      </c>
      <c r="AQ961" s="66">
        <v>4</v>
      </c>
      <c r="AR961" s="42" t="s">
        <v>258</v>
      </c>
      <c r="AS961" s="42" t="s">
        <v>78</v>
      </c>
      <c r="AT961" s="36"/>
      <c r="AU961" s="36"/>
      <c r="AV961" s="36"/>
      <c r="AW961" s="36"/>
      <c r="AX961" s="36">
        <v>1</v>
      </c>
      <c r="AY961" s="36"/>
      <c r="AZ961" s="36"/>
      <c r="BA961" s="36"/>
      <c r="BB961" s="37" t="s">
        <v>63</v>
      </c>
      <c r="BC961" s="38"/>
      <c r="BD961" s="99" t="s">
        <v>163</v>
      </c>
      <c r="BE961" s="39" t="s">
        <v>64</v>
      </c>
      <c r="BF961" s="2" t="s">
        <v>561</v>
      </c>
    </row>
    <row r="962" spans="1:58" ht="14.25" x14ac:dyDescent="0.2">
      <c r="A962" t="str">
        <f t="shared" si="189"/>
        <v>A3</v>
      </c>
      <c r="B962" s="2" t="s">
        <v>656</v>
      </c>
      <c r="C962">
        <f t="shared" si="179"/>
        <v>596.25</v>
      </c>
      <c r="D962" t="str">
        <f t="shared" si="190"/>
        <v>UFD</v>
      </c>
      <c r="E962" s="169" t="str">
        <f>IF(OR(A962="",B962="",C962=""),"eine der Spalten BAB, FR, km leer?",CONCATENATE(VLOOKUP(VALUE(I962),[1]Grundlage!$A$1:$B$14,2,0),IF(LEFT(A962,1)="A",IF(VALUE(MID(A962,2,10))&lt;10,"A00"&amp;VALUE(MID(A962,2,10)),IF(VALUE(MID(A962,2,10))&lt;100,"A0"&amp;VALUE(MID(A962,2,10)),IF(VALUE(MID(A962,2,10))&lt;1000,"A"&amp;VALUE(MID(A962,2,10))))),IF(LEFT(A962,1)="B",IF(VALUE(MID(A962,2,10))&lt;10,"B00"&amp;VALUE(MID(A962,2,10)),IF(VALUE(MID(A962,2,10))&lt;100,"B0"&amp;VALUE(MID(A962,2,10)),IF(VALUE(MID(A962,2,10))&lt;1000,"B"&amp;VALUE(MID(A962,2,10))))),A962)),"_",IF(NOT(OR(C962=1000,C962&gt;1000)),MID(TEXT((C962+1000)*1000,0),2,6),"keine Meter in Spalte km!!!"),IF(VALUE(I962)=1,CONCATENATE("_",VLOOKUP(IF(V962&gt;0,V962,J962),[1]Grundlage!$A$20:$B$181,2,0)),CONCATENATE("_",B962))))</f>
        <v>UQ_A003_596250_N</v>
      </c>
      <c r="F962" s="2" t="s">
        <v>269</v>
      </c>
      <c r="G962" s="167">
        <f t="shared" si="187"/>
        <v>1208</v>
      </c>
      <c r="H962">
        <f t="shared" si="188"/>
        <v>11</v>
      </c>
      <c r="I962" s="2">
        <f t="shared" si="180"/>
        <v>3</v>
      </c>
      <c r="J962" s="2">
        <f t="shared" si="181"/>
        <v>6</v>
      </c>
      <c r="K962" s="13">
        <v>210</v>
      </c>
      <c r="L962" s="2">
        <f t="shared" si="183"/>
        <v>1</v>
      </c>
      <c r="M962" s="2">
        <f t="shared" si="184"/>
        <v>1</v>
      </c>
      <c r="N962" s="2">
        <f t="shared" si="185"/>
        <v>1</v>
      </c>
      <c r="P962" s="168">
        <f t="shared" si="186"/>
        <v>71</v>
      </c>
      <c r="AP962" s="40"/>
      <c r="AQ962" s="40"/>
      <c r="AR962" s="40"/>
      <c r="AS962" s="40"/>
      <c r="AT962" s="19">
        <v>3</v>
      </c>
      <c r="AU962" s="14">
        <v>6</v>
      </c>
      <c r="AV962" s="27">
        <v>6</v>
      </c>
      <c r="AW962" s="19"/>
      <c r="AX962" s="19"/>
      <c r="AY962" s="19">
        <v>1</v>
      </c>
      <c r="AZ962" s="14">
        <v>1</v>
      </c>
      <c r="BA962" s="100">
        <v>1</v>
      </c>
      <c r="BB962" s="13" t="s">
        <v>269</v>
      </c>
      <c r="BF962" s="2" t="s">
        <v>440</v>
      </c>
    </row>
    <row r="963" spans="1:58" ht="14.25" x14ac:dyDescent="0.2">
      <c r="A963" t="str">
        <f t="shared" si="189"/>
        <v>A3</v>
      </c>
      <c r="B963" s="2" t="s">
        <v>656</v>
      </c>
      <c r="C963">
        <f t="shared" si="179"/>
        <v>596.25</v>
      </c>
      <c r="D963" t="str">
        <f t="shared" si="190"/>
        <v>UFD</v>
      </c>
      <c r="E963" s="169" t="str">
        <f>IF(OR(A963="",B963="",C963=""),"eine der Spalten BAB, FR, km leer?",CONCATENATE(VLOOKUP(VALUE(I963),[1]Grundlage!$A$1:$B$14,2,0),IF(LEFT(A963,1)="A",IF(VALUE(MID(A963,2,10))&lt;10,"A00"&amp;VALUE(MID(A963,2,10)),IF(VALUE(MID(A963,2,10))&lt;100,"A0"&amp;VALUE(MID(A963,2,10)),IF(VALUE(MID(A963,2,10))&lt;1000,"A"&amp;VALUE(MID(A963,2,10))))),IF(LEFT(A963,1)="B",IF(VALUE(MID(A963,2,10))&lt;10,"B00"&amp;VALUE(MID(A963,2,10)),IF(VALUE(MID(A963,2,10))&lt;100,"B0"&amp;VALUE(MID(A963,2,10)),IF(VALUE(MID(A963,2,10))&lt;1000,"B"&amp;VALUE(MID(A963,2,10))))),A963)),"_",IF(NOT(OR(C963=1000,C963&gt;1000)),MID(TEXT((C963+1000)*1000,0),2,6),"keine Meter in Spalte km!!!"),IF(VALUE(I963)=1,CONCATENATE("_",VLOOKUP(IF(V963&gt;0,V963,J963),[1]Grundlage!$A$20:$B$181,2,0)),CONCATENATE("_",B963))))</f>
        <v>UQ_A003_596250_N</v>
      </c>
      <c r="F963" s="2" t="s">
        <v>270</v>
      </c>
      <c r="G963" s="167">
        <f t="shared" si="187"/>
        <v>1208</v>
      </c>
      <c r="H963">
        <f t="shared" si="188"/>
        <v>11</v>
      </c>
      <c r="I963" s="2">
        <f t="shared" si="180"/>
        <v>3</v>
      </c>
      <c r="J963" s="2">
        <f t="shared" si="181"/>
        <v>11</v>
      </c>
      <c r="K963" s="13">
        <v>210</v>
      </c>
      <c r="L963" s="2">
        <f t="shared" si="183"/>
        <v>1</v>
      </c>
      <c r="M963" s="2">
        <f t="shared" si="184"/>
        <v>1</v>
      </c>
      <c r="N963" s="2">
        <f t="shared" si="185"/>
        <v>2</v>
      </c>
      <c r="P963" s="168">
        <f t="shared" si="186"/>
        <v>70</v>
      </c>
      <c r="AT963" s="19">
        <v>3</v>
      </c>
      <c r="AU963" s="14">
        <v>11</v>
      </c>
      <c r="AV963" s="14" t="s">
        <v>78</v>
      </c>
      <c r="AW963" s="13"/>
      <c r="AX963" s="13"/>
      <c r="AY963" s="19">
        <v>1</v>
      </c>
      <c r="AZ963" s="14">
        <v>2</v>
      </c>
      <c r="BA963" s="14">
        <v>2</v>
      </c>
      <c r="BB963" s="13" t="s">
        <v>270</v>
      </c>
      <c r="BF963" s="2" t="s">
        <v>484</v>
      </c>
    </row>
    <row r="964" spans="1:58" ht="14.25" x14ac:dyDescent="0.2">
      <c r="A964" t="str">
        <f t="shared" si="189"/>
        <v>A3</v>
      </c>
      <c r="B964" s="2" t="s">
        <v>656</v>
      </c>
      <c r="C964">
        <f t="shared" si="179"/>
        <v>596.25</v>
      </c>
      <c r="D964" t="str">
        <f t="shared" si="190"/>
        <v>UFD</v>
      </c>
      <c r="E964" s="169" t="str">
        <f>IF(OR(A964="",B964="",C964=""),"eine der Spalten BAB, FR, km leer?",CONCATENATE(VLOOKUP(VALUE(I964),[1]Grundlage!$A$1:$B$14,2,0),IF(LEFT(A964,1)="A",IF(VALUE(MID(A964,2,10))&lt;10,"A00"&amp;VALUE(MID(A964,2,10)),IF(VALUE(MID(A964,2,10))&lt;100,"A0"&amp;VALUE(MID(A964,2,10)),IF(VALUE(MID(A964,2,10))&lt;1000,"A"&amp;VALUE(MID(A964,2,10))))),IF(LEFT(A964,1)="B",IF(VALUE(MID(A964,2,10))&lt;10,"B00"&amp;VALUE(MID(A964,2,10)),IF(VALUE(MID(A964,2,10))&lt;100,"B0"&amp;VALUE(MID(A964,2,10)),IF(VALUE(MID(A964,2,10))&lt;1000,"B"&amp;VALUE(MID(A964,2,10))))),A964)),"_",IF(NOT(OR(C964=1000,C964&gt;1000)),MID(TEXT((C964+1000)*1000,0),2,6),"keine Meter in Spalte km!!!"),IF(VALUE(I964)=1,CONCATENATE("_",VLOOKUP(IF(V964&gt;0,V964,J964),[1]Grundlage!$A$20:$B$181,2,0)),CONCATENATE("_",B964))))</f>
        <v>UQ_A003_596250_N</v>
      </c>
      <c r="F964" s="2" t="s">
        <v>25</v>
      </c>
      <c r="G964" s="167">
        <f t="shared" si="187"/>
        <v>1208</v>
      </c>
      <c r="H964">
        <f t="shared" si="188"/>
        <v>11</v>
      </c>
      <c r="I964" s="2">
        <f t="shared" si="180"/>
        <v>3</v>
      </c>
      <c r="J964" s="2">
        <f t="shared" si="181"/>
        <v>12</v>
      </c>
      <c r="K964" s="13">
        <v>210</v>
      </c>
      <c r="L964" s="2">
        <f t="shared" si="183"/>
        <v>1</v>
      </c>
      <c r="M964" s="2">
        <f t="shared" si="184"/>
        <v>1</v>
      </c>
      <c r="N964" s="2">
        <f t="shared" si="185"/>
        <v>3</v>
      </c>
      <c r="P964" s="168">
        <f t="shared" si="186"/>
        <v>48</v>
      </c>
      <c r="AT964" s="19">
        <v>3</v>
      </c>
      <c r="AU964" s="14">
        <v>12</v>
      </c>
      <c r="AV964" s="14" t="s">
        <v>79</v>
      </c>
      <c r="AW964" s="13"/>
      <c r="AX964" s="13"/>
      <c r="AY964" s="19">
        <v>1</v>
      </c>
      <c r="AZ964" s="14">
        <v>3</v>
      </c>
      <c r="BA964" s="14">
        <v>3</v>
      </c>
      <c r="BB964" s="13" t="s">
        <v>25</v>
      </c>
      <c r="BF964" s="13" t="s">
        <v>441</v>
      </c>
    </row>
    <row r="965" spans="1:58" ht="14.25" x14ac:dyDescent="0.2">
      <c r="A965" t="str">
        <f t="shared" si="189"/>
        <v>A3</v>
      </c>
      <c r="B965" s="2" t="s">
        <v>656</v>
      </c>
      <c r="C965">
        <f t="shared" si="179"/>
        <v>596.25</v>
      </c>
      <c r="D965" t="str">
        <f t="shared" si="190"/>
        <v>UFD</v>
      </c>
      <c r="E965" s="169" t="str">
        <f>IF(OR(A965="",B965="",C965=""),"eine der Spalten BAB, FR, km leer?",CONCATENATE(VLOOKUP(VALUE(I965),[1]Grundlage!$A$1:$B$14,2,0),IF(LEFT(A965,1)="A",IF(VALUE(MID(A965,2,10))&lt;10,"A00"&amp;VALUE(MID(A965,2,10)),IF(VALUE(MID(A965,2,10))&lt;100,"A0"&amp;VALUE(MID(A965,2,10)),IF(VALUE(MID(A965,2,10))&lt;1000,"A"&amp;VALUE(MID(A965,2,10))))),IF(LEFT(A965,1)="B",IF(VALUE(MID(A965,2,10))&lt;10,"B00"&amp;VALUE(MID(A965,2,10)),IF(VALUE(MID(A965,2,10))&lt;100,"B0"&amp;VALUE(MID(A965,2,10)),IF(VALUE(MID(A965,2,10))&lt;1000,"B"&amp;VALUE(MID(A965,2,10))))),A965)),"_",IF(NOT(OR(C965=1000,C965&gt;1000)),MID(TEXT((C965+1000)*1000,0),2,6),"keine Meter in Spalte km!!!"),IF(VALUE(I965)=1,CONCATENATE("_",VLOOKUP(IF(V965&gt;0,V965,J965),[1]Grundlage!$A$20:$B$181,2,0)),CONCATENATE("_",B965))))</f>
        <v>UQ_A003_596250_N</v>
      </c>
      <c r="F965" s="2" t="s">
        <v>26</v>
      </c>
      <c r="G965" s="167">
        <f t="shared" si="187"/>
        <v>1208</v>
      </c>
      <c r="H965">
        <f t="shared" si="188"/>
        <v>11</v>
      </c>
      <c r="I965" s="2">
        <f t="shared" si="180"/>
        <v>3</v>
      </c>
      <c r="J965" s="2">
        <f t="shared" si="181"/>
        <v>13</v>
      </c>
      <c r="K965" s="13">
        <v>210</v>
      </c>
      <c r="L965" s="2">
        <f t="shared" si="183"/>
        <v>1</v>
      </c>
      <c r="M965" s="2">
        <f t="shared" si="184"/>
        <v>1</v>
      </c>
      <c r="N965" s="2">
        <f t="shared" si="185"/>
        <v>4</v>
      </c>
      <c r="P965" s="168">
        <f t="shared" si="186"/>
        <v>55</v>
      </c>
      <c r="AT965" s="19">
        <v>3</v>
      </c>
      <c r="AU965" s="14">
        <v>13</v>
      </c>
      <c r="AV965" s="14" t="s">
        <v>80</v>
      </c>
      <c r="AW965" s="13"/>
      <c r="AX965" s="13"/>
      <c r="AY965" s="19">
        <v>1</v>
      </c>
      <c r="AZ965" s="14">
        <v>4</v>
      </c>
      <c r="BA965" s="14">
        <v>4</v>
      </c>
      <c r="BB965" s="13" t="s">
        <v>26</v>
      </c>
      <c r="BF965" s="13" t="s">
        <v>581</v>
      </c>
    </row>
    <row r="966" spans="1:58" ht="14.25" x14ac:dyDescent="0.2">
      <c r="A966" t="str">
        <f t="shared" si="189"/>
        <v>A3</v>
      </c>
      <c r="B966" s="2" t="s">
        <v>656</v>
      </c>
      <c r="C966">
        <f t="shared" si="179"/>
        <v>596.25</v>
      </c>
      <c r="D966" t="str">
        <f t="shared" si="190"/>
        <v>UFD</v>
      </c>
      <c r="E966" s="169" t="str">
        <f>IF(OR(A966="",B966="",C966=""),"eine der Spalten BAB, FR, km leer?",CONCATENATE(VLOOKUP(VALUE(I966),[1]Grundlage!$A$1:$B$14,2,0),IF(LEFT(A966,1)="A",IF(VALUE(MID(A966,2,10))&lt;10,"A00"&amp;VALUE(MID(A966,2,10)),IF(VALUE(MID(A966,2,10))&lt;100,"A0"&amp;VALUE(MID(A966,2,10)),IF(VALUE(MID(A966,2,10))&lt;1000,"A"&amp;VALUE(MID(A966,2,10))))),IF(LEFT(A966,1)="B",IF(VALUE(MID(A966,2,10))&lt;10,"B00"&amp;VALUE(MID(A966,2,10)),IF(VALUE(MID(A966,2,10))&lt;100,"B0"&amp;VALUE(MID(A966,2,10)),IF(VALUE(MID(A966,2,10))&lt;1000,"B"&amp;VALUE(MID(A966,2,10))))),A966)),"_",IF(NOT(OR(C966=1000,C966&gt;1000)),MID(TEXT((C966+1000)*1000,0),2,6),"keine Meter in Spalte km!!!"),IF(VALUE(I966)=1,CONCATENATE("_",VLOOKUP(IF(V966&gt;0,V966,J966),[1]Grundlage!$A$20:$B$181,2,0)),CONCATENATE("_",B966))))</f>
        <v>UQ_A003_596250_N</v>
      </c>
      <c r="F966" s="2" t="s">
        <v>27</v>
      </c>
      <c r="G966" s="167">
        <f t="shared" si="187"/>
        <v>1208</v>
      </c>
      <c r="H966">
        <f t="shared" si="188"/>
        <v>11</v>
      </c>
      <c r="I966" s="2">
        <f t="shared" si="180"/>
        <v>3</v>
      </c>
      <c r="J966" s="2">
        <f t="shared" si="181"/>
        <v>14</v>
      </c>
      <c r="K966" s="13">
        <v>210</v>
      </c>
      <c r="L966" s="2">
        <f t="shared" si="183"/>
        <v>1</v>
      </c>
      <c r="M966" s="2">
        <f t="shared" si="184"/>
        <v>1</v>
      </c>
      <c r="N966" s="2">
        <f t="shared" si="185"/>
        <v>5</v>
      </c>
      <c r="P966" s="168">
        <f t="shared" si="186"/>
        <v>66</v>
      </c>
      <c r="AT966" s="19">
        <v>3</v>
      </c>
      <c r="AU966" s="14">
        <v>14</v>
      </c>
      <c r="AV966" s="14" t="s">
        <v>81</v>
      </c>
      <c r="AW966" s="13"/>
      <c r="AX966" s="13"/>
      <c r="AY966" s="19">
        <v>1</v>
      </c>
      <c r="AZ966" s="14">
        <v>5</v>
      </c>
      <c r="BA966" s="14">
        <v>5</v>
      </c>
      <c r="BB966" s="13" t="s">
        <v>27</v>
      </c>
      <c r="BF966" s="13" t="s">
        <v>443</v>
      </c>
    </row>
    <row r="967" spans="1:58" ht="14.25" x14ac:dyDescent="0.2">
      <c r="A967" t="str">
        <f t="shared" si="189"/>
        <v>A3</v>
      </c>
      <c r="B967" s="2" t="s">
        <v>656</v>
      </c>
      <c r="C967">
        <f t="shared" si="179"/>
        <v>596.25</v>
      </c>
      <c r="D967" t="str">
        <f t="shared" si="190"/>
        <v>UFD</v>
      </c>
      <c r="E967" s="169" t="str">
        <f>IF(OR(A967="",B967="",C967=""),"eine der Spalten BAB, FR, km leer?",CONCATENATE(VLOOKUP(VALUE(I967),[1]Grundlage!$A$1:$B$14,2,0),IF(LEFT(A967,1)="A",IF(VALUE(MID(A967,2,10))&lt;10,"A00"&amp;VALUE(MID(A967,2,10)),IF(VALUE(MID(A967,2,10))&lt;100,"A0"&amp;VALUE(MID(A967,2,10)),IF(VALUE(MID(A967,2,10))&lt;1000,"A"&amp;VALUE(MID(A967,2,10))))),IF(LEFT(A967,1)="B",IF(VALUE(MID(A967,2,10))&lt;10,"B00"&amp;VALUE(MID(A967,2,10)),IF(VALUE(MID(A967,2,10))&lt;100,"B0"&amp;VALUE(MID(A967,2,10)),IF(VALUE(MID(A967,2,10))&lt;1000,"B"&amp;VALUE(MID(A967,2,10))))),A967)),"_",IF(NOT(OR(C967=1000,C967&gt;1000)),MID(TEXT((C967+1000)*1000,0),2,6),"keine Meter in Spalte km!!!"),IF(VALUE(I967)=1,CONCATENATE("_",VLOOKUP(IF(V967&gt;0,V967,J967),[1]Grundlage!$A$20:$B$181,2,0)),CONCATENATE("_",B967))))</f>
        <v>UQ_A003_596250_N</v>
      </c>
      <c r="F967" s="2" t="s">
        <v>28</v>
      </c>
      <c r="G967" s="167">
        <f t="shared" si="187"/>
        <v>1208</v>
      </c>
      <c r="H967">
        <f t="shared" si="188"/>
        <v>11</v>
      </c>
      <c r="I967" s="2">
        <f t="shared" si="180"/>
        <v>3</v>
      </c>
      <c r="J967" s="2">
        <f t="shared" si="181"/>
        <v>15</v>
      </c>
      <c r="K967" s="13">
        <v>210</v>
      </c>
      <c r="L967" s="2">
        <f t="shared" si="183"/>
        <v>1</v>
      </c>
      <c r="M967" s="2">
        <f t="shared" si="184"/>
        <v>1</v>
      </c>
      <c r="N967" s="2">
        <f t="shared" si="185"/>
        <v>6</v>
      </c>
      <c r="P967" s="168">
        <f t="shared" si="186"/>
        <v>65</v>
      </c>
      <c r="AT967" s="19">
        <v>3</v>
      </c>
      <c r="AU967" s="14">
        <v>15</v>
      </c>
      <c r="AV967" s="14" t="s">
        <v>82</v>
      </c>
      <c r="AW967" s="13"/>
      <c r="AX967" s="13"/>
      <c r="AY967" s="19">
        <v>1</v>
      </c>
      <c r="AZ967" s="14">
        <v>6</v>
      </c>
      <c r="BA967" s="14">
        <v>6</v>
      </c>
      <c r="BB967" s="13" t="s">
        <v>28</v>
      </c>
      <c r="BF967" s="13" t="s">
        <v>485</v>
      </c>
    </row>
    <row r="968" spans="1:58" ht="14.25" x14ac:dyDescent="0.2">
      <c r="A968" t="str">
        <f t="shared" si="189"/>
        <v>A3</v>
      </c>
      <c r="B968" s="2" t="s">
        <v>656</v>
      </c>
      <c r="C968">
        <f t="shared" si="179"/>
        <v>596.25</v>
      </c>
      <c r="D968" t="str">
        <f t="shared" si="190"/>
        <v>UFD</v>
      </c>
      <c r="E968" s="169" t="str">
        <f>IF(OR(A968="",B968="",C968=""),"eine der Spalten BAB, FR, km leer?",CONCATENATE(VLOOKUP(VALUE(I968),[1]Grundlage!$A$1:$B$14,2,0),IF(LEFT(A968,1)="A",IF(VALUE(MID(A968,2,10))&lt;10,"A00"&amp;VALUE(MID(A968,2,10)),IF(VALUE(MID(A968,2,10))&lt;100,"A0"&amp;VALUE(MID(A968,2,10)),IF(VALUE(MID(A968,2,10))&lt;1000,"A"&amp;VALUE(MID(A968,2,10))))),IF(LEFT(A968,1)="B",IF(VALUE(MID(A968,2,10))&lt;10,"B00"&amp;VALUE(MID(A968,2,10)),IF(VALUE(MID(A968,2,10))&lt;100,"B0"&amp;VALUE(MID(A968,2,10)),IF(VALUE(MID(A968,2,10))&lt;1000,"B"&amp;VALUE(MID(A968,2,10))))),A968)),"_",IF(NOT(OR(C968=1000,C968&gt;1000)),MID(TEXT((C968+1000)*1000,0),2,6),"keine Meter in Spalte km!!!"),IF(VALUE(I968)=1,CONCATENATE("_",VLOOKUP(IF(V968&gt;0,V968,J968),[1]Grundlage!$A$20:$B$181,2,0)),CONCATENATE("_",B968))))</f>
        <v>UQ_A003_596250_N</v>
      </c>
      <c r="F968" s="2" t="s">
        <v>29</v>
      </c>
      <c r="G968" s="167">
        <f t="shared" si="187"/>
        <v>1208</v>
      </c>
      <c r="H968">
        <f t="shared" si="188"/>
        <v>11</v>
      </c>
      <c r="I968" s="2">
        <f t="shared" si="180"/>
        <v>3</v>
      </c>
      <c r="J968" s="2">
        <f t="shared" si="181"/>
        <v>19</v>
      </c>
      <c r="K968" s="13">
        <v>210</v>
      </c>
      <c r="L968" s="2">
        <f t="shared" si="183"/>
        <v>1</v>
      </c>
      <c r="M968" s="2">
        <f t="shared" si="184"/>
        <v>1</v>
      </c>
      <c r="N968" s="2">
        <f t="shared" si="185"/>
        <v>7</v>
      </c>
      <c r="P968" s="168">
        <f t="shared" si="186"/>
        <v>49</v>
      </c>
      <c r="AT968" s="19">
        <v>3</v>
      </c>
      <c r="AU968" s="14">
        <v>19</v>
      </c>
      <c r="AV968" s="14">
        <v>13</v>
      </c>
      <c r="AW968" s="13"/>
      <c r="AX968" s="13"/>
      <c r="AY968" s="19">
        <v>1</v>
      </c>
      <c r="AZ968" s="14">
        <v>7</v>
      </c>
      <c r="BA968" s="14">
        <v>7</v>
      </c>
      <c r="BB968" s="13" t="s">
        <v>29</v>
      </c>
      <c r="BF968" s="13" t="s">
        <v>486</v>
      </c>
    </row>
    <row r="969" spans="1:58" ht="14.25" x14ac:dyDescent="0.2">
      <c r="A969" t="str">
        <f t="shared" si="189"/>
        <v>A3</v>
      </c>
      <c r="B969" s="2" t="s">
        <v>656</v>
      </c>
      <c r="C969">
        <f t="shared" si="179"/>
        <v>596.25</v>
      </c>
      <c r="D969" t="str">
        <f t="shared" si="190"/>
        <v>UFD</v>
      </c>
      <c r="E969" s="169" t="str">
        <f>IF(OR(A969="",B969="",C969=""),"eine der Spalten BAB, FR, km leer?",CONCATENATE(VLOOKUP(VALUE(I969),[1]Grundlage!$A$1:$B$14,2,0),IF(LEFT(A969,1)="A",IF(VALUE(MID(A969,2,10))&lt;10,"A00"&amp;VALUE(MID(A969,2,10)),IF(VALUE(MID(A969,2,10))&lt;100,"A0"&amp;VALUE(MID(A969,2,10)),IF(VALUE(MID(A969,2,10))&lt;1000,"A"&amp;VALUE(MID(A969,2,10))))),IF(LEFT(A969,1)="B",IF(VALUE(MID(A969,2,10))&lt;10,"B00"&amp;VALUE(MID(A969,2,10)),IF(VALUE(MID(A969,2,10))&lt;100,"B0"&amp;VALUE(MID(A969,2,10)),IF(VALUE(MID(A969,2,10))&lt;1000,"B"&amp;VALUE(MID(A969,2,10))))),A969)),"_",IF(NOT(OR(C969=1000,C969&gt;1000)),MID(TEXT((C969+1000)*1000,0),2,6),"keine Meter in Spalte km!!!"),IF(VALUE(I969)=1,CONCATENATE("_",VLOOKUP(IF(V969&gt;0,V969,J969),[1]Grundlage!$A$20:$B$181,2,0)),CONCATENATE("_",B969))))</f>
        <v>UQ_A003_596250_N</v>
      </c>
      <c r="F969" s="2" t="s">
        <v>30</v>
      </c>
      <c r="G969" s="167">
        <f t="shared" si="187"/>
        <v>1208</v>
      </c>
      <c r="H969">
        <f t="shared" si="188"/>
        <v>11</v>
      </c>
      <c r="I969" s="2">
        <f t="shared" si="180"/>
        <v>3</v>
      </c>
      <c r="J969" s="2">
        <f t="shared" si="181"/>
        <v>21</v>
      </c>
      <c r="K969" s="13">
        <v>210</v>
      </c>
      <c r="L969" s="2">
        <f t="shared" si="183"/>
        <v>1</v>
      </c>
      <c r="M969" s="2">
        <f t="shared" si="184"/>
        <v>1</v>
      </c>
      <c r="N969" s="2">
        <f t="shared" si="185"/>
        <v>8</v>
      </c>
      <c r="P969" s="168">
        <f t="shared" si="186"/>
        <v>67</v>
      </c>
      <c r="AT969" s="19">
        <v>3</v>
      </c>
      <c r="AU969" s="14">
        <v>21</v>
      </c>
      <c r="AV969" s="14">
        <v>15</v>
      </c>
      <c r="AW969" s="13"/>
      <c r="AX969" s="13"/>
      <c r="AY969" s="19">
        <v>1</v>
      </c>
      <c r="AZ969" s="14">
        <v>8</v>
      </c>
      <c r="BA969" s="14">
        <v>8</v>
      </c>
      <c r="BB969" s="13" t="s">
        <v>30</v>
      </c>
      <c r="BF969" s="13" t="s">
        <v>487</v>
      </c>
    </row>
    <row r="970" spans="1:58" ht="14.25" x14ac:dyDescent="0.2">
      <c r="A970" t="str">
        <f t="shared" ref="A970:A1033" si="191">IF(ISBLANK(AK970),A969,AK970)</f>
        <v>A3</v>
      </c>
      <c r="B970" s="2" t="s">
        <v>656</v>
      </c>
      <c r="C970">
        <f t="shared" ref="C970:C1033" si="192">IF(ISBLANK(AI970),C969,AI970)</f>
        <v>596.25</v>
      </c>
      <c r="D970" t="str">
        <f t="shared" si="190"/>
        <v/>
      </c>
      <c r="E970" s="169" t="str">
        <f>IF(OR(A970="",B970="",C970=""),"eine der Spalten BAB, FR, km leer?",CONCATENATE(VLOOKUP(VALUE(I970),[1]Grundlage!$A$1:$B$14,2,0),IF(LEFT(A970,1)="A",IF(VALUE(MID(A970,2,10))&lt;10,"A00"&amp;VALUE(MID(A970,2,10)),IF(VALUE(MID(A970,2,10))&lt;100,"A0"&amp;VALUE(MID(A970,2,10)),IF(VALUE(MID(A970,2,10))&lt;1000,"A"&amp;VALUE(MID(A970,2,10))))),IF(LEFT(A970,1)="B",IF(VALUE(MID(A970,2,10))&lt;10,"B00"&amp;VALUE(MID(A970,2,10)),IF(VALUE(MID(A970,2,10))&lt;100,"B0"&amp;VALUE(MID(A970,2,10)),IF(VALUE(MID(A970,2,10))&lt;1000,"B"&amp;VALUE(MID(A970,2,10))))),A970)),"_",IF(NOT(OR(C970=1000,C970&gt;1000)),MID(TEXT((C970+1000)*1000,0),2,6),"keine Meter in Spalte km!!!"),IF(VALUE(I970)=1,CONCATENATE("_",VLOOKUP(IF(V970&gt;0,V970,J970),[1]Grundlage!$A$20:$B$181,2,0)),CONCATENATE("_",B970))))</f>
        <v>UQ_A003_596250_N</v>
      </c>
      <c r="F970" s="2" t="s">
        <v>40</v>
      </c>
      <c r="G970" s="167">
        <f t="shared" si="187"/>
        <v>1208</v>
      </c>
      <c r="H970">
        <f t="shared" si="188"/>
        <v>11</v>
      </c>
      <c r="I970" s="2">
        <f t="shared" ref="I970:I1033" si="193">IF(D970="SS",254,AT970)</f>
        <v>3</v>
      </c>
      <c r="J970" s="2">
        <f t="shared" ref="J970:J1033" si="194">IF(D970="SS",0,AU970)</f>
        <v>23</v>
      </c>
      <c r="K970" s="13">
        <v>210</v>
      </c>
      <c r="L970" s="2">
        <f t="shared" ref="L970:L1033" si="195">IF(ISBLANK(AX970),L969,AX970)</f>
        <v>1</v>
      </c>
      <c r="M970" s="2">
        <f t="shared" ref="M970:M1033" si="196">IF(ISBLANK(AY970),"",AY970)</f>
        <v>1</v>
      </c>
      <c r="N970" s="2">
        <f t="shared" ref="N970:N1033" si="197">IF(ISBLANK(AZ970),"",AZ970)</f>
        <v>9</v>
      </c>
      <c r="P970" s="168">
        <f t="shared" si="186"/>
        <v>68</v>
      </c>
      <c r="AT970" s="137">
        <v>3</v>
      </c>
      <c r="AU970" s="138">
        <v>23</v>
      </c>
      <c r="AV970" s="138">
        <v>17</v>
      </c>
      <c r="AW970" s="139"/>
      <c r="AX970" s="139"/>
      <c r="AY970" s="137">
        <v>1</v>
      </c>
      <c r="AZ970" s="138">
        <v>9</v>
      </c>
      <c r="BA970" s="138">
        <v>9</v>
      </c>
      <c r="BB970" s="139" t="s">
        <v>40</v>
      </c>
      <c r="BF970" s="13"/>
    </row>
    <row r="971" spans="1:58" ht="14.25" x14ac:dyDescent="0.2">
      <c r="A971" t="str">
        <f t="shared" si="191"/>
        <v>A3</v>
      </c>
      <c r="B971" s="2" t="s">
        <v>656</v>
      </c>
      <c r="C971">
        <f t="shared" si="192"/>
        <v>596.25</v>
      </c>
      <c r="D971" t="str">
        <f t="shared" si="190"/>
        <v>UFD</v>
      </c>
      <c r="E971" s="169" t="str">
        <f>IF(OR(A971="",B971="",C971=""),"eine der Spalten BAB, FR, km leer?",CONCATENATE(VLOOKUP(VALUE(I971),[1]Grundlage!$A$1:$B$14,2,0),IF(LEFT(A971,1)="A",IF(VALUE(MID(A971,2,10))&lt;10,"A00"&amp;VALUE(MID(A971,2,10)),IF(VALUE(MID(A971,2,10))&lt;100,"A0"&amp;VALUE(MID(A971,2,10)),IF(VALUE(MID(A971,2,10))&lt;1000,"A"&amp;VALUE(MID(A971,2,10))))),IF(LEFT(A971,1)="B",IF(VALUE(MID(A971,2,10))&lt;10,"B00"&amp;VALUE(MID(A971,2,10)),IF(VALUE(MID(A971,2,10))&lt;100,"B0"&amp;VALUE(MID(A971,2,10)),IF(VALUE(MID(A971,2,10))&lt;1000,"B"&amp;VALUE(MID(A971,2,10))))),A971)),"_",IF(NOT(OR(C971=1000,C971&gt;1000)),MID(TEXT((C971+1000)*1000,0),2,6),"keine Meter in Spalte km!!!"),IF(VALUE(I971)=1,CONCATENATE("_",VLOOKUP(IF(V971&gt;0,V971,J971),[1]Grundlage!$A$20:$B$181,2,0)),CONCATENATE("_",B971))))</f>
        <v>UQ_A003_596250_N</v>
      </c>
      <c r="F971" s="2" t="s">
        <v>41</v>
      </c>
      <c r="G971" s="167">
        <f t="shared" si="187"/>
        <v>1208</v>
      </c>
      <c r="H971">
        <f t="shared" si="188"/>
        <v>11</v>
      </c>
      <c r="I971" s="2">
        <f t="shared" si="193"/>
        <v>3</v>
      </c>
      <c r="J971" s="2">
        <f t="shared" si="194"/>
        <v>24</v>
      </c>
      <c r="K971" s="13">
        <v>210</v>
      </c>
      <c r="L971" s="2">
        <f t="shared" si="195"/>
        <v>1</v>
      </c>
      <c r="M971" s="2">
        <f t="shared" si="196"/>
        <v>1</v>
      </c>
      <c r="N971" s="2">
        <f t="shared" si="197"/>
        <v>9</v>
      </c>
      <c r="P971" s="168">
        <f t="shared" ref="P971:P1034" si="198">IF(AT971&lt;&gt;3,"",IF(BB971="Helligkeitssensor",61,IF(BB971="Helligkeit",61,IF(BB972="Lichtsensor",61,IF(BB971="Lufttemperatur",48,IF(BB971="Niederschlagsart",71,IF(BB971="Niederschlagsintensität",53,IF(BB971="relative Luftfeuchte RLF",55,IF(BB971="Sichtweite",60,IF(BB971="Sichtweite 1",60,IF(BB971="Zustand der Fahrbahnoberfläche FBZ",79,IF(BB971="Wasserfilmdicke WFD",72,IF(BB971="Clusterkanal FG3","",IF(BB971="Gefriertemperatur GT",65,IF(BB971="Fahrbahnoberflächentemperatur FBT",49,VALUE(RIGHT(BB971,2)))))))))))))))))</f>
        <v>69</v>
      </c>
      <c r="AT971" s="19">
        <v>3</v>
      </c>
      <c r="AU971" s="14">
        <v>24</v>
      </c>
      <c r="AV971" s="14">
        <v>18</v>
      </c>
      <c r="AW971" s="13"/>
      <c r="AX971" s="13"/>
      <c r="AY971" s="19">
        <v>1</v>
      </c>
      <c r="AZ971" s="14">
        <v>9</v>
      </c>
      <c r="BA971" s="14">
        <v>9</v>
      </c>
      <c r="BB971" s="13" t="s">
        <v>41</v>
      </c>
      <c r="BF971" s="13" t="s">
        <v>562</v>
      </c>
    </row>
    <row r="972" spans="1:58" ht="14.25" x14ac:dyDescent="0.2">
      <c r="A972" t="str">
        <f t="shared" si="191"/>
        <v>A3</v>
      </c>
      <c r="B972" s="2" t="s">
        <v>656</v>
      </c>
      <c r="C972">
        <f t="shared" si="192"/>
        <v>596.25</v>
      </c>
      <c r="D972" t="str">
        <f t="shared" si="190"/>
        <v>UFD</v>
      </c>
      <c r="E972" s="169" t="str">
        <f>IF(OR(A972="",B972="",C972=""),"eine der Spalten BAB, FR, km leer?",CONCATENATE(VLOOKUP(VALUE(I972),[1]Grundlage!$A$1:$B$14,2,0),IF(LEFT(A972,1)="A",IF(VALUE(MID(A972,2,10))&lt;10,"A00"&amp;VALUE(MID(A972,2,10)),IF(VALUE(MID(A972,2,10))&lt;100,"A0"&amp;VALUE(MID(A972,2,10)),IF(VALUE(MID(A972,2,10))&lt;1000,"A"&amp;VALUE(MID(A972,2,10))))),IF(LEFT(A972,1)="B",IF(VALUE(MID(A972,2,10))&lt;10,"B00"&amp;VALUE(MID(A972,2,10)),IF(VALUE(MID(A972,2,10))&lt;100,"B0"&amp;VALUE(MID(A972,2,10)),IF(VALUE(MID(A972,2,10))&lt;1000,"B"&amp;VALUE(MID(A972,2,10))))),A972)),"_",IF(NOT(OR(C972=1000,C972&gt;1000)),MID(TEXT((C972+1000)*1000,0),2,6),"keine Meter in Spalte km!!!"),IF(VALUE(I972)=1,CONCATENATE("_",VLOOKUP(IF(V972&gt;0,V972,J972),[1]Grundlage!$A$20:$B$181,2,0)),CONCATENATE("_",B972))))</f>
        <v>UQ_A003_596250_N</v>
      </c>
      <c r="F972" s="2" t="s">
        <v>42</v>
      </c>
      <c r="G972" s="167">
        <f t="shared" si="187"/>
        <v>1208</v>
      </c>
      <c r="H972">
        <f t="shared" si="188"/>
        <v>11</v>
      </c>
      <c r="I972" s="2">
        <f t="shared" si="193"/>
        <v>3</v>
      </c>
      <c r="J972" s="2">
        <f t="shared" si="194"/>
        <v>25</v>
      </c>
      <c r="K972" s="13">
        <v>210</v>
      </c>
      <c r="L972" s="2">
        <f t="shared" si="195"/>
        <v>1</v>
      </c>
      <c r="M972" s="2">
        <f t="shared" si="196"/>
        <v>1</v>
      </c>
      <c r="N972" s="2">
        <f t="shared" si="197"/>
        <v>10</v>
      </c>
      <c r="P972" s="168">
        <f>IF(AT972&lt;&gt;3,"",IF(BB972="Helligkeitssensor",61,IF(BB972="Helligkeit",61,IF(BB973="Lichtsensor",61,IF(BB972="Lufttemperatur",48,IF(BB972="Niederschlagsart",71,IF(BB972="Niederschlagsintensität",53,IF(BB972="relative Luftfeuchte RLF",55,IF(BB972="Sichtweite",60,IF(BB972="Sichtweite 1",60,IF(BB972="Zustand der Fahrbahnoberfläche FBZ",79,IF(BB972="Wasserfilmdicke WFD",72,IF(BB972="Clusterkanal FG3","",IF(BB972="Gefriertemperatur GT",65,IF(BB972="Fahrbahnoberflächentemperatur FBT",49,IF(BB972="Windrichtung  Typ 56 ",56,VALUE(RIGHT(BB972,2))))))))))))))))))</f>
        <v>56</v>
      </c>
      <c r="AT972" s="19">
        <v>3</v>
      </c>
      <c r="AU972" s="14">
        <v>25</v>
      </c>
      <c r="AV972" s="14">
        <v>19</v>
      </c>
      <c r="AW972" s="13"/>
      <c r="AX972" s="13"/>
      <c r="AY972" s="19">
        <v>1</v>
      </c>
      <c r="AZ972" s="14">
        <v>10</v>
      </c>
      <c r="BA972" s="34" t="s">
        <v>95</v>
      </c>
      <c r="BB972" s="13" t="s">
        <v>42</v>
      </c>
      <c r="BF972" s="13" t="s">
        <v>515</v>
      </c>
    </row>
    <row r="973" spans="1:58" ht="14.25" x14ac:dyDescent="0.2">
      <c r="A973" t="str">
        <f t="shared" si="191"/>
        <v>A3</v>
      </c>
      <c r="B973" s="2" t="s">
        <v>656</v>
      </c>
      <c r="C973">
        <f t="shared" si="192"/>
        <v>596.25</v>
      </c>
      <c r="D973" t="str">
        <f t="shared" si="190"/>
        <v>UFD</v>
      </c>
      <c r="E973" s="169" t="str">
        <f>IF(OR(A973="",B973="",C973=""),"eine der Spalten BAB, FR, km leer?",CONCATENATE(VLOOKUP(VALUE(I973),[1]Grundlage!$A$1:$B$14,2,0),IF(LEFT(A973,1)="A",IF(VALUE(MID(A973,2,10))&lt;10,"A00"&amp;VALUE(MID(A973,2,10)),IF(VALUE(MID(A973,2,10))&lt;100,"A0"&amp;VALUE(MID(A973,2,10)),IF(VALUE(MID(A973,2,10))&lt;1000,"A"&amp;VALUE(MID(A973,2,10))))),IF(LEFT(A973,1)="B",IF(VALUE(MID(A973,2,10))&lt;10,"B00"&amp;VALUE(MID(A973,2,10)),IF(VALUE(MID(A973,2,10))&lt;100,"B0"&amp;VALUE(MID(A973,2,10)),IF(VALUE(MID(A973,2,10))&lt;1000,"B"&amp;VALUE(MID(A973,2,10))))),A973)),"_",IF(NOT(OR(C973=1000,C973&gt;1000)),MID(TEXT((C973+1000)*1000,0),2,6),"keine Meter in Spalte km!!!"),IF(VALUE(I973)=1,CONCATENATE("_",VLOOKUP(IF(V973&gt;0,V973,J973),[1]Grundlage!$A$20:$B$181,2,0)),CONCATENATE("_",B973))))</f>
        <v>UQ_A003_596250_N</v>
      </c>
      <c r="F973" s="2" t="s">
        <v>43</v>
      </c>
      <c r="G973" s="167">
        <f t="shared" si="187"/>
        <v>1208</v>
      </c>
      <c r="H973">
        <f t="shared" si="188"/>
        <v>11</v>
      </c>
      <c r="I973" s="2">
        <f t="shared" si="193"/>
        <v>3</v>
      </c>
      <c r="J973" s="2">
        <f t="shared" si="194"/>
        <v>26</v>
      </c>
      <c r="K973" s="13">
        <v>210</v>
      </c>
      <c r="L973" s="2">
        <f t="shared" si="195"/>
        <v>1</v>
      </c>
      <c r="M973" s="2">
        <f t="shared" si="196"/>
        <v>1</v>
      </c>
      <c r="N973" s="2">
        <f t="shared" si="197"/>
        <v>11</v>
      </c>
      <c r="P973" s="168">
        <f t="shared" si="198"/>
        <v>57</v>
      </c>
      <c r="AT973" s="19">
        <v>3</v>
      </c>
      <c r="AU973" s="14">
        <v>26</v>
      </c>
      <c r="AV973" s="14" t="s">
        <v>86</v>
      </c>
      <c r="AW973" s="13"/>
      <c r="AX973" s="13"/>
      <c r="AY973" s="19">
        <v>1</v>
      </c>
      <c r="AZ973" s="14">
        <v>11</v>
      </c>
      <c r="BA973" s="34" t="s">
        <v>78</v>
      </c>
      <c r="BB973" s="13" t="s">
        <v>43</v>
      </c>
      <c r="BF973" s="13" t="s">
        <v>446</v>
      </c>
    </row>
    <row r="974" spans="1:58" ht="14.25" x14ac:dyDescent="0.2">
      <c r="A974" t="str">
        <f t="shared" si="191"/>
        <v>A3</v>
      </c>
      <c r="B974" s="2" t="s">
        <v>656</v>
      </c>
      <c r="C974">
        <f t="shared" si="192"/>
        <v>596.25</v>
      </c>
      <c r="D974" t="str">
        <f t="shared" si="190"/>
        <v>UFD</v>
      </c>
      <c r="E974" s="169" t="str">
        <f>IF(OR(A974="",B974="",C974=""),"eine der Spalten BAB, FR, km leer?",CONCATENATE(VLOOKUP(VALUE(I974),[1]Grundlage!$A$1:$B$14,2,0),IF(LEFT(A974,1)="A",IF(VALUE(MID(A974,2,10))&lt;10,"A00"&amp;VALUE(MID(A974,2,10)),IF(VALUE(MID(A974,2,10))&lt;100,"A0"&amp;VALUE(MID(A974,2,10)),IF(VALUE(MID(A974,2,10))&lt;1000,"A"&amp;VALUE(MID(A974,2,10))))),IF(LEFT(A974,1)="B",IF(VALUE(MID(A974,2,10))&lt;10,"B00"&amp;VALUE(MID(A974,2,10)),IF(VALUE(MID(A974,2,10))&lt;100,"B0"&amp;VALUE(MID(A974,2,10)),IF(VALUE(MID(A974,2,10))&lt;1000,"B"&amp;VALUE(MID(A974,2,10))))),A974)),"_",IF(NOT(OR(C974=1000,C974&gt;1000)),MID(TEXT((C974+1000)*1000,0),2,6),"keine Meter in Spalte km!!!"),IF(VALUE(I974)=1,CONCATENATE("_",VLOOKUP(IF(V974&gt;0,V974,J974),[1]Grundlage!$A$20:$B$181,2,0)),CONCATENATE("_",B974))))</f>
        <v>UQ_A003_596250_N</v>
      </c>
      <c r="F974" s="2" t="s">
        <v>271</v>
      </c>
      <c r="G974" s="167">
        <f t="shared" si="187"/>
        <v>1208</v>
      </c>
      <c r="H974">
        <f t="shared" si="188"/>
        <v>11</v>
      </c>
      <c r="I974" s="2">
        <f t="shared" si="193"/>
        <v>3</v>
      </c>
      <c r="J974" s="2">
        <f t="shared" si="194"/>
        <v>67</v>
      </c>
      <c r="K974" s="13">
        <v>210</v>
      </c>
      <c r="L974" s="2">
        <f t="shared" si="195"/>
        <v>1</v>
      </c>
      <c r="M974" s="2">
        <f t="shared" si="196"/>
        <v>1</v>
      </c>
      <c r="N974" s="2">
        <f t="shared" si="197"/>
        <v>12</v>
      </c>
      <c r="P974" s="168">
        <f t="shared" si="198"/>
        <v>53</v>
      </c>
      <c r="AT974" s="19">
        <v>3</v>
      </c>
      <c r="AU974" s="14">
        <v>67</v>
      </c>
      <c r="AV974" s="14">
        <v>43</v>
      </c>
      <c r="AW974" s="13"/>
      <c r="AX974" s="13"/>
      <c r="AY974" s="19">
        <v>1</v>
      </c>
      <c r="AZ974" s="14">
        <v>12</v>
      </c>
      <c r="BA974" s="34" t="s">
        <v>79</v>
      </c>
      <c r="BB974" s="13" t="s">
        <v>271</v>
      </c>
      <c r="BF974" s="13" t="s">
        <v>444</v>
      </c>
    </row>
    <row r="975" spans="1:58" ht="14.25" x14ac:dyDescent="0.2">
      <c r="A975" t="str">
        <f t="shared" si="191"/>
        <v>A3</v>
      </c>
      <c r="B975" s="2" t="s">
        <v>656</v>
      </c>
      <c r="C975">
        <f t="shared" si="192"/>
        <v>596.25</v>
      </c>
      <c r="D975" t="str">
        <f t="shared" si="190"/>
        <v>UFD</v>
      </c>
      <c r="E975" s="169" t="str">
        <f>IF(OR(A975="",B975="",C975=""),"eine der Spalten BAB, FR, km leer?",CONCATENATE(VLOOKUP(VALUE(I975),[1]Grundlage!$A$1:$B$14,2,0),IF(LEFT(A975,1)="A",IF(VALUE(MID(A975,2,10))&lt;10,"A00"&amp;VALUE(MID(A975,2,10)),IF(VALUE(MID(A975,2,10))&lt;100,"A0"&amp;VALUE(MID(A975,2,10)),IF(VALUE(MID(A975,2,10))&lt;1000,"A"&amp;VALUE(MID(A975,2,10))))),IF(LEFT(A975,1)="B",IF(VALUE(MID(A975,2,10))&lt;10,"B00"&amp;VALUE(MID(A975,2,10)),IF(VALUE(MID(A975,2,10))&lt;100,"B0"&amp;VALUE(MID(A975,2,10)),IF(VALUE(MID(A975,2,10))&lt;1000,"B"&amp;VALUE(MID(A975,2,10))))),A975)),"_",IF(NOT(OR(C975=1000,C975&gt;1000)),MID(TEXT((C975+1000)*1000,0),2,6),"keine Meter in Spalte km!!!"),IF(VALUE(I975)=1,CONCATENATE("_",VLOOKUP(IF(V975&gt;0,V975,J975),[1]Grundlage!$A$20:$B$181,2,0)),CONCATENATE("_",B975))))</f>
        <v>UQ_A003_596250_N</v>
      </c>
      <c r="F975" s="2" t="s">
        <v>272</v>
      </c>
      <c r="G975" s="167">
        <f t="shared" si="187"/>
        <v>1208</v>
      </c>
      <c r="H975">
        <f t="shared" si="188"/>
        <v>11</v>
      </c>
      <c r="I975" s="2">
        <f t="shared" si="193"/>
        <v>3</v>
      </c>
      <c r="J975" s="2">
        <f t="shared" si="194"/>
        <v>82</v>
      </c>
      <c r="K975" s="13">
        <v>210</v>
      </c>
      <c r="L975" s="2">
        <f t="shared" si="195"/>
        <v>1</v>
      </c>
      <c r="M975" s="2">
        <f t="shared" si="196"/>
        <v>1</v>
      </c>
      <c r="N975" s="2">
        <f t="shared" si="197"/>
        <v>13</v>
      </c>
      <c r="P975" s="168">
        <f t="shared" si="198"/>
        <v>72</v>
      </c>
      <c r="AT975" s="19">
        <v>3</v>
      </c>
      <c r="AU975" s="14">
        <v>82</v>
      </c>
      <c r="AV975" s="14">
        <v>52</v>
      </c>
      <c r="AW975" s="13"/>
      <c r="AX975" s="13"/>
      <c r="AY975" s="19">
        <v>1</v>
      </c>
      <c r="AZ975" s="14">
        <v>13</v>
      </c>
      <c r="BA975" s="34" t="s">
        <v>80</v>
      </c>
      <c r="BB975" s="13" t="s">
        <v>272</v>
      </c>
      <c r="BF975" s="13" t="s">
        <v>488</v>
      </c>
    </row>
    <row r="976" spans="1:58" ht="14.25" x14ac:dyDescent="0.2">
      <c r="A976" t="str">
        <f t="shared" si="191"/>
        <v>A3</v>
      </c>
      <c r="C976">
        <f t="shared" si="192"/>
        <v>596.25</v>
      </c>
      <c r="D976" t="str">
        <f t="shared" si="190"/>
        <v/>
      </c>
      <c r="E976" s="169" t="str">
        <f>IF(OR(A976="",B976="",C976=""),"",CONCATENATE(VLOOKUP(VALUE(I976),[1]Grundlage!$A$1:$B$14,2,0),IF(LEFT(A976,1)="A",IF(VALUE(MID(A976,2,10))&lt;10,"A00"&amp;VALUE(MID(A976,2,10)),IF(VALUE(MID(A976,2,10))&lt;100,"A0"&amp;VALUE(MID(A976,2,10)),IF(VALUE(MID(A976,2,10))&lt;1000,"A"&amp;VALUE(MID(A976,2,10))))),IF(LEFT(A976,1)="B",IF(VALUE(MID(A976,2,10))&lt;10,"B00"&amp;VALUE(MID(A976,2,10)),IF(VALUE(MID(A976,2,10))&lt;100,"B0"&amp;VALUE(MID(A976,2,10)),IF(VALUE(MID(A976,2,10))&lt;1000,"B"&amp;VALUE(MID(A976,2,10))))),A976)),"_",IF(NOT(OR(C976=1000,C976&gt;1000)),MID(TEXT((C976+1000)*1000,0),2,6),"keine Meter in Spalte km!!!"),IF(VALUE(I976)=1,CONCATENATE("_",VLOOKUP(IF(V976&gt;0,V976,J976),[1]Grundlage!$A$20:$B$181,2,0)),CONCATENATE("_",B976))))</f>
        <v/>
      </c>
      <c r="F976" s="2" t="s">
        <v>669</v>
      </c>
      <c r="G976" s="167">
        <f t="shared" si="187"/>
        <v>1208</v>
      </c>
      <c r="H976">
        <f t="shared" si="188"/>
        <v>11</v>
      </c>
      <c r="I976" s="2">
        <f t="shared" si="193"/>
        <v>0</v>
      </c>
      <c r="J976" s="2">
        <f t="shared" si="194"/>
        <v>0</v>
      </c>
      <c r="K976" s="13">
        <v>210</v>
      </c>
      <c r="L976" s="2">
        <f t="shared" si="195"/>
        <v>1</v>
      </c>
      <c r="M976" s="2" t="str">
        <f t="shared" si="196"/>
        <v/>
      </c>
      <c r="N976" s="2" t="str">
        <f t="shared" si="197"/>
        <v/>
      </c>
      <c r="P976" s="168" t="str">
        <f t="shared" si="198"/>
        <v/>
      </c>
      <c r="AT976" s="19"/>
    </row>
    <row r="977" spans="1:58" ht="14.25" x14ac:dyDescent="0.2">
      <c r="A977" t="str">
        <f t="shared" si="191"/>
        <v>A3</v>
      </c>
      <c r="B977" s="2" t="s">
        <v>656</v>
      </c>
      <c r="C977">
        <f t="shared" si="192"/>
        <v>565.13</v>
      </c>
      <c r="D977" t="str">
        <f t="shared" si="190"/>
        <v>SS</v>
      </c>
      <c r="E977" s="169" t="str">
        <f>IF(OR(A977="",B977="",C977=""),"eine der Spalten BAB, FR, km leer?",CONCATENATE(VLOOKUP(VALUE(I977),[1]Grundlage!$A$1:$B$14,2,0),IF(LEFT(A977,1)="A",IF(VALUE(MID(A977,2,10))&lt;10,"A00"&amp;VALUE(MID(A977,2,10)),IF(VALUE(MID(A977,2,10))&lt;100,"A0"&amp;VALUE(MID(A977,2,10)),IF(VALUE(MID(A977,2,10))&lt;1000,"A"&amp;VALUE(MID(A977,2,10))))),IF(LEFT(A977,1)="B",IF(VALUE(MID(A977,2,10))&lt;10,"B00"&amp;VALUE(MID(A977,2,10)),IF(VALUE(MID(A977,2,10))&lt;100,"B0"&amp;VALUE(MID(A977,2,10)),IF(VALUE(MID(A977,2,10))&lt;1000,"B"&amp;VALUE(MID(A977,2,10))))),A977)),"_",IF(NOT(OR(C977=1000,C977&gt;1000)),MID(TEXT((C977+1000)*1000,0),2,6),"keine Meter in Spalte km!!!"),IF(VALUE(I977)=1,CONCATENATE("_",VLOOKUP(IF(V977&gt;0,V977,J977),[1]Grundlage!$A$20:$B$181,2,0)),CONCATENATE("_",B977))))</f>
        <v>SSt_A003_565130_N</v>
      </c>
      <c r="F977" s="2" t="s">
        <v>65</v>
      </c>
      <c r="G977" s="167">
        <f t="shared" si="187"/>
        <v>1244</v>
      </c>
      <c r="H977">
        <f t="shared" si="188"/>
        <v>77</v>
      </c>
      <c r="I977" s="2">
        <f t="shared" si="193"/>
        <v>254</v>
      </c>
      <c r="J977" s="2">
        <f t="shared" si="194"/>
        <v>0</v>
      </c>
      <c r="K977" s="13">
        <v>210</v>
      </c>
      <c r="L977" s="2">
        <f t="shared" si="195"/>
        <v>2</v>
      </c>
      <c r="M977" s="2" t="str">
        <f t="shared" si="196"/>
        <v/>
      </c>
      <c r="N977" s="2" t="str">
        <f t="shared" si="197"/>
        <v/>
      </c>
      <c r="P977" s="168" t="str">
        <f t="shared" si="198"/>
        <v/>
      </c>
      <c r="AI977" s="35">
        <v>565.13</v>
      </c>
      <c r="AJ977" s="36" t="s">
        <v>19</v>
      </c>
      <c r="AK977" s="36" t="s">
        <v>62</v>
      </c>
      <c r="AL977" s="36"/>
      <c r="AM977" s="36"/>
      <c r="AN977" s="36"/>
      <c r="AO977" s="36"/>
      <c r="AP977" s="42">
        <v>318541</v>
      </c>
      <c r="AQ977" s="66" t="s">
        <v>234</v>
      </c>
      <c r="AR977" s="42" t="s">
        <v>257</v>
      </c>
      <c r="AS977" s="42" t="s">
        <v>231</v>
      </c>
      <c r="AT977" s="36"/>
      <c r="AU977" s="36"/>
      <c r="AV977" s="36"/>
      <c r="AW977" s="36"/>
      <c r="AX977" s="36">
        <v>2</v>
      </c>
      <c r="AY977" s="36"/>
      <c r="AZ977" s="36"/>
      <c r="BA977" s="36"/>
      <c r="BB977" s="37" t="s">
        <v>65</v>
      </c>
      <c r="BC977" s="38"/>
      <c r="BD977" s="99" t="s">
        <v>163</v>
      </c>
      <c r="BE977" s="39" t="s">
        <v>66</v>
      </c>
      <c r="BF977" s="2" t="s">
        <v>561</v>
      </c>
    </row>
    <row r="978" spans="1:58" ht="14.25" x14ac:dyDescent="0.2">
      <c r="A978" t="str">
        <f t="shared" si="191"/>
        <v>A3</v>
      </c>
      <c r="B978" s="2" t="s">
        <v>656</v>
      </c>
      <c r="C978">
        <f t="shared" si="192"/>
        <v>565.13</v>
      </c>
      <c r="D978" t="str">
        <f t="shared" si="190"/>
        <v>UFD</v>
      </c>
      <c r="E978" s="169" t="str">
        <f>IF(OR(A978="",B978="",C978=""),"eine der Spalten BAB, FR, km leer?",CONCATENATE(VLOOKUP(VALUE(I978),[1]Grundlage!$A$1:$B$14,2,0),IF(LEFT(A978,1)="A",IF(VALUE(MID(A978,2,10))&lt;10,"A00"&amp;VALUE(MID(A978,2,10)),IF(VALUE(MID(A978,2,10))&lt;100,"A0"&amp;VALUE(MID(A978,2,10)),IF(VALUE(MID(A978,2,10))&lt;1000,"A"&amp;VALUE(MID(A978,2,10))))),IF(LEFT(A978,1)="B",IF(VALUE(MID(A978,2,10))&lt;10,"B00"&amp;VALUE(MID(A978,2,10)),IF(VALUE(MID(A978,2,10))&lt;100,"B0"&amp;VALUE(MID(A978,2,10)),IF(VALUE(MID(A978,2,10))&lt;1000,"B"&amp;VALUE(MID(A978,2,10))))),A978)),"_",IF(NOT(OR(C978=1000,C978&gt;1000)),MID(TEXT((C978+1000)*1000,0),2,6),"keine Meter in Spalte km!!!"),IF(VALUE(I978)=1,CONCATENATE("_",VLOOKUP(IF(V978&gt;0,V978,J978),[1]Grundlage!$A$20:$B$181,2,0)),CONCATENATE("_",B978))))</f>
        <v>UQ_A003_565130_N</v>
      </c>
      <c r="F978" s="2" t="s">
        <v>269</v>
      </c>
      <c r="G978" s="167">
        <f t="shared" si="187"/>
        <v>1244</v>
      </c>
      <c r="H978">
        <f t="shared" si="188"/>
        <v>77</v>
      </c>
      <c r="I978" s="2">
        <f t="shared" si="193"/>
        <v>3</v>
      </c>
      <c r="J978" s="2">
        <f t="shared" si="194"/>
        <v>6</v>
      </c>
      <c r="K978" s="13">
        <v>210</v>
      </c>
      <c r="L978" s="2">
        <f t="shared" si="195"/>
        <v>2</v>
      </c>
      <c r="M978" s="2">
        <f t="shared" si="196"/>
        <v>1</v>
      </c>
      <c r="N978" s="2">
        <f t="shared" si="197"/>
        <v>1</v>
      </c>
      <c r="P978" s="168">
        <f t="shared" si="198"/>
        <v>71</v>
      </c>
      <c r="AP978" s="40"/>
      <c r="AQ978" s="40"/>
      <c r="AR978" s="40"/>
      <c r="AS978" s="40"/>
      <c r="AT978" s="19">
        <v>3</v>
      </c>
      <c r="AU978" s="14">
        <v>6</v>
      </c>
      <c r="AV978" s="27">
        <v>6</v>
      </c>
      <c r="AW978" s="19"/>
      <c r="AX978" s="19"/>
      <c r="AY978" s="19">
        <v>1</v>
      </c>
      <c r="AZ978" s="14">
        <v>1</v>
      </c>
      <c r="BA978" s="100">
        <v>1</v>
      </c>
      <c r="BB978" s="13" t="s">
        <v>269</v>
      </c>
      <c r="BF978" s="2" t="s">
        <v>440</v>
      </c>
    </row>
    <row r="979" spans="1:58" ht="14.25" x14ac:dyDescent="0.2">
      <c r="A979" t="str">
        <f t="shared" si="191"/>
        <v>A3</v>
      </c>
      <c r="B979" s="2" t="s">
        <v>656</v>
      </c>
      <c r="C979">
        <f t="shared" si="192"/>
        <v>565.13</v>
      </c>
      <c r="D979" t="str">
        <f t="shared" si="190"/>
        <v>UFD</v>
      </c>
      <c r="E979" s="169" t="str">
        <f>IF(OR(A979="",B979="",C979=""),"eine der Spalten BAB, FR, km leer?",CONCATENATE(VLOOKUP(VALUE(I979),[1]Grundlage!$A$1:$B$14,2,0),IF(LEFT(A979,1)="A",IF(VALUE(MID(A979,2,10))&lt;10,"A00"&amp;VALUE(MID(A979,2,10)),IF(VALUE(MID(A979,2,10))&lt;100,"A0"&amp;VALUE(MID(A979,2,10)),IF(VALUE(MID(A979,2,10))&lt;1000,"A"&amp;VALUE(MID(A979,2,10))))),IF(LEFT(A979,1)="B",IF(VALUE(MID(A979,2,10))&lt;10,"B00"&amp;VALUE(MID(A979,2,10)),IF(VALUE(MID(A979,2,10))&lt;100,"B0"&amp;VALUE(MID(A979,2,10)),IF(VALUE(MID(A979,2,10))&lt;1000,"B"&amp;VALUE(MID(A979,2,10))))),A979)),"_",IF(NOT(OR(C979=1000,C979&gt;1000)),MID(TEXT((C979+1000)*1000,0),2,6),"keine Meter in Spalte km!!!"),IF(VALUE(I979)=1,CONCATENATE("_",VLOOKUP(IF(V979&gt;0,V979,J979),[1]Grundlage!$A$20:$B$181,2,0)),CONCATENATE("_",B979))))</f>
        <v>UQ_A003_565130_N</v>
      </c>
      <c r="F979" s="2" t="s">
        <v>270</v>
      </c>
      <c r="G979" s="167">
        <f t="shared" si="187"/>
        <v>1244</v>
      </c>
      <c r="H979">
        <f t="shared" si="188"/>
        <v>77</v>
      </c>
      <c r="I979" s="2">
        <f t="shared" si="193"/>
        <v>3</v>
      </c>
      <c r="J979" s="2">
        <f t="shared" si="194"/>
        <v>11</v>
      </c>
      <c r="K979" s="13">
        <v>210</v>
      </c>
      <c r="L979" s="2">
        <f t="shared" si="195"/>
        <v>2</v>
      </c>
      <c r="M979" s="2">
        <f t="shared" si="196"/>
        <v>1</v>
      </c>
      <c r="N979" s="2">
        <f t="shared" si="197"/>
        <v>2</v>
      </c>
      <c r="P979" s="168">
        <f t="shared" si="198"/>
        <v>70</v>
      </c>
      <c r="AT979" s="19">
        <v>3</v>
      </c>
      <c r="AU979" s="14">
        <v>11</v>
      </c>
      <c r="AV979" s="14" t="s">
        <v>78</v>
      </c>
      <c r="AW979" s="13"/>
      <c r="AX979" s="13"/>
      <c r="AY979" s="19">
        <v>1</v>
      </c>
      <c r="AZ979" s="14">
        <v>2</v>
      </c>
      <c r="BA979" s="14">
        <v>2</v>
      </c>
      <c r="BB979" s="13" t="s">
        <v>270</v>
      </c>
      <c r="BF979" s="2" t="s">
        <v>484</v>
      </c>
    </row>
    <row r="980" spans="1:58" ht="14.25" x14ac:dyDescent="0.2">
      <c r="A980" t="str">
        <f t="shared" si="191"/>
        <v>A3</v>
      </c>
      <c r="B980" s="2" t="s">
        <v>656</v>
      </c>
      <c r="C980">
        <f t="shared" si="192"/>
        <v>565.13</v>
      </c>
      <c r="D980" t="str">
        <f t="shared" si="190"/>
        <v>UFD</v>
      </c>
      <c r="E980" s="169" t="str">
        <f>IF(OR(A980="",B980="",C980=""),"eine der Spalten BAB, FR, km leer?",CONCATENATE(VLOOKUP(VALUE(I980),[1]Grundlage!$A$1:$B$14,2,0),IF(LEFT(A980,1)="A",IF(VALUE(MID(A980,2,10))&lt;10,"A00"&amp;VALUE(MID(A980,2,10)),IF(VALUE(MID(A980,2,10))&lt;100,"A0"&amp;VALUE(MID(A980,2,10)),IF(VALUE(MID(A980,2,10))&lt;1000,"A"&amp;VALUE(MID(A980,2,10))))),IF(LEFT(A980,1)="B",IF(VALUE(MID(A980,2,10))&lt;10,"B00"&amp;VALUE(MID(A980,2,10)),IF(VALUE(MID(A980,2,10))&lt;100,"B0"&amp;VALUE(MID(A980,2,10)),IF(VALUE(MID(A980,2,10))&lt;1000,"B"&amp;VALUE(MID(A980,2,10))))),A980)),"_",IF(NOT(OR(C980=1000,C980&gt;1000)),MID(TEXT((C980+1000)*1000,0),2,6),"keine Meter in Spalte km!!!"),IF(VALUE(I980)=1,CONCATENATE("_",VLOOKUP(IF(V980&gt;0,V980,J980),[1]Grundlage!$A$20:$B$181,2,0)),CONCATENATE("_",B980))))</f>
        <v>UQ_A003_565130_N</v>
      </c>
      <c r="F980" s="2" t="s">
        <v>25</v>
      </c>
      <c r="G980" s="167">
        <f t="shared" si="187"/>
        <v>1244</v>
      </c>
      <c r="H980">
        <f t="shared" si="188"/>
        <v>77</v>
      </c>
      <c r="I980" s="2">
        <f t="shared" si="193"/>
        <v>3</v>
      </c>
      <c r="J980" s="2">
        <f t="shared" si="194"/>
        <v>12</v>
      </c>
      <c r="K980" s="13">
        <v>210</v>
      </c>
      <c r="L980" s="2">
        <f t="shared" si="195"/>
        <v>2</v>
      </c>
      <c r="M980" s="2">
        <f t="shared" si="196"/>
        <v>1</v>
      </c>
      <c r="N980" s="2">
        <f t="shared" si="197"/>
        <v>3</v>
      </c>
      <c r="P980" s="168">
        <f t="shared" si="198"/>
        <v>48</v>
      </c>
      <c r="AT980" s="19">
        <v>3</v>
      </c>
      <c r="AU980" s="14">
        <v>12</v>
      </c>
      <c r="AV980" s="14" t="s">
        <v>79</v>
      </c>
      <c r="AW980" s="13"/>
      <c r="AX980" s="13"/>
      <c r="AY980" s="19">
        <v>1</v>
      </c>
      <c r="AZ980" s="14">
        <v>3</v>
      </c>
      <c r="BA980" s="14">
        <v>3</v>
      </c>
      <c r="BB980" s="13" t="s">
        <v>25</v>
      </c>
      <c r="BF980" s="13" t="s">
        <v>441</v>
      </c>
    </row>
    <row r="981" spans="1:58" ht="14.25" x14ac:dyDescent="0.2">
      <c r="A981" t="str">
        <f t="shared" si="191"/>
        <v>A3</v>
      </c>
      <c r="B981" s="2" t="s">
        <v>656</v>
      </c>
      <c r="C981">
        <f t="shared" si="192"/>
        <v>565.13</v>
      </c>
      <c r="D981" t="str">
        <f t="shared" si="190"/>
        <v>UFD</v>
      </c>
      <c r="E981" s="169" t="str">
        <f>IF(OR(A981="",B981="",C981=""),"eine der Spalten BAB, FR, km leer?",CONCATENATE(VLOOKUP(VALUE(I981),[1]Grundlage!$A$1:$B$14,2,0),IF(LEFT(A981,1)="A",IF(VALUE(MID(A981,2,10))&lt;10,"A00"&amp;VALUE(MID(A981,2,10)),IF(VALUE(MID(A981,2,10))&lt;100,"A0"&amp;VALUE(MID(A981,2,10)),IF(VALUE(MID(A981,2,10))&lt;1000,"A"&amp;VALUE(MID(A981,2,10))))),IF(LEFT(A981,1)="B",IF(VALUE(MID(A981,2,10))&lt;10,"B00"&amp;VALUE(MID(A981,2,10)),IF(VALUE(MID(A981,2,10))&lt;100,"B0"&amp;VALUE(MID(A981,2,10)),IF(VALUE(MID(A981,2,10))&lt;1000,"B"&amp;VALUE(MID(A981,2,10))))),A981)),"_",IF(NOT(OR(C981=1000,C981&gt;1000)),MID(TEXT((C981+1000)*1000,0),2,6),"keine Meter in Spalte km!!!"),IF(VALUE(I981)=1,CONCATENATE("_",VLOOKUP(IF(V981&gt;0,V981,J981),[1]Grundlage!$A$20:$B$181,2,0)),CONCATENATE("_",B981))))</f>
        <v>UQ_A003_565130_N</v>
      </c>
      <c r="F981" s="2" t="s">
        <v>26</v>
      </c>
      <c r="G981" s="167">
        <f t="shared" si="187"/>
        <v>1244</v>
      </c>
      <c r="H981">
        <f t="shared" si="188"/>
        <v>77</v>
      </c>
      <c r="I981" s="2">
        <f t="shared" si="193"/>
        <v>3</v>
      </c>
      <c r="J981" s="2">
        <f t="shared" si="194"/>
        <v>13</v>
      </c>
      <c r="K981" s="13">
        <v>210</v>
      </c>
      <c r="L981" s="2">
        <f t="shared" si="195"/>
        <v>2</v>
      </c>
      <c r="M981" s="2">
        <f t="shared" si="196"/>
        <v>1</v>
      </c>
      <c r="N981" s="2">
        <f t="shared" si="197"/>
        <v>4</v>
      </c>
      <c r="P981" s="168">
        <f t="shared" si="198"/>
        <v>55</v>
      </c>
      <c r="AT981" s="19">
        <v>3</v>
      </c>
      <c r="AU981" s="14">
        <v>13</v>
      </c>
      <c r="AV981" s="14" t="s">
        <v>80</v>
      </c>
      <c r="AW981" s="13"/>
      <c r="AX981" s="13"/>
      <c r="AY981" s="19">
        <v>1</v>
      </c>
      <c r="AZ981" s="14">
        <v>4</v>
      </c>
      <c r="BA981" s="14">
        <v>4</v>
      </c>
      <c r="BB981" s="13" t="s">
        <v>26</v>
      </c>
      <c r="BF981" s="13" t="s">
        <v>581</v>
      </c>
    </row>
    <row r="982" spans="1:58" ht="14.25" x14ac:dyDescent="0.2">
      <c r="A982" t="str">
        <f t="shared" si="191"/>
        <v>A3</v>
      </c>
      <c r="B982" s="2" t="s">
        <v>656</v>
      </c>
      <c r="C982">
        <f t="shared" si="192"/>
        <v>565.13</v>
      </c>
      <c r="D982" t="str">
        <f t="shared" si="190"/>
        <v>UFD</v>
      </c>
      <c r="E982" s="169" t="str">
        <f>IF(OR(A982="",B982="",C982=""),"eine der Spalten BAB, FR, km leer?",CONCATENATE(VLOOKUP(VALUE(I982),[1]Grundlage!$A$1:$B$14,2,0),IF(LEFT(A982,1)="A",IF(VALUE(MID(A982,2,10))&lt;10,"A00"&amp;VALUE(MID(A982,2,10)),IF(VALUE(MID(A982,2,10))&lt;100,"A0"&amp;VALUE(MID(A982,2,10)),IF(VALUE(MID(A982,2,10))&lt;1000,"A"&amp;VALUE(MID(A982,2,10))))),IF(LEFT(A982,1)="B",IF(VALUE(MID(A982,2,10))&lt;10,"B00"&amp;VALUE(MID(A982,2,10)),IF(VALUE(MID(A982,2,10))&lt;100,"B0"&amp;VALUE(MID(A982,2,10)),IF(VALUE(MID(A982,2,10))&lt;1000,"B"&amp;VALUE(MID(A982,2,10))))),A982)),"_",IF(NOT(OR(C982=1000,C982&gt;1000)),MID(TEXT((C982+1000)*1000,0),2,6),"keine Meter in Spalte km!!!"),IF(VALUE(I982)=1,CONCATENATE("_",VLOOKUP(IF(V982&gt;0,V982,J982),[1]Grundlage!$A$20:$B$181,2,0)),CONCATENATE("_",B982))))</f>
        <v>UQ_A003_565130_N</v>
      </c>
      <c r="F982" s="2" t="s">
        <v>27</v>
      </c>
      <c r="G982" s="167">
        <f t="shared" si="187"/>
        <v>1244</v>
      </c>
      <c r="H982">
        <f t="shared" si="188"/>
        <v>77</v>
      </c>
      <c r="I982" s="2">
        <f t="shared" si="193"/>
        <v>3</v>
      </c>
      <c r="J982" s="2">
        <f t="shared" si="194"/>
        <v>14</v>
      </c>
      <c r="K982" s="13">
        <v>210</v>
      </c>
      <c r="L982" s="2">
        <f t="shared" si="195"/>
        <v>2</v>
      </c>
      <c r="M982" s="2">
        <f t="shared" si="196"/>
        <v>1</v>
      </c>
      <c r="N982" s="2">
        <f t="shared" si="197"/>
        <v>5</v>
      </c>
      <c r="P982" s="168">
        <f t="shared" si="198"/>
        <v>66</v>
      </c>
      <c r="AT982" s="19">
        <v>3</v>
      </c>
      <c r="AU982" s="14">
        <v>14</v>
      </c>
      <c r="AV982" s="14" t="s">
        <v>81</v>
      </c>
      <c r="AW982" s="13"/>
      <c r="AX982" s="13"/>
      <c r="AY982" s="19">
        <v>1</v>
      </c>
      <c r="AZ982" s="14">
        <v>5</v>
      </c>
      <c r="BA982" s="14">
        <v>5</v>
      </c>
      <c r="BB982" s="13" t="s">
        <v>27</v>
      </c>
      <c r="BF982" s="13" t="s">
        <v>443</v>
      </c>
    </row>
    <row r="983" spans="1:58" ht="14.25" x14ac:dyDescent="0.2">
      <c r="A983" t="str">
        <f t="shared" si="191"/>
        <v>A3</v>
      </c>
      <c r="B983" s="2" t="s">
        <v>656</v>
      </c>
      <c r="C983">
        <f t="shared" si="192"/>
        <v>565.13</v>
      </c>
      <c r="D983" t="str">
        <f t="shared" si="190"/>
        <v>UFD</v>
      </c>
      <c r="E983" s="169" t="str">
        <f>IF(OR(A983="",B983="",C983=""),"eine der Spalten BAB, FR, km leer?",CONCATENATE(VLOOKUP(VALUE(I983),[1]Grundlage!$A$1:$B$14,2,0),IF(LEFT(A983,1)="A",IF(VALUE(MID(A983,2,10))&lt;10,"A00"&amp;VALUE(MID(A983,2,10)),IF(VALUE(MID(A983,2,10))&lt;100,"A0"&amp;VALUE(MID(A983,2,10)),IF(VALUE(MID(A983,2,10))&lt;1000,"A"&amp;VALUE(MID(A983,2,10))))),IF(LEFT(A983,1)="B",IF(VALUE(MID(A983,2,10))&lt;10,"B00"&amp;VALUE(MID(A983,2,10)),IF(VALUE(MID(A983,2,10))&lt;100,"B0"&amp;VALUE(MID(A983,2,10)),IF(VALUE(MID(A983,2,10))&lt;1000,"B"&amp;VALUE(MID(A983,2,10))))),A983)),"_",IF(NOT(OR(C983=1000,C983&gt;1000)),MID(TEXT((C983+1000)*1000,0),2,6),"keine Meter in Spalte km!!!"),IF(VALUE(I983)=1,CONCATENATE("_",VLOOKUP(IF(V983&gt;0,V983,J983),[1]Grundlage!$A$20:$B$181,2,0)),CONCATENATE("_",B983))))</f>
        <v>UQ_A003_565130_N</v>
      </c>
      <c r="F983" s="2" t="s">
        <v>28</v>
      </c>
      <c r="G983" s="167">
        <f t="shared" si="187"/>
        <v>1244</v>
      </c>
      <c r="H983">
        <f t="shared" si="188"/>
        <v>77</v>
      </c>
      <c r="I983" s="2">
        <f t="shared" si="193"/>
        <v>3</v>
      </c>
      <c r="J983" s="2">
        <f t="shared" si="194"/>
        <v>15</v>
      </c>
      <c r="K983" s="13">
        <v>210</v>
      </c>
      <c r="L983" s="2">
        <f t="shared" si="195"/>
        <v>2</v>
      </c>
      <c r="M983" s="2">
        <f t="shared" si="196"/>
        <v>1</v>
      </c>
      <c r="N983" s="2">
        <f t="shared" si="197"/>
        <v>6</v>
      </c>
      <c r="P983" s="168">
        <f t="shared" si="198"/>
        <v>65</v>
      </c>
      <c r="AT983" s="19">
        <v>3</v>
      </c>
      <c r="AU983" s="14">
        <v>15</v>
      </c>
      <c r="AV983" s="14" t="s">
        <v>82</v>
      </c>
      <c r="AW983" s="13"/>
      <c r="AX983" s="13"/>
      <c r="AY983" s="19">
        <v>1</v>
      </c>
      <c r="AZ983" s="14">
        <v>6</v>
      </c>
      <c r="BA983" s="14">
        <v>6</v>
      </c>
      <c r="BB983" s="13" t="s">
        <v>28</v>
      </c>
      <c r="BF983" s="13" t="s">
        <v>485</v>
      </c>
    </row>
    <row r="984" spans="1:58" ht="14.25" x14ac:dyDescent="0.2">
      <c r="A984" t="str">
        <f t="shared" si="191"/>
        <v>A3</v>
      </c>
      <c r="B984" s="2" t="s">
        <v>656</v>
      </c>
      <c r="C984">
        <f t="shared" si="192"/>
        <v>565.13</v>
      </c>
      <c r="D984" t="str">
        <f t="shared" si="190"/>
        <v>UFD</v>
      </c>
      <c r="E984" s="169" t="str">
        <f>IF(OR(A984="",B984="",C984=""),"eine der Spalten BAB, FR, km leer?",CONCATENATE(VLOOKUP(VALUE(I984),[1]Grundlage!$A$1:$B$14,2,0),IF(LEFT(A984,1)="A",IF(VALUE(MID(A984,2,10))&lt;10,"A00"&amp;VALUE(MID(A984,2,10)),IF(VALUE(MID(A984,2,10))&lt;100,"A0"&amp;VALUE(MID(A984,2,10)),IF(VALUE(MID(A984,2,10))&lt;1000,"A"&amp;VALUE(MID(A984,2,10))))),IF(LEFT(A984,1)="B",IF(VALUE(MID(A984,2,10))&lt;10,"B00"&amp;VALUE(MID(A984,2,10)),IF(VALUE(MID(A984,2,10))&lt;100,"B0"&amp;VALUE(MID(A984,2,10)),IF(VALUE(MID(A984,2,10))&lt;1000,"B"&amp;VALUE(MID(A984,2,10))))),A984)),"_",IF(NOT(OR(C984=1000,C984&gt;1000)),MID(TEXT((C984+1000)*1000,0),2,6),"keine Meter in Spalte km!!!"),IF(VALUE(I984)=1,CONCATENATE("_",VLOOKUP(IF(V984&gt;0,V984,J984),[1]Grundlage!$A$20:$B$181,2,0)),CONCATENATE("_",B984))))</f>
        <v>UQ_A003_565130_N</v>
      </c>
      <c r="F984" s="2" t="s">
        <v>29</v>
      </c>
      <c r="G984" s="167">
        <f t="shared" si="187"/>
        <v>1244</v>
      </c>
      <c r="H984">
        <f t="shared" si="188"/>
        <v>77</v>
      </c>
      <c r="I984" s="2">
        <f t="shared" si="193"/>
        <v>3</v>
      </c>
      <c r="J984" s="2">
        <f t="shared" si="194"/>
        <v>19</v>
      </c>
      <c r="K984" s="13">
        <v>210</v>
      </c>
      <c r="L984" s="2">
        <f t="shared" si="195"/>
        <v>2</v>
      </c>
      <c r="M984" s="2">
        <f t="shared" si="196"/>
        <v>1</v>
      </c>
      <c r="N984" s="2">
        <f t="shared" si="197"/>
        <v>7</v>
      </c>
      <c r="P984" s="168">
        <f t="shared" si="198"/>
        <v>49</v>
      </c>
      <c r="AT984" s="19">
        <v>3</v>
      </c>
      <c r="AU984" s="14">
        <v>19</v>
      </c>
      <c r="AV984" s="14">
        <v>13</v>
      </c>
      <c r="AW984" s="13"/>
      <c r="AX984" s="13"/>
      <c r="AY984" s="19">
        <v>1</v>
      </c>
      <c r="AZ984" s="14">
        <v>7</v>
      </c>
      <c r="BA984" s="14">
        <v>7</v>
      </c>
      <c r="BB984" s="13" t="s">
        <v>29</v>
      </c>
      <c r="BF984" s="13" t="s">
        <v>486</v>
      </c>
    </row>
    <row r="985" spans="1:58" ht="14.25" x14ac:dyDescent="0.2">
      <c r="A985" t="str">
        <f t="shared" si="191"/>
        <v>A3</v>
      </c>
      <c r="B985" s="2" t="s">
        <v>656</v>
      </c>
      <c r="C985">
        <f t="shared" si="192"/>
        <v>565.13</v>
      </c>
      <c r="D985" t="str">
        <f t="shared" si="190"/>
        <v>UFD</v>
      </c>
      <c r="E985" s="169" t="str">
        <f>IF(OR(A985="",B985="",C985=""),"eine der Spalten BAB, FR, km leer?",CONCATENATE(VLOOKUP(VALUE(I985),[1]Grundlage!$A$1:$B$14,2,0),IF(LEFT(A985,1)="A",IF(VALUE(MID(A985,2,10))&lt;10,"A00"&amp;VALUE(MID(A985,2,10)),IF(VALUE(MID(A985,2,10))&lt;100,"A0"&amp;VALUE(MID(A985,2,10)),IF(VALUE(MID(A985,2,10))&lt;1000,"A"&amp;VALUE(MID(A985,2,10))))),IF(LEFT(A985,1)="B",IF(VALUE(MID(A985,2,10))&lt;10,"B00"&amp;VALUE(MID(A985,2,10)),IF(VALUE(MID(A985,2,10))&lt;100,"B0"&amp;VALUE(MID(A985,2,10)),IF(VALUE(MID(A985,2,10))&lt;1000,"B"&amp;VALUE(MID(A985,2,10))))),A985)),"_",IF(NOT(OR(C985=1000,C985&gt;1000)),MID(TEXT((C985+1000)*1000,0),2,6),"keine Meter in Spalte km!!!"),IF(VALUE(I985)=1,CONCATENATE("_",VLOOKUP(IF(V985&gt;0,V985,J985),[1]Grundlage!$A$20:$B$181,2,0)),CONCATENATE("_",B985))))</f>
        <v>UQ_A003_565130_N</v>
      </c>
      <c r="F985" s="2" t="s">
        <v>30</v>
      </c>
      <c r="G985" s="167">
        <f t="shared" si="187"/>
        <v>1244</v>
      </c>
      <c r="H985">
        <f t="shared" si="188"/>
        <v>77</v>
      </c>
      <c r="I985" s="2">
        <f t="shared" si="193"/>
        <v>3</v>
      </c>
      <c r="J985" s="2">
        <f t="shared" si="194"/>
        <v>21</v>
      </c>
      <c r="K985" s="13">
        <v>210</v>
      </c>
      <c r="L985" s="2">
        <f t="shared" si="195"/>
        <v>2</v>
      </c>
      <c r="M985" s="2">
        <f t="shared" si="196"/>
        <v>1</v>
      </c>
      <c r="N985" s="2">
        <f t="shared" si="197"/>
        <v>8</v>
      </c>
      <c r="P985" s="168">
        <f t="shared" si="198"/>
        <v>67</v>
      </c>
      <c r="AT985" s="19">
        <v>3</v>
      </c>
      <c r="AU985" s="14">
        <v>21</v>
      </c>
      <c r="AV985" s="14">
        <v>15</v>
      </c>
      <c r="AW985" s="13"/>
      <c r="AX985" s="13"/>
      <c r="AY985" s="19">
        <v>1</v>
      </c>
      <c r="AZ985" s="14">
        <v>8</v>
      </c>
      <c r="BA985" s="14">
        <v>8</v>
      </c>
      <c r="BB985" s="13" t="s">
        <v>30</v>
      </c>
      <c r="BF985" s="13" t="s">
        <v>487</v>
      </c>
    </row>
    <row r="986" spans="1:58" ht="13.5" customHeight="1" x14ac:dyDescent="0.2">
      <c r="A986" t="str">
        <f t="shared" si="191"/>
        <v>A3</v>
      </c>
      <c r="B986" s="2" t="s">
        <v>656</v>
      </c>
      <c r="C986">
        <f t="shared" si="192"/>
        <v>565.13</v>
      </c>
      <c r="D986" t="str">
        <f t="shared" si="190"/>
        <v>UFD</v>
      </c>
      <c r="E986" s="169" t="str">
        <f>IF(OR(A986="",B986="",C986=""),"eine der Spalten BAB, FR, km leer?",CONCATENATE(VLOOKUP(VALUE(I986),[1]Grundlage!$A$1:$B$14,2,0),IF(LEFT(A986,1)="A",IF(VALUE(MID(A986,2,10))&lt;10,"A00"&amp;VALUE(MID(A986,2,10)),IF(VALUE(MID(A986,2,10))&lt;100,"A0"&amp;VALUE(MID(A986,2,10)),IF(VALUE(MID(A986,2,10))&lt;1000,"A"&amp;VALUE(MID(A986,2,10))))),IF(LEFT(A986,1)="B",IF(VALUE(MID(A986,2,10))&lt;10,"B00"&amp;VALUE(MID(A986,2,10)),IF(VALUE(MID(A986,2,10))&lt;100,"B0"&amp;VALUE(MID(A986,2,10)),IF(VALUE(MID(A986,2,10))&lt;1000,"B"&amp;VALUE(MID(A986,2,10))))),A986)),"_",IF(NOT(OR(C986=1000,C986&gt;1000)),MID(TEXT((C986+1000)*1000,0),2,6),"keine Meter in Spalte km!!!"),IF(VALUE(I986)=1,CONCATENATE("_",VLOOKUP(IF(V986&gt;0,V986,J986),[1]Grundlage!$A$20:$B$181,2,0)),CONCATENATE("_",B986))))</f>
        <v>UQ_A003_565130_N</v>
      </c>
      <c r="F986" s="2" t="s">
        <v>271</v>
      </c>
      <c r="G986" s="167">
        <f t="shared" si="187"/>
        <v>1244</v>
      </c>
      <c r="H986">
        <f t="shared" si="188"/>
        <v>77</v>
      </c>
      <c r="I986" s="2">
        <f t="shared" si="193"/>
        <v>3</v>
      </c>
      <c r="J986" s="2">
        <f t="shared" si="194"/>
        <v>67</v>
      </c>
      <c r="K986" s="13">
        <v>210</v>
      </c>
      <c r="L986" s="2">
        <f t="shared" si="195"/>
        <v>2</v>
      </c>
      <c r="M986" s="2">
        <f t="shared" si="196"/>
        <v>1</v>
      </c>
      <c r="N986" s="2">
        <f t="shared" si="197"/>
        <v>9</v>
      </c>
      <c r="P986" s="168">
        <f t="shared" si="198"/>
        <v>53</v>
      </c>
      <c r="AT986" s="19">
        <v>3</v>
      </c>
      <c r="AU986" s="14">
        <v>67</v>
      </c>
      <c r="AV986" s="14">
        <v>43</v>
      </c>
      <c r="AW986" s="13"/>
      <c r="AX986" s="13"/>
      <c r="AY986" s="19">
        <v>1</v>
      </c>
      <c r="AZ986" s="14">
        <v>9</v>
      </c>
      <c r="BA986" s="34">
        <v>9</v>
      </c>
      <c r="BB986" s="13" t="s">
        <v>271</v>
      </c>
      <c r="BF986" s="13" t="s">
        <v>444</v>
      </c>
    </row>
    <row r="987" spans="1:58" ht="14.25" x14ac:dyDescent="0.2">
      <c r="A987" t="str">
        <f t="shared" si="191"/>
        <v>A3</v>
      </c>
      <c r="B987" s="2" t="s">
        <v>656</v>
      </c>
      <c r="C987">
        <f t="shared" si="192"/>
        <v>565.13</v>
      </c>
      <c r="D987" t="str">
        <f t="shared" si="190"/>
        <v>UFD</v>
      </c>
      <c r="E987" s="169" t="str">
        <f>IF(OR(A987="",B987="",C987=""),"eine der Spalten BAB, FR, km leer?",CONCATENATE(VLOOKUP(VALUE(I987),[1]Grundlage!$A$1:$B$14,2,0),IF(LEFT(A987,1)="A",IF(VALUE(MID(A987,2,10))&lt;10,"A00"&amp;VALUE(MID(A987,2,10)),IF(VALUE(MID(A987,2,10))&lt;100,"A0"&amp;VALUE(MID(A987,2,10)),IF(VALUE(MID(A987,2,10))&lt;1000,"A"&amp;VALUE(MID(A987,2,10))))),IF(LEFT(A987,1)="B",IF(VALUE(MID(A987,2,10))&lt;10,"B00"&amp;VALUE(MID(A987,2,10)),IF(VALUE(MID(A987,2,10))&lt;100,"B0"&amp;VALUE(MID(A987,2,10)),IF(VALUE(MID(A987,2,10))&lt;1000,"B"&amp;VALUE(MID(A987,2,10))))),A987)),"_",IF(NOT(OR(C987=1000,C987&gt;1000)),MID(TEXT((C987+1000)*1000,0),2,6),"keine Meter in Spalte km!!!"),IF(VALUE(I987)=1,CONCATENATE("_",VLOOKUP(IF(V987&gt;0,V987,J987),[1]Grundlage!$A$20:$B$181,2,0)),CONCATENATE("_",B987))))</f>
        <v>UQ_A003_565130_N</v>
      </c>
      <c r="F987" s="2" t="s">
        <v>272</v>
      </c>
      <c r="G987" s="167">
        <f t="shared" si="187"/>
        <v>1244</v>
      </c>
      <c r="H987">
        <f t="shared" si="188"/>
        <v>77</v>
      </c>
      <c r="I987" s="2">
        <f t="shared" si="193"/>
        <v>3</v>
      </c>
      <c r="J987" s="2">
        <f t="shared" si="194"/>
        <v>82</v>
      </c>
      <c r="K987" s="13">
        <v>210</v>
      </c>
      <c r="L987" s="2">
        <f t="shared" si="195"/>
        <v>2</v>
      </c>
      <c r="M987" s="2">
        <f t="shared" si="196"/>
        <v>1</v>
      </c>
      <c r="N987" s="2">
        <f t="shared" si="197"/>
        <v>10</v>
      </c>
      <c r="P987" s="168">
        <f t="shared" si="198"/>
        <v>72</v>
      </c>
      <c r="AT987" s="19">
        <v>3</v>
      </c>
      <c r="AU987" s="14">
        <v>82</v>
      </c>
      <c r="AV987" s="14">
        <v>52</v>
      </c>
      <c r="AW987" s="13"/>
      <c r="AX987" s="13"/>
      <c r="AY987" s="19">
        <v>1</v>
      </c>
      <c r="AZ987" s="14">
        <v>10</v>
      </c>
      <c r="BA987" s="34" t="s">
        <v>95</v>
      </c>
      <c r="BB987" s="13" t="s">
        <v>272</v>
      </c>
      <c r="BF987" s="13" t="s">
        <v>488</v>
      </c>
    </row>
    <row r="988" spans="1:58" ht="14.25" x14ac:dyDescent="0.2">
      <c r="A988" t="str">
        <f t="shared" si="191"/>
        <v>A3</v>
      </c>
      <c r="C988">
        <f t="shared" si="192"/>
        <v>565.13</v>
      </c>
      <c r="D988" t="str">
        <f t="shared" ref="D988:D1051" si="199">IF(AJ988="SST","SS",IF(AND(AJ988="",ISTEXT(BF988)),"UFD",""))</f>
        <v/>
      </c>
      <c r="E988" s="169" t="str">
        <f>IF(OR(A988="",B988="",C988=""),"",CONCATENATE(VLOOKUP(VALUE(I988),[1]Grundlage!$A$1:$B$14,2,0),IF(LEFT(A988,1)="A",IF(VALUE(MID(A988,2,10))&lt;10,"A00"&amp;VALUE(MID(A988,2,10)),IF(VALUE(MID(A988,2,10))&lt;100,"A0"&amp;VALUE(MID(A988,2,10)),IF(VALUE(MID(A988,2,10))&lt;1000,"A"&amp;VALUE(MID(A988,2,10))))),IF(LEFT(A988,1)="B",IF(VALUE(MID(A988,2,10))&lt;10,"B00"&amp;VALUE(MID(A988,2,10)),IF(VALUE(MID(A988,2,10))&lt;100,"B0"&amp;VALUE(MID(A988,2,10)),IF(VALUE(MID(A988,2,10))&lt;1000,"B"&amp;VALUE(MID(A988,2,10))))),A988)),"_",IF(NOT(OR(C988=1000,C988&gt;1000)),MID(TEXT((C988+1000)*1000,0),2,6),"keine Meter in Spalte km!!!"),IF(VALUE(I988)=1,CONCATENATE("_",VLOOKUP(IF(V988&gt;0,V988,J988),[1]Grundlage!$A$20:$B$181,2,0)),CONCATENATE("_",B988))))</f>
        <v/>
      </c>
      <c r="F988" s="2" t="s">
        <v>669</v>
      </c>
      <c r="G988" s="167">
        <f t="shared" si="187"/>
        <v>1244</v>
      </c>
      <c r="H988">
        <f t="shared" si="188"/>
        <v>77</v>
      </c>
      <c r="I988" s="2">
        <f t="shared" si="193"/>
        <v>0</v>
      </c>
      <c r="J988" s="2">
        <f t="shared" si="194"/>
        <v>0</v>
      </c>
      <c r="K988" s="13">
        <v>210</v>
      </c>
      <c r="L988" s="2">
        <f t="shared" si="195"/>
        <v>2</v>
      </c>
      <c r="M988" s="2" t="str">
        <f t="shared" si="196"/>
        <v/>
      </c>
      <c r="N988" s="2" t="str">
        <f t="shared" si="197"/>
        <v/>
      </c>
      <c r="P988" s="168" t="str">
        <f t="shared" si="198"/>
        <v/>
      </c>
      <c r="BF988" s="13"/>
    </row>
    <row r="989" spans="1:58" ht="14.25" x14ac:dyDescent="0.2">
      <c r="A989" t="str">
        <f t="shared" si="191"/>
        <v>A92</v>
      </c>
      <c r="B989" s="2" t="s">
        <v>657</v>
      </c>
      <c r="C989">
        <f t="shared" si="192"/>
        <v>94.21</v>
      </c>
      <c r="D989" t="str">
        <f t="shared" si="199"/>
        <v>SS</v>
      </c>
      <c r="E989" s="169" t="str">
        <f>IF(OR(A989="",B989="",C989=""),"eine der Spalten BAB, FR, km leer?",CONCATENATE(VLOOKUP(VALUE(I989),[1]Grundlage!$A$1:$B$14,2,0),IF(LEFT(A989,1)="A",IF(VALUE(MID(A989,2,10))&lt;10,"A00"&amp;VALUE(MID(A989,2,10)),IF(VALUE(MID(A989,2,10))&lt;100,"A0"&amp;VALUE(MID(A989,2,10)),IF(VALUE(MID(A989,2,10))&lt;1000,"A"&amp;VALUE(MID(A989,2,10))))),IF(LEFT(A989,1)="B",IF(VALUE(MID(A989,2,10))&lt;10,"B00"&amp;VALUE(MID(A989,2,10)),IF(VALUE(MID(A989,2,10))&lt;100,"B0"&amp;VALUE(MID(A989,2,10)),IF(VALUE(MID(A989,2,10))&lt;1000,"B"&amp;VALUE(MID(A989,2,10))))),A989)),"_",IF(NOT(OR(C989=1000,C989&gt;1000)),MID(TEXT((C989+1000)*1000,0),2,6),"keine Meter in Spalte km!!!"),IF(VALUE(I989)=1,CONCATENATE("_",VLOOKUP(IF(V989&gt;0,V989,J989),[1]Grundlage!$A$20:$B$181,2,0)),CONCATENATE("_",B989))))</f>
        <v>SSt_A092_094210_W</v>
      </c>
      <c r="F989" s="2" t="s">
        <v>149</v>
      </c>
      <c r="G989" s="167">
        <f t="shared" si="187"/>
        <v>36007</v>
      </c>
      <c r="H989">
        <f t="shared" si="188"/>
        <v>213</v>
      </c>
      <c r="I989" s="2">
        <f t="shared" si="193"/>
        <v>254</v>
      </c>
      <c r="J989" s="2">
        <f t="shared" si="194"/>
        <v>0</v>
      </c>
      <c r="K989" s="13">
        <v>210</v>
      </c>
      <c r="L989" s="2">
        <f t="shared" si="195"/>
        <v>3</v>
      </c>
      <c r="M989" s="2" t="str">
        <f t="shared" si="196"/>
        <v/>
      </c>
      <c r="N989" s="2" t="str">
        <f t="shared" si="197"/>
        <v/>
      </c>
      <c r="P989" s="168" t="str">
        <f t="shared" si="198"/>
        <v/>
      </c>
      <c r="AI989" s="43">
        <v>94.21</v>
      </c>
      <c r="AJ989" s="39" t="s">
        <v>19</v>
      </c>
      <c r="AK989" s="36" t="s">
        <v>72</v>
      </c>
      <c r="AL989" s="36"/>
      <c r="AM989" s="36"/>
      <c r="AN989" s="36"/>
      <c r="AO989" s="36"/>
      <c r="AP989" s="36">
        <v>9218005</v>
      </c>
      <c r="AQ989" s="67" t="s">
        <v>230</v>
      </c>
      <c r="AR989" s="67" t="s">
        <v>31</v>
      </c>
      <c r="AS989" s="67" t="s">
        <v>254</v>
      </c>
      <c r="AT989" s="36"/>
      <c r="AU989" s="36"/>
      <c r="AV989" s="36"/>
      <c r="AW989" s="36"/>
      <c r="AX989" s="36">
        <v>3</v>
      </c>
      <c r="AY989" s="36"/>
      <c r="AZ989" s="36"/>
      <c r="BA989" s="36"/>
      <c r="BB989" s="37" t="s">
        <v>149</v>
      </c>
      <c r="BC989" s="38"/>
      <c r="BD989" s="99" t="s">
        <v>163</v>
      </c>
      <c r="BE989" s="39" t="s">
        <v>66</v>
      </c>
      <c r="BF989" s="19" t="s">
        <v>451</v>
      </c>
    </row>
    <row r="990" spans="1:58" ht="14.25" x14ac:dyDescent="0.2">
      <c r="A990" t="str">
        <f t="shared" si="191"/>
        <v>A92</v>
      </c>
      <c r="B990" s="2" t="s">
        <v>657</v>
      </c>
      <c r="C990">
        <f t="shared" si="192"/>
        <v>94.21</v>
      </c>
      <c r="D990" t="str">
        <f t="shared" si="199"/>
        <v>UFD</v>
      </c>
      <c r="E990" s="169" t="str">
        <f>IF(OR(A990="",B990="",C990=""),"eine der Spalten BAB, FR, km leer?",CONCATENATE(VLOOKUP(VALUE(I990),[1]Grundlage!$A$1:$B$14,2,0),IF(LEFT(A990,1)="A",IF(VALUE(MID(A990,2,10))&lt;10,"A00"&amp;VALUE(MID(A990,2,10)),IF(VALUE(MID(A990,2,10))&lt;100,"A0"&amp;VALUE(MID(A990,2,10)),IF(VALUE(MID(A990,2,10))&lt;1000,"A"&amp;VALUE(MID(A990,2,10))))),IF(LEFT(A990,1)="B",IF(VALUE(MID(A990,2,10))&lt;10,"B00"&amp;VALUE(MID(A990,2,10)),IF(VALUE(MID(A990,2,10))&lt;100,"B0"&amp;VALUE(MID(A990,2,10)),IF(VALUE(MID(A990,2,10))&lt;1000,"B"&amp;VALUE(MID(A990,2,10))))),A990)),"_",IF(NOT(OR(C990=1000,C990&gt;1000)),MID(TEXT((C990+1000)*1000,0),2,6),"keine Meter in Spalte km!!!"),IF(VALUE(I990)=1,CONCATENATE("_",VLOOKUP(IF(V990&gt;0,V990,J990),[1]Grundlage!$A$20:$B$181,2,0)),CONCATENATE("_",B990))))</f>
        <v>UQ_A092_094210_W</v>
      </c>
      <c r="F990" s="2" t="s">
        <v>269</v>
      </c>
      <c r="G990" s="167">
        <f t="shared" si="187"/>
        <v>36007</v>
      </c>
      <c r="H990">
        <f t="shared" si="188"/>
        <v>213</v>
      </c>
      <c r="I990" s="2">
        <f t="shared" si="193"/>
        <v>3</v>
      </c>
      <c r="J990" s="2">
        <f t="shared" si="194"/>
        <v>6</v>
      </c>
      <c r="K990" s="13">
        <v>210</v>
      </c>
      <c r="L990" s="2">
        <f t="shared" si="195"/>
        <v>3</v>
      </c>
      <c r="M990" s="2">
        <f t="shared" si="196"/>
        <v>1</v>
      </c>
      <c r="N990" s="2">
        <f t="shared" si="197"/>
        <v>1</v>
      </c>
      <c r="P990" s="168">
        <f t="shared" si="198"/>
        <v>71</v>
      </c>
      <c r="AT990" s="19">
        <v>3</v>
      </c>
      <c r="AU990" s="14">
        <v>6</v>
      </c>
      <c r="AV990" s="27">
        <v>6</v>
      </c>
      <c r="AW990" s="19"/>
      <c r="AX990" s="19"/>
      <c r="AY990" s="19">
        <v>1</v>
      </c>
      <c r="AZ990" s="14">
        <v>1</v>
      </c>
      <c r="BA990" s="100">
        <v>1</v>
      </c>
      <c r="BB990" s="13" t="s">
        <v>269</v>
      </c>
      <c r="BF990" s="19" t="s">
        <v>440</v>
      </c>
    </row>
    <row r="991" spans="1:58" ht="14.25" x14ac:dyDescent="0.2">
      <c r="A991" t="str">
        <f t="shared" si="191"/>
        <v>A92</v>
      </c>
      <c r="B991" s="2" t="s">
        <v>657</v>
      </c>
      <c r="C991">
        <f t="shared" si="192"/>
        <v>94.21</v>
      </c>
      <c r="D991" t="str">
        <f t="shared" si="199"/>
        <v>UFD</v>
      </c>
      <c r="E991" s="169" t="str">
        <f>IF(OR(A991="",B991="",C991=""),"eine der Spalten BAB, FR, km leer?",CONCATENATE(VLOOKUP(VALUE(I991),[1]Grundlage!$A$1:$B$14,2,0),IF(LEFT(A991,1)="A",IF(VALUE(MID(A991,2,10))&lt;10,"A00"&amp;VALUE(MID(A991,2,10)),IF(VALUE(MID(A991,2,10))&lt;100,"A0"&amp;VALUE(MID(A991,2,10)),IF(VALUE(MID(A991,2,10))&lt;1000,"A"&amp;VALUE(MID(A991,2,10))))),IF(LEFT(A991,1)="B",IF(VALUE(MID(A991,2,10))&lt;10,"B00"&amp;VALUE(MID(A991,2,10)),IF(VALUE(MID(A991,2,10))&lt;100,"B0"&amp;VALUE(MID(A991,2,10)),IF(VALUE(MID(A991,2,10))&lt;1000,"B"&amp;VALUE(MID(A991,2,10))))),A991)),"_",IF(NOT(OR(C991=1000,C991&gt;1000)),MID(TEXT((C991+1000)*1000,0),2,6),"keine Meter in Spalte km!!!"),IF(VALUE(I991)=1,CONCATENATE("_",VLOOKUP(IF(V991&gt;0,V991,J991),[1]Grundlage!$A$20:$B$181,2,0)),CONCATENATE("_",B991))))</f>
        <v>UQ_A092_094210_W</v>
      </c>
      <c r="F991" s="2" t="s">
        <v>270</v>
      </c>
      <c r="G991" s="167">
        <f t="shared" si="187"/>
        <v>36007</v>
      </c>
      <c r="H991">
        <f t="shared" si="188"/>
        <v>213</v>
      </c>
      <c r="I991" s="2">
        <f t="shared" si="193"/>
        <v>3</v>
      </c>
      <c r="J991" s="2">
        <f t="shared" si="194"/>
        <v>11</v>
      </c>
      <c r="K991" s="13">
        <v>210</v>
      </c>
      <c r="L991" s="2">
        <f t="shared" si="195"/>
        <v>3</v>
      </c>
      <c r="M991" s="2">
        <f t="shared" si="196"/>
        <v>1</v>
      </c>
      <c r="N991" s="2">
        <f t="shared" si="197"/>
        <v>2</v>
      </c>
      <c r="P991" s="168">
        <f t="shared" si="198"/>
        <v>70</v>
      </c>
      <c r="AT991" s="19">
        <v>3</v>
      </c>
      <c r="AU991" s="14">
        <v>11</v>
      </c>
      <c r="AV991" s="14" t="s">
        <v>78</v>
      </c>
      <c r="AW991" s="13"/>
      <c r="AX991" s="13"/>
      <c r="AY991" s="19">
        <v>1</v>
      </c>
      <c r="AZ991" s="14">
        <v>2</v>
      </c>
      <c r="BA991" s="14">
        <v>2</v>
      </c>
      <c r="BB991" s="13" t="s">
        <v>270</v>
      </c>
      <c r="BF991" s="19" t="s">
        <v>478</v>
      </c>
    </row>
    <row r="992" spans="1:58" ht="14.25" x14ac:dyDescent="0.2">
      <c r="A992" t="str">
        <f t="shared" si="191"/>
        <v>A92</v>
      </c>
      <c r="B992" s="2" t="s">
        <v>657</v>
      </c>
      <c r="C992">
        <f t="shared" si="192"/>
        <v>94.21</v>
      </c>
      <c r="D992" t="str">
        <f t="shared" si="199"/>
        <v>UFD</v>
      </c>
      <c r="E992" s="169" t="str">
        <f>IF(OR(A992="",B992="",C992=""),"eine der Spalten BAB, FR, km leer?",CONCATENATE(VLOOKUP(VALUE(I992),[1]Grundlage!$A$1:$B$14,2,0),IF(LEFT(A992,1)="A",IF(VALUE(MID(A992,2,10))&lt;10,"A00"&amp;VALUE(MID(A992,2,10)),IF(VALUE(MID(A992,2,10))&lt;100,"A0"&amp;VALUE(MID(A992,2,10)),IF(VALUE(MID(A992,2,10))&lt;1000,"A"&amp;VALUE(MID(A992,2,10))))),IF(LEFT(A992,1)="B",IF(VALUE(MID(A992,2,10))&lt;10,"B00"&amp;VALUE(MID(A992,2,10)),IF(VALUE(MID(A992,2,10))&lt;100,"B0"&amp;VALUE(MID(A992,2,10)),IF(VALUE(MID(A992,2,10))&lt;1000,"B"&amp;VALUE(MID(A992,2,10))))),A992)),"_",IF(NOT(OR(C992=1000,C992&gt;1000)),MID(TEXT((C992+1000)*1000,0),2,6),"keine Meter in Spalte km!!!"),IF(VALUE(I992)=1,CONCATENATE("_",VLOOKUP(IF(V992&gt;0,V992,J992),[1]Grundlage!$A$20:$B$181,2,0)),CONCATENATE("_",B992))))</f>
        <v>UQ_A092_094210_W</v>
      </c>
      <c r="F992" s="2" t="s">
        <v>25</v>
      </c>
      <c r="G992" s="167">
        <f t="shared" si="187"/>
        <v>36007</v>
      </c>
      <c r="H992">
        <f t="shared" si="188"/>
        <v>213</v>
      </c>
      <c r="I992" s="2">
        <f t="shared" si="193"/>
        <v>3</v>
      </c>
      <c r="J992" s="2">
        <f t="shared" si="194"/>
        <v>12</v>
      </c>
      <c r="K992" s="13">
        <v>210</v>
      </c>
      <c r="L992" s="2">
        <f t="shared" si="195"/>
        <v>3</v>
      </c>
      <c r="M992" s="2">
        <f t="shared" si="196"/>
        <v>1</v>
      </c>
      <c r="N992" s="2">
        <f t="shared" si="197"/>
        <v>3</v>
      </c>
      <c r="P992" s="168">
        <f t="shared" si="198"/>
        <v>48</v>
      </c>
      <c r="AT992" s="19">
        <v>3</v>
      </c>
      <c r="AU992" s="14">
        <v>12</v>
      </c>
      <c r="AV992" s="14" t="s">
        <v>79</v>
      </c>
      <c r="AW992" s="13"/>
      <c r="AX992" s="13"/>
      <c r="AY992" s="19">
        <v>1</v>
      </c>
      <c r="AZ992" s="14">
        <v>3</v>
      </c>
      <c r="BA992" s="14">
        <v>3</v>
      </c>
      <c r="BB992" s="13" t="s">
        <v>25</v>
      </c>
      <c r="BF992" s="19" t="s">
        <v>441</v>
      </c>
    </row>
    <row r="993" spans="1:58" ht="14.25" x14ac:dyDescent="0.2">
      <c r="A993" t="str">
        <f t="shared" si="191"/>
        <v>A92</v>
      </c>
      <c r="B993" s="2" t="s">
        <v>657</v>
      </c>
      <c r="C993">
        <f t="shared" si="192"/>
        <v>94.21</v>
      </c>
      <c r="D993" t="str">
        <f t="shared" si="199"/>
        <v>UFD</v>
      </c>
      <c r="E993" s="169" t="str">
        <f>IF(OR(A993="",B993="",C993=""),"eine der Spalten BAB, FR, km leer?",CONCATENATE(VLOOKUP(VALUE(I993),[1]Grundlage!$A$1:$B$14,2,0),IF(LEFT(A993,1)="A",IF(VALUE(MID(A993,2,10))&lt;10,"A00"&amp;VALUE(MID(A993,2,10)),IF(VALUE(MID(A993,2,10))&lt;100,"A0"&amp;VALUE(MID(A993,2,10)),IF(VALUE(MID(A993,2,10))&lt;1000,"A"&amp;VALUE(MID(A993,2,10))))),IF(LEFT(A993,1)="B",IF(VALUE(MID(A993,2,10))&lt;10,"B00"&amp;VALUE(MID(A993,2,10)),IF(VALUE(MID(A993,2,10))&lt;100,"B0"&amp;VALUE(MID(A993,2,10)),IF(VALUE(MID(A993,2,10))&lt;1000,"B"&amp;VALUE(MID(A993,2,10))))),A993)),"_",IF(NOT(OR(C993=1000,C993&gt;1000)),MID(TEXT((C993+1000)*1000,0),2,6),"keine Meter in Spalte km!!!"),IF(VALUE(I993)=1,CONCATENATE("_",VLOOKUP(IF(V993&gt;0,V993,J993),[1]Grundlage!$A$20:$B$181,2,0)),CONCATENATE("_",B993))))</f>
        <v>UQ_A092_094210_W</v>
      </c>
      <c r="F993" s="2" t="s">
        <v>26</v>
      </c>
      <c r="G993" s="167">
        <f t="shared" si="187"/>
        <v>36007</v>
      </c>
      <c r="H993">
        <f t="shared" si="188"/>
        <v>213</v>
      </c>
      <c r="I993" s="2">
        <f t="shared" si="193"/>
        <v>3</v>
      </c>
      <c r="J993" s="2">
        <f t="shared" si="194"/>
        <v>13</v>
      </c>
      <c r="K993" s="13">
        <v>210</v>
      </c>
      <c r="L993" s="2">
        <f t="shared" si="195"/>
        <v>3</v>
      </c>
      <c r="M993" s="2">
        <f t="shared" si="196"/>
        <v>1</v>
      </c>
      <c r="N993" s="2">
        <f t="shared" si="197"/>
        <v>4</v>
      </c>
      <c r="P993" s="168">
        <f t="shared" si="198"/>
        <v>55</v>
      </c>
      <c r="AT993" s="19">
        <v>3</v>
      </c>
      <c r="AU993" s="14">
        <v>13</v>
      </c>
      <c r="AV993" s="14" t="s">
        <v>80</v>
      </c>
      <c r="AW993" s="13"/>
      <c r="AX993" s="13"/>
      <c r="AY993" s="19">
        <v>1</v>
      </c>
      <c r="AZ993" s="14">
        <v>4</v>
      </c>
      <c r="BA993" s="14">
        <v>4</v>
      </c>
      <c r="BB993" s="13" t="s">
        <v>26</v>
      </c>
      <c r="BF993" s="19" t="s">
        <v>442</v>
      </c>
    </row>
    <row r="994" spans="1:58" ht="14.25" x14ac:dyDescent="0.2">
      <c r="A994" t="str">
        <f t="shared" si="191"/>
        <v>A92</v>
      </c>
      <c r="B994" s="2" t="s">
        <v>657</v>
      </c>
      <c r="C994">
        <f t="shared" si="192"/>
        <v>94.21</v>
      </c>
      <c r="D994" t="str">
        <f t="shared" si="199"/>
        <v>UFD</v>
      </c>
      <c r="E994" s="169" t="str">
        <f>IF(OR(A994="",B994="",C994=""),"eine der Spalten BAB, FR, km leer?",CONCATENATE(VLOOKUP(VALUE(I994),[1]Grundlage!$A$1:$B$14,2,0),IF(LEFT(A994,1)="A",IF(VALUE(MID(A994,2,10))&lt;10,"A00"&amp;VALUE(MID(A994,2,10)),IF(VALUE(MID(A994,2,10))&lt;100,"A0"&amp;VALUE(MID(A994,2,10)),IF(VALUE(MID(A994,2,10))&lt;1000,"A"&amp;VALUE(MID(A994,2,10))))),IF(LEFT(A994,1)="B",IF(VALUE(MID(A994,2,10))&lt;10,"B00"&amp;VALUE(MID(A994,2,10)),IF(VALUE(MID(A994,2,10))&lt;100,"B0"&amp;VALUE(MID(A994,2,10)),IF(VALUE(MID(A994,2,10))&lt;1000,"B"&amp;VALUE(MID(A994,2,10))))),A994)),"_",IF(NOT(OR(C994=1000,C994&gt;1000)),MID(TEXT((C994+1000)*1000,0),2,6),"keine Meter in Spalte km!!!"),IF(VALUE(I994)=1,CONCATENATE("_",VLOOKUP(IF(V994&gt;0,V994,J994),[1]Grundlage!$A$20:$B$181,2,0)),CONCATENATE("_",B994))))</f>
        <v>UQ_A092_094210_W</v>
      </c>
      <c r="F994" s="2" t="s">
        <v>27</v>
      </c>
      <c r="G994" s="167">
        <f t="shared" si="187"/>
        <v>36007</v>
      </c>
      <c r="H994">
        <f t="shared" si="188"/>
        <v>213</v>
      </c>
      <c r="I994" s="2">
        <f t="shared" si="193"/>
        <v>3</v>
      </c>
      <c r="J994" s="2">
        <f t="shared" si="194"/>
        <v>14</v>
      </c>
      <c r="K994" s="13">
        <v>210</v>
      </c>
      <c r="L994" s="2">
        <f t="shared" si="195"/>
        <v>3</v>
      </c>
      <c r="M994" s="2">
        <f t="shared" si="196"/>
        <v>1</v>
      </c>
      <c r="N994" s="2">
        <f t="shared" si="197"/>
        <v>5</v>
      </c>
      <c r="P994" s="168">
        <f t="shared" si="198"/>
        <v>66</v>
      </c>
      <c r="AT994" s="19">
        <v>3</v>
      </c>
      <c r="AU994" s="14">
        <v>14</v>
      </c>
      <c r="AV994" s="14" t="s">
        <v>81</v>
      </c>
      <c r="AW994" s="13"/>
      <c r="AX994" s="13"/>
      <c r="AY994" s="19">
        <v>1</v>
      </c>
      <c r="AZ994" s="14">
        <v>5</v>
      </c>
      <c r="BA994" s="14">
        <v>5</v>
      </c>
      <c r="BB994" s="13" t="s">
        <v>27</v>
      </c>
      <c r="BF994" s="19" t="s">
        <v>602</v>
      </c>
    </row>
    <row r="995" spans="1:58" ht="14.25" x14ac:dyDescent="0.2">
      <c r="A995" t="str">
        <f t="shared" si="191"/>
        <v>A92</v>
      </c>
      <c r="B995" s="2" t="s">
        <v>657</v>
      </c>
      <c r="C995">
        <f t="shared" si="192"/>
        <v>94.21</v>
      </c>
      <c r="D995" t="str">
        <f t="shared" si="199"/>
        <v>UFD</v>
      </c>
      <c r="E995" s="169" t="str">
        <f>IF(OR(A995="",B995="",C995=""),"eine der Spalten BAB, FR, km leer?",CONCATENATE(VLOOKUP(VALUE(I995),[1]Grundlage!$A$1:$B$14,2,0),IF(LEFT(A995,1)="A",IF(VALUE(MID(A995,2,10))&lt;10,"A00"&amp;VALUE(MID(A995,2,10)),IF(VALUE(MID(A995,2,10))&lt;100,"A0"&amp;VALUE(MID(A995,2,10)),IF(VALUE(MID(A995,2,10))&lt;1000,"A"&amp;VALUE(MID(A995,2,10))))),IF(LEFT(A995,1)="B",IF(VALUE(MID(A995,2,10))&lt;10,"B00"&amp;VALUE(MID(A995,2,10)),IF(VALUE(MID(A995,2,10))&lt;100,"B0"&amp;VALUE(MID(A995,2,10)),IF(VALUE(MID(A995,2,10))&lt;1000,"B"&amp;VALUE(MID(A995,2,10))))),A995)),"_",IF(NOT(OR(C995=1000,C995&gt;1000)),MID(TEXT((C995+1000)*1000,0),2,6),"keine Meter in Spalte km!!!"),IF(VALUE(I995)=1,CONCATENATE("_",VLOOKUP(IF(V995&gt;0,V995,J995),[1]Grundlage!$A$20:$B$181,2,0)),CONCATENATE("_",B995))))</f>
        <v>UQ_A092_094210_W</v>
      </c>
      <c r="F995" s="2" t="s">
        <v>28</v>
      </c>
      <c r="G995" s="167">
        <f t="shared" si="187"/>
        <v>36007</v>
      </c>
      <c r="H995">
        <f t="shared" si="188"/>
        <v>213</v>
      </c>
      <c r="I995" s="2">
        <f t="shared" si="193"/>
        <v>3</v>
      </c>
      <c r="J995" s="2">
        <f t="shared" si="194"/>
        <v>15</v>
      </c>
      <c r="K995" s="13">
        <v>210</v>
      </c>
      <c r="L995" s="2">
        <f t="shared" si="195"/>
        <v>3</v>
      </c>
      <c r="M995" s="2">
        <f t="shared" si="196"/>
        <v>1</v>
      </c>
      <c r="N995" s="2">
        <f t="shared" si="197"/>
        <v>6</v>
      </c>
      <c r="P995" s="168">
        <f t="shared" si="198"/>
        <v>65</v>
      </c>
      <c r="AT995" s="19">
        <v>3</v>
      </c>
      <c r="AU995" s="14">
        <v>15</v>
      </c>
      <c r="AV995" s="14" t="s">
        <v>82</v>
      </c>
      <c r="AW995" s="13"/>
      <c r="AX995" s="13"/>
      <c r="AY995" s="19">
        <v>1</v>
      </c>
      <c r="AZ995" s="14">
        <v>6</v>
      </c>
      <c r="BA995" s="14">
        <v>6</v>
      </c>
      <c r="BB995" s="13" t="s">
        <v>28</v>
      </c>
      <c r="BF995" s="19" t="s">
        <v>482</v>
      </c>
    </row>
    <row r="996" spans="1:58" ht="14.25" x14ac:dyDescent="0.2">
      <c r="A996" t="str">
        <f t="shared" si="191"/>
        <v>A92</v>
      </c>
      <c r="B996" s="2" t="s">
        <v>657</v>
      </c>
      <c r="C996">
        <f t="shared" si="192"/>
        <v>94.21</v>
      </c>
      <c r="D996" t="str">
        <f t="shared" si="199"/>
        <v>UFD</v>
      </c>
      <c r="E996" s="169" t="str">
        <f>IF(OR(A996="",B996="",C996=""),"eine der Spalten BAB, FR, km leer?",CONCATENATE(VLOOKUP(VALUE(I996),[1]Grundlage!$A$1:$B$14,2,0),IF(LEFT(A996,1)="A",IF(VALUE(MID(A996,2,10))&lt;10,"A00"&amp;VALUE(MID(A996,2,10)),IF(VALUE(MID(A996,2,10))&lt;100,"A0"&amp;VALUE(MID(A996,2,10)),IF(VALUE(MID(A996,2,10))&lt;1000,"A"&amp;VALUE(MID(A996,2,10))))),IF(LEFT(A996,1)="B",IF(VALUE(MID(A996,2,10))&lt;10,"B00"&amp;VALUE(MID(A996,2,10)),IF(VALUE(MID(A996,2,10))&lt;100,"B0"&amp;VALUE(MID(A996,2,10)),IF(VALUE(MID(A996,2,10))&lt;1000,"B"&amp;VALUE(MID(A996,2,10))))),A996)),"_",IF(NOT(OR(C996=1000,C996&gt;1000)),MID(TEXT((C996+1000)*1000,0),2,6),"keine Meter in Spalte km!!!"),IF(VALUE(I996)=1,CONCATENATE("_",VLOOKUP(IF(V996&gt;0,V996,J996),[1]Grundlage!$A$20:$B$181,2,0)),CONCATENATE("_",B996))))</f>
        <v>UQ_A092_094210_W</v>
      </c>
      <c r="F996" s="2" t="s">
        <v>29</v>
      </c>
      <c r="G996" s="167">
        <f t="shared" si="187"/>
        <v>36007</v>
      </c>
      <c r="H996">
        <f t="shared" si="188"/>
        <v>213</v>
      </c>
      <c r="I996" s="2">
        <f t="shared" si="193"/>
        <v>3</v>
      </c>
      <c r="J996" s="2">
        <f t="shared" si="194"/>
        <v>19</v>
      </c>
      <c r="K996" s="13">
        <v>210</v>
      </c>
      <c r="L996" s="2">
        <f t="shared" si="195"/>
        <v>3</v>
      </c>
      <c r="M996" s="2">
        <f t="shared" si="196"/>
        <v>1</v>
      </c>
      <c r="N996" s="2">
        <f t="shared" si="197"/>
        <v>7</v>
      </c>
      <c r="P996" s="168">
        <f t="shared" si="198"/>
        <v>49</v>
      </c>
      <c r="AT996" s="19">
        <v>3</v>
      </c>
      <c r="AU996" s="14">
        <v>19</v>
      </c>
      <c r="AV996" s="14">
        <v>13</v>
      </c>
      <c r="AW996" s="13"/>
      <c r="AX996" s="13"/>
      <c r="AY996" s="19">
        <v>1</v>
      </c>
      <c r="AZ996" s="14">
        <v>7</v>
      </c>
      <c r="BA996" s="14">
        <v>7</v>
      </c>
      <c r="BB996" s="13" t="s">
        <v>29</v>
      </c>
      <c r="BF996" s="19" t="s">
        <v>479</v>
      </c>
    </row>
    <row r="997" spans="1:58" ht="14.25" x14ac:dyDescent="0.2">
      <c r="A997" t="str">
        <f t="shared" si="191"/>
        <v>A92</v>
      </c>
      <c r="B997" s="2" t="s">
        <v>657</v>
      </c>
      <c r="C997">
        <f t="shared" si="192"/>
        <v>94.21</v>
      </c>
      <c r="D997" t="str">
        <f t="shared" si="199"/>
        <v>UFD</v>
      </c>
      <c r="E997" s="169" t="str">
        <f>IF(OR(A997="",B997="",C997=""),"eine der Spalten BAB, FR, km leer?",CONCATENATE(VLOOKUP(VALUE(I997),[1]Grundlage!$A$1:$B$14,2,0),IF(LEFT(A997,1)="A",IF(VALUE(MID(A997,2,10))&lt;10,"A00"&amp;VALUE(MID(A997,2,10)),IF(VALUE(MID(A997,2,10))&lt;100,"A0"&amp;VALUE(MID(A997,2,10)),IF(VALUE(MID(A997,2,10))&lt;1000,"A"&amp;VALUE(MID(A997,2,10))))),IF(LEFT(A997,1)="B",IF(VALUE(MID(A997,2,10))&lt;10,"B00"&amp;VALUE(MID(A997,2,10)),IF(VALUE(MID(A997,2,10))&lt;100,"B0"&amp;VALUE(MID(A997,2,10)),IF(VALUE(MID(A997,2,10))&lt;1000,"B"&amp;VALUE(MID(A997,2,10))))),A997)),"_",IF(NOT(OR(C997=1000,C997&gt;1000)),MID(TEXT((C997+1000)*1000,0),2,6),"keine Meter in Spalte km!!!"),IF(VALUE(I997)=1,CONCATENATE("_",VLOOKUP(IF(V997&gt;0,V997,J997),[1]Grundlage!$A$20:$B$181,2,0)),CONCATENATE("_",B997))))</f>
        <v>UQ_A092_094210_W</v>
      </c>
      <c r="F997" s="2" t="s">
        <v>30</v>
      </c>
      <c r="G997" s="167">
        <f t="shared" si="187"/>
        <v>36007</v>
      </c>
      <c r="H997">
        <f t="shared" si="188"/>
        <v>213</v>
      </c>
      <c r="I997" s="2">
        <f t="shared" si="193"/>
        <v>3</v>
      </c>
      <c r="J997" s="2">
        <f t="shared" si="194"/>
        <v>21</v>
      </c>
      <c r="K997" s="13">
        <v>210</v>
      </c>
      <c r="L997" s="2">
        <f t="shared" si="195"/>
        <v>3</v>
      </c>
      <c r="M997" s="2">
        <f t="shared" si="196"/>
        <v>1</v>
      </c>
      <c r="N997" s="2">
        <f t="shared" si="197"/>
        <v>8</v>
      </c>
      <c r="P997" s="168">
        <f t="shared" si="198"/>
        <v>67</v>
      </c>
      <c r="AT997" s="19">
        <v>3</v>
      </c>
      <c r="AU997" s="14">
        <v>21</v>
      </c>
      <c r="AV997" s="14">
        <v>15</v>
      </c>
      <c r="AW997" s="13"/>
      <c r="AX997" s="13"/>
      <c r="AY997" s="19">
        <v>1</v>
      </c>
      <c r="AZ997" s="14">
        <v>8</v>
      </c>
      <c r="BA997" s="14">
        <v>8</v>
      </c>
      <c r="BB997" s="13" t="s">
        <v>30</v>
      </c>
      <c r="BF997" s="19" t="s">
        <v>480</v>
      </c>
    </row>
    <row r="998" spans="1:58" ht="14.25" x14ac:dyDescent="0.2">
      <c r="A998" t="str">
        <f t="shared" si="191"/>
        <v>A92</v>
      </c>
      <c r="B998" s="2" t="s">
        <v>657</v>
      </c>
      <c r="C998">
        <f t="shared" si="192"/>
        <v>94.21</v>
      </c>
      <c r="D998" t="str">
        <f t="shared" si="199"/>
        <v>UFD</v>
      </c>
      <c r="E998" s="169" t="str">
        <f>IF(OR(A998="",B998="",C998=""),"eine der Spalten BAB, FR, km leer?",CONCATENATE(VLOOKUP(VALUE(I998),[1]Grundlage!$A$1:$B$14,2,0),IF(LEFT(A998,1)="A",IF(VALUE(MID(A998,2,10))&lt;10,"A00"&amp;VALUE(MID(A998,2,10)),IF(VALUE(MID(A998,2,10))&lt;100,"A0"&amp;VALUE(MID(A998,2,10)),IF(VALUE(MID(A998,2,10))&lt;1000,"A"&amp;VALUE(MID(A998,2,10))))),IF(LEFT(A998,1)="B",IF(VALUE(MID(A998,2,10))&lt;10,"B00"&amp;VALUE(MID(A998,2,10)),IF(VALUE(MID(A998,2,10))&lt;100,"B0"&amp;VALUE(MID(A998,2,10)),IF(VALUE(MID(A998,2,10))&lt;1000,"B"&amp;VALUE(MID(A998,2,10))))),A998)),"_",IF(NOT(OR(C998=1000,C998&gt;1000)),MID(TEXT((C998+1000)*1000,0),2,6),"keine Meter in Spalte km!!!"),IF(VALUE(I998)=1,CONCATENATE("_",VLOOKUP(IF(V998&gt;0,V998,J998),[1]Grundlage!$A$20:$B$181,2,0)),CONCATENATE("_",B998))))</f>
        <v>UQ_A092_094210_W</v>
      </c>
      <c r="F998" s="2" t="s">
        <v>41</v>
      </c>
      <c r="G998" s="167">
        <f t="shared" si="187"/>
        <v>36007</v>
      </c>
      <c r="H998">
        <f t="shared" si="188"/>
        <v>213</v>
      </c>
      <c r="I998" s="2">
        <f t="shared" si="193"/>
        <v>3</v>
      </c>
      <c r="J998" s="2">
        <f t="shared" si="194"/>
        <v>24</v>
      </c>
      <c r="K998" s="13">
        <v>210</v>
      </c>
      <c r="L998" s="2">
        <f t="shared" si="195"/>
        <v>3</v>
      </c>
      <c r="M998" s="2">
        <f t="shared" si="196"/>
        <v>1</v>
      </c>
      <c r="N998" s="2">
        <f t="shared" si="197"/>
        <v>9</v>
      </c>
      <c r="P998" s="168">
        <f t="shared" si="198"/>
        <v>69</v>
      </c>
      <c r="AT998" s="19">
        <v>3</v>
      </c>
      <c r="AU998" s="14">
        <v>24</v>
      </c>
      <c r="AV998" s="14">
        <v>18</v>
      </c>
      <c r="AW998" s="13"/>
      <c r="AX998" s="13"/>
      <c r="AY998" s="19">
        <v>1</v>
      </c>
      <c r="AZ998" s="14">
        <v>9</v>
      </c>
      <c r="BA998" s="14">
        <v>9</v>
      </c>
      <c r="BB998" s="13" t="s">
        <v>41</v>
      </c>
      <c r="BF998" s="19" t="s">
        <v>465</v>
      </c>
    </row>
    <row r="999" spans="1:58" ht="14.25" x14ac:dyDescent="0.2">
      <c r="A999" t="str">
        <f t="shared" si="191"/>
        <v>A92</v>
      </c>
      <c r="B999" s="2" t="s">
        <v>657</v>
      </c>
      <c r="C999">
        <f t="shared" si="192"/>
        <v>94.21</v>
      </c>
      <c r="D999" t="str">
        <f t="shared" si="199"/>
        <v>UFD</v>
      </c>
      <c r="E999" s="169" t="str">
        <f>IF(OR(A999="",B999="",C999=""),"eine der Spalten BAB, FR, km leer?",CONCATENATE(VLOOKUP(VALUE(I999),[1]Grundlage!$A$1:$B$14,2,0),IF(LEFT(A999,1)="A",IF(VALUE(MID(A999,2,10))&lt;10,"A00"&amp;VALUE(MID(A999,2,10)),IF(VALUE(MID(A999,2,10))&lt;100,"A0"&amp;VALUE(MID(A999,2,10)),IF(VALUE(MID(A999,2,10))&lt;1000,"A"&amp;VALUE(MID(A999,2,10))))),IF(LEFT(A999,1)="B",IF(VALUE(MID(A999,2,10))&lt;10,"B00"&amp;VALUE(MID(A999,2,10)),IF(VALUE(MID(A999,2,10))&lt;100,"B0"&amp;VALUE(MID(A999,2,10)),IF(VALUE(MID(A999,2,10))&lt;1000,"B"&amp;VALUE(MID(A999,2,10))))),A999)),"_",IF(NOT(OR(C999=1000,C999&gt;1000)),MID(TEXT((C999+1000)*1000,0),2,6),"keine Meter in Spalte km!!!"),IF(VALUE(I999)=1,CONCATENATE("_",VLOOKUP(IF(V999&gt;0,V999,J999),[1]Grundlage!$A$20:$B$181,2,0)),CONCATENATE("_",B999))))</f>
        <v>UQ_A092_094210_W</v>
      </c>
      <c r="F999" s="2" t="s">
        <v>271</v>
      </c>
      <c r="G999" s="167">
        <f t="shared" ref="G999:G1062" si="200">IF(ISBLANK(AP999),G998,INT(AP999/256))</f>
        <v>36007</v>
      </c>
      <c r="H999">
        <f t="shared" ref="H999:H1062" si="201">IF(ISBLANK(AP999),H998,MOD(AP999,256))</f>
        <v>213</v>
      </c>
      <c r="I999" s="2">
        <f t="shared" si="193"/>
        <v>3</v>
      </c>
      <c r="J999" s="2">
        <f t="shared" si="194"/>
        <v>67</v>
      </c>
      <c r="K999" s="13">
        <v>210</v>
      </c>
      <c r="L999" s="2">
        <f t="shared" si="195"/>
        <v>3</v>
      </c>
      <c r="M999" s="2">
        <f t="shared" si="196"/>
        <v>1</v>
      </c>
      <c r="N999" s="2">
        <f t="shared" si="197"/>
        <v>10</v>
      </c>
      <c r="P999" s="168">
        <f t="shared" si="198"/>
        <v>53</v>
      </c>
      <c r="AT999" s="19">
        <v>3</v>
      </c>
      <c r="AU999" s="14">
        <v>67</v>
      </c>
      <c r="AV999" s="14">
        <v>43</v>
      </c>
      <c r="AW999" s="13"/>
      <c r="AX999" s="13"/>
      <c r="AY999" s="19">
        <v>1</v>
      </c>
      <c r="AZ999" s="14">
        <v>10</v>
      </c>
      <c r="BA999" s="34" t="s">
        <v>95</v>
      </c>
      <c r="BB999" s="13" t="s">
        <v>271</v>
      </c>
      <c r="BF999" s="19" t="s">
        <v>444</v>
      </c>
    </row>
    <row r="1000" spans="1:58" ht="14.25" x14ac:dyDescent="0.2">
      <c r="A1000" t="str">
        <f t="shared" si="191"/>
        <v>A92</v>
      </c>
      <c r="B1000" s="2" t="s">
        <v>657</v>
      </c>
      <c r="C1000">
        <f t="shared" si="192"/>
        <v>94.21</v>
      </c>
      <c r="D1000" t="str">
        <f t="shared" si="199"/>
        <v>UFD</v>
      </c>
      <c r="E1000" s="169" t="str">
        <f>IF(OR(A1000="",B1000="",C1000=""),"eine der Spalten BAB, FR, km leer?",CONCATENATE(VLOOKUP(VALUE(I1000),[1]Grundlage!$A$1:$B$14,2,0),IF(LEFT(A1000,1)="A",IF(VALUE(MID(A1000,2,10))&lt;10,"A00"&amp;VALUE(MID(A1000,2,10)),IF(VALUE(MID(A1000,2,10))&lt;100,"A0"&amp;VALUE(MID(A1000,2,10)),IF(VALUE(MID(A1000,2,10))&lt;1000,"A"&amp;VALUE(MID(A1000,2,10))))),IF(LEFT(A1000,1)="B",IF(VALUE(MID(A1000,2,10))&lt;10,"B00"&amp;VALUE(MID(A1000,2,10)),IF(VALUE(MID(A1000,2,10))&lt;100,"B0"&amp;VALUE(MID(A1000,2,10)),IF(VALUE(MID(A1000,2,10))&lt;1000,"B"&amp;VALUE(MID(A1000,2,10))))),A1000)),"_",IF(NOT(OR(C1000=1000,C1000&gt;1000)),MID(TEXT((C1000+1000)*1000,0),2,6),"keine Meter in Spalte km!!!"),IF(VALUE(I1000)=1,CONCATENATE("_",VLOOKUP(IF(V1000&gt;0,V1000,J1000),[1]Grundlage!$A$20:$B$181,2,0)),CONCATENATE("_",B1000))))</f>
        <v>UQ_A092_094210_W</v>
      </c>
      <c r="F1000" s="2" t="s">
        <v>272</v>
      </c>
      <c r="G1000" s="167">
        <f t="shared" si="200"/>
        <v>36007</v>
      </c>
      <c r="H1000">
        <f t="shared" si="201"/>
        <v>213</v>
      </c>
      <c r="I1000" s="2">
        <f t="shared" si="193"/>
        <v>3</v>
      </c>
      <c r="J1000" s="2">
        <f t="shared" si="194"/>
        <v>82</v>
      </c>
      <c r="K1000" s="13">
        <v>210</v>
      </c>
      <c r="L1000" s="2">
        <f t="shared" si="195"/>
        <v>3</v>
      </c>
      <c r="M1000" s="2">
        <f t="shared" si="196"/>
        <v>1</v>
      </c>
      <c r="N1000" s="2">
        <f t="shared" si="197"/>
        <v>11</v>
      </c>
      <c r="P1000" s="168">
        <f t="shared" si="198"/>
        <v>72</v>
      </c>
      <c r="AT1000" s="19">
        <v>3</v>
      </c>
      <c r="AU1000" s="14">
        <v>82</v>
      </c>
      <c r="AV1000" s="14">
        <v>52</v>
      </c>
      <c r="AW1000" s="13"/>
      <c r="AX1000" s="13"/>
      <c r="AY1000" s="19">
        <v>1</v>
      </c>
      <c r="AZ1000" s="14">
        <v>11</v>
      </c>
      <c r="BA1000" s="34" t="s">
        <v>78</v>
      </c>
      <c r="BB1000" s="13" t="s">
        <v>272</v>
      </c>
      <c r="BF1000" s="19" t="s">
        <v>481</v>
      </c>
    </row>
    <row r="1001" spans="1:58" ht="14.25" x14ac:dyDescent="0.2">
      <c r="A1001" t="str">
        <f t="shared" si="191"/>
        <v>A92</v>
      </c>
      <c r="C1001">
        <f t="shared" si="192"/>
        <v>94.21</v>
      </c>
      <c r="D1001" t="str">
        <f t="shared" si="199"/>
        <v/>
      </c>
      <c r="E1001" s="169" t="str">
        <f>IF(OR(A1001="",B1001="",C1001=""),"",CONCATENATE(VLOOKUP(VALUE(I1001),[1]Grundlage!$A$1:$B$14,2,0),IF(LEFT(A1001,1)="A",IF(VALUE(MID(A1001,2,10))&lt;10,"A00"&amp;VALUE(MID(A1001,2,10)),IF(VALUE(MID(A1001,2,10))&lt;100,"A0"&amp;VALUE(MID(A1001,2,10)),IF(VALUE(MID(A1001,2,10))&lt;1000,"A"&amp;VALUE(MID(A1001,2,10))))),IF(LEFT(A1001,1)="B",IF(VALUE(MID(A1001,2,10))&lt;10,"B00"&amp;VALUE(MID(A1001,2,10)),IF(VALUE(MID(A1001,2,10))&lt;100,"B0"&amp;VALUE(MID(A1001,2,10)),IF(VALUE(MID(A1001,2,10))&lt;1000,"B"&amp;VALUE(MID(A1001,2,10))))),A1001)),"_",IF(NOT(OR(C1001=1000,C1001&gt;1000)),MID(TEXT((C1001+1000)*1000,0),2,6),"keine Meter in Spalte km!!!"),IF(VALUE(I1001)=1,CONCATENATE("_",VLOOKUP(IF(V1001&gt;0,V1001,J1001),[1]Grundlage!$A$20:$B$181,2,0)),CONCATENATE("_",B1001))))</f>
        <v/>
      </c>
      <c r="F1001" s="2" t="s">
        <v>669</v>
      </c>
      <c r="G1001" s="167">
        <f t="shared" si="200"/>
        <v>36007</v>
      </c>
      <c r="H1001">
        <f t="shared" si="201"/>
        <v>213</v>
      </c>
      <c r="I1001" s="2">
        <f t="shared" si="193"/>
        <v>0</v>
      </c>
      <c r="J1001" s="2">
        <f t="shared" si="194"/>
        <v>0</v>
      </c>
      <c r="K1001" s="13">
        <v>210</v>
      </c>
      <c r="L1001" s="2">
        <f t="shared" si="195"/>
        <v>3</v>
      </c>
      <c r="M1001" s="2" t="str">
        <f t="shared" si="196"/>
        <v/>
      </c>
      <c r="N1001" s="2" t="str">
        <f t="shared" si="197"/>
        <v/>
      </c>
      <c r="P1001" s="168" t="str">
        <f t="shared" si="198"/>
        <v/>
      </c>
      <c r="AT1001" s="19"/>
      <c r="AU1001" s="14"/>
      <c r="AV1001" s="14"/>
      <c r="AY1001" s="1"/>
      <c r="AZ1001" s="14"/>
      <c r="BB1001" s="13"/>
    </row>
    <row r="1002" spans="1:58" ht="14.25" x14ac:dyDescent="0.2">
      <c r="A1002" t="str">
        <f t="shared" si="191"/>
        <v>A92</v>
      </c>
      <c r="C1002">
        <f t="shared" si="192"/>
        <v>94.21</v>
      </c>
      <c r="D1002" t="str">
        <f t="shared" si="199"/>
        <v/>
      </c>
      <c r="E1002" s="169" t="str">
        <f>IF(OR(A1002="",B1002="",C1002=""),"",CONCATENATE(VLOOKUP(VALUE(I1002),[1]Grundlage!$A$1:$B$14,2,0),IF(LEFT(A1002,1)="A",IF(VALUE(MID(A1002,2,10))&lt;10,"A00"&amp;VALUE(MID(A1002,2,10)),IF(VALUE(MID(A1002,2,10))&lt;100,"A0"&amp;VALUE(MID(A1002,2,10)),IF(VALUE(MID(A1002,2,10))&lt;1000,"A"&amp;VALUE(MID(A1002,2,10))))),IF(LEFT(A1002,1)="B",IF(VALUE(MID(A1002,2,10))&lt;10,"B00"&amp;VALUE(MID(A1002,2,10)),IF(VALUE(MID(A1002,2,10))&lt;100,"B0"&amp;VALUE(MID(A1002,2,10)),IF(VALUE(MID(A1002,2,10))&lt;1000,"B"&amp;VALUE(MID(A1002,2,10))))),A1002)),"_",IF(NOT(OR(C1002=1000,C1002&gt;1000)),MID(TEXT((C1002+1000)*1000,0),2,6),"keine Meter in Spalte km!!!"),IF(VALUE(I1002)=1,CONCATENATE("_",VLOOKUP(IF(V1002&gt;0,V1002,J1002),[1]Grundlage!$A$20:$B$181,2,0)),CONCATENATE("_",B1002))))</f>
        <v/>
      </c>
      <c r="F1002" s="2" t="s">
        <v>669</v>
      </c>
      <c r="G1002" s="167">
        <f t="shared" si="200"/>
        <v>36007</v>
      </c>
      <c r="H1002">
        <f t="shared" si="201"/>
        <v>213</v>
      </c>
      <c r="I1002" s="2">
        <f t="shared" si="193"/>
        <v>0</v>
      </c>
      <c r="J1002" s="2">
        <f t="shared" si="194"/>
        <v>0</v>
      </c>
      <c r="K1002" s="13">
        <v>210</v>
      </c>
      <c r="L1002" s="2">
        <f t="shared" si="195"/>
        <v>3</v>
      </c>
      <c r="M1002" s="2" t="str">
        <f t="shared" si="196"/>
        <v/>
      </c>
      <c r="N1002" s="2" t="str">
        <f t="shared" si="197"/>
        <v/>
      </c>
      <c r="P1002" s="168" t="str">
        <f t="shared" si="198"/>
        <v/>
      </c>
    </row>
    <row r="1003" spans="1:58" ht="14.25" x14ac:dyDescent="0.2">
      <c r="A1003" t="str">
        <f t="shared" si="191"/>
        <v>A92</v>
      </c>
      <c r="B1003" s="2" t="s">
        <v>657</v>
      </c>
      <c r="C1003">
        <f t="shared" si="192"/>
        <v>104.74</v>
      </c>
      <c r="D1003" t="str">
        <f t="shared" si="199"/>
        <v>SS</v>
      </c>
      <c r="E1003" s="169" t="str">
        <f>IF(OR(A1003="",B1003="",C1003=""),"eine der Spalten BAB, FR, km leer?",CONCATENATE(VLOOKUP(VALUE(I1003),[1]Grundlage!$A$1:$B$14,2,0),IF(LEFT(A1003,1)="A",IF(VALUE(MID(A1003,2,10))&lt;10,"A00"&amp;VALUE(MID(A1003,2,10)),IF(VALUE(MID(A1003,2,10))&lt;100,"A0"&amp;VALUE(MID(A1003,2,10)),IF(VALUE(MID(A1003,2,10))&lt;1000,"A"&amp;VALUE(MID(A1003,2,10))))),IF(LEFT(A1003,1)="B",IF(VALUE(MID(A1003,2,10))&lt;10,"B00"&amp;VALUE(MID(A1003,2,10)),IF(VALUE(MID(A1003,2,10))&lt;100,"B0"&amp;VALUE(MID(A1003,2,10)),IF(VALUE(MID(A1003,2,10))&lt;1000,"B"&amp;VALUE(MID(A1003,2,10))))),A1003)),"_",IF(NOT(OR(C1003=1000,C1003&gt;1000)),MID(TEXT((C1003+1000)*1000,0),2,6),"keine Meter in Spalte km!!!"),IF(VALUE(I1003)=1,CONCATENATE("_",VLOOKUP(IF(V1003&gt;0,V1003,J1003),[1]Grundlage!$A$20:$B$181,2,0)),CONCATENATE("_",B1003))))</f>
        <v>SSt_A092_104740_W</v>
      </c>
      <c r="F1003" s="2" t="s">
        <v>125</v>
      </c>
      <c r="G1003" s="167">
        <f t="shared" si="200"/>
        <v>36004</v>
      </c>
      <c r="H1003">
        <f t="shared" si="201"/>
        <v>139</v>
      </c>
      <c r="I1003" s="2">
        <f t="shared" si="193"/>
        <v>254</v>
      </c>
      <c r="J1003" s="2">
        <f t="shared" si="194"/>
        <v>0</v>
      </c>
      <c r="K1003" s="13">
        <v>210</v>
      </c>
      <c r="L1003" s="2">
        <f t="shared" si="195"/>
        <v>5</v>
      </c>
      <c r="M1003" s="2" t="str">
        <f t="shared" si="196"/>
        <v/>
      </c>
      <c r="N1003" s="2" t="str">
        <f t="shared" si="197"/>
        <v/>
      </c>
      <c r="P1003" s="168" t="str">
        <f t="shared" si="198"/>
        <v/>
      </c>
      <c r="AI1003" s="35">
        <v>104.74</v>
      </c>
      <c r="AJ1003" s="36" t="s">
        <v>19</v>
      </c>
      <c r="AK1003" s="36" t="s">
        <v>72</v>
      </c>
      <c r="AL1003" s="36"/>
      <c r="AM1003" s="36"/>
      <c r="AN1003" s="36"/>
      <c r="AO1003" s="36"/>
      <c r="AP1003" s="36">
        <v>9217163</v>
      </c>
      <c r="AQ1003" s="45" t="s">
        <v>230</v>
      </c>
      <c r="AR1003" s="45" t="s">
        <v>260</v>
      </c>
      <c r="AS1003" s="45" t="s">
        <v>259</v>
      </c>
      <c r="AT1003" s="36"/>
      <c r="AU1003" s="36"/>
      <c r="AV1003" s="36"/>
      <c r="AW1003" s="36"/>
      <c r="AX1003" s="36">
        <v>5</v>
      </c>
      <c r="AY1003" s="36"/>
      <c r="AZ1003" s="36"/>
      <c r="BA1003" s="36"/>
      <c r="BB1003" s="37" t="s">
        <v>125</v>
      </c>
      <c r="BC1003" s="38"/>
      <c r="BD1003" s="99" t="s">
        <v>163</v>
      </c>
      <c r="BE1003" s="39" t="s">
        <v>74</v>
      </c>
      <c r="BF1003" s="19" t="s">
        <v>451</v>
      </c>
    </row>
    <row r="1004" spans="1:58" ht="14.25" x14ac:dyDescent="0.2">
      <c r="A1004" t="str">
        <f t="shared" si="191"/>
        <v>A92</v>
      </c>
      <c r="B1004" s="2" t="s">
        <v>657</v>
      </c>
      <c r="C1004">
        <f t="shared" si="192"/>
        <v>104.74</v>
      </c>
      <c r="D1004" t="str">
        <f t="shared" si="199"/>
        <v>UFD</v>
      </c>
      <c r="E1004" s="169" t="str">
        <f>IF(OR(A1004="",B1004="",C1004=""),"eine der Spalten BAB, FR, km leer?",CONCATENATE(VLOOKUP(VALUE(I1004),[1]Grundlage!$A$1:$B$14,2,0),IF(LEFT(A1004,1)="A",IF(VALUE(MID(A1004,2,10))&lt;10,"A00"&amp;VALUE(MID(A1004,2,10)),IF(VALUE(MID(A1004,2,10))&lt;100,"A0"&amp;VALUE(MID(A1004,2,10)),IF(VALUE(MID(A1004,2,10))&lt;1000,"A"&amp;VALUE(MID(A1004,2,10))))),IF(LEFT(A1004,1)="B",IF(VALUE(MID(A1004,2,10))&lt;10,"B00"&amp;VALUE(MID(A1004,2,10)),IF(VALUE(MID(A1004,2,10))&lt;100,"B0"&amp;VALUE(MID(A1004,2,10)),IF(VALUE(MID(A1004,2,10))&lt;1000,"B"&amp;VALUE(MID(A1004,2,10))))),A1004)),"_",IF(NOT(OR(C1004=1000,C1004&gt;1000)),MID(TEXT((C1004+1000)*1000,0),2,6),"keine Meter in Spalte km!!!"),IF(VALUE(I1004)=1,CONCATENATE("_",VLOOKUP(IF(V1004&gt;0,V1004,J1004),[1]Grundlage!$A$20:$B$181,2,0)),CONCATENATE("_",B1004))))</f>
        <v>UQ_A092_104740_W</v>
      </c>
      <c r="F1004" s="2" t="s">
        <v>269</v>
      </c>
      <c r="G1004" s="167">
        <f t="shared" si="200"/>
        <v>36004</v>
      </c>
      <c r="H1004">
        <f t="shared" si="201"/>
        <v>139</v>
      </c>
      <c r="I1004" s="2">
        <f t="shared" si="193"/>
        <v>3</v>
      </c>
      <c r="J1004" s="2">
        <f t="shared" si="194"/>
        <v>6</v>
      </c>
      <c r="K1004" s="13">
        <v>210</v>
      </c>
      <c r="L1004" s="2">
        <f t="shared" si="195"/>
        <v>5</v>
      </c>
      <c r="M1004" s="2">
        <f t="shared" si="196"/>
        <v>1</v>
      </c>
      <c r="N1004" s="2">
        <f t="shared" si="197"/>
        <v>1</v>
      </c>
      <c r="P1004" s="168">
        <f t="shared" si="198"/>
        <v>71</v>
      </c>
      <c r="AT1004" s="19">
        <v>3</v>
      </c>
      <c r="AU1004" s="14">
        <v>6</v>
      </c>
      <c r="AV1004" s="27">
        <v>6</v>
      </c>
      <c r="AW1004" s="19"/>
      <c r="AX1004" s="19"/>
      <c r="AY1004" s="19">
        <v>1</v>
      </c>
      <c r="AZ1004" s="14">
        <v>1</v>
      </c>
      <c r="BA1004" s="100">
        <v>1</v>
      </c>
      <c r="BB1004" s="13" t="s">
        <v>269</v>
      </c>
      <c r="BF1004" s="19" t="s">
        <v>440</v>
      </c>
    </row>
    <row r="1005" spans="1:58" ht="14.25" x14ac:dyDescent="0.2">
      <c r="A1005" t="str">
        <f t="shared" si="191"/>
        <v>A92</v>
      </c>
      <c r="B1005" s="2" t="s">
        <v>657</v>
      </c>
      <c r="C1005">
        <f t="shared" si="192"/>
        <v>104.74</v>
      </c>
      <c r="D1005" t="str">
        <f t="shared" si="199"/>
        <v>UFD</v>
      </c>
      <c r="E1005" s="169" t="str">
        <f>IF(OR(A1005="",B1005="",C1005=""),"eine der Spalten BAB, FR, km leer?",CONCATENATE(VLOOKUP(VALUE(I1005),[1]Grundlage!$A$1:$B$14,2,0),IF(LEFT(A1005,1)="A",IF(VALUE(MID(A1005,2,10))&lt;10,"A00"&amp;VALUE(MID(A1005,2,10)),IF(VALUE(MID(A1005,2,10))&lt;100,"A0"&amp;VALUE(MID(A1005,2,10)),IF(VALUE(MID(A1005,2,10))&lt;1000,"A"&amp;VALUE(MID(A1005,2,10))))),IF(LEFT(A1005,1)="B",IF(VALUE(MID(A1005,2,10))&lt;10,"B00"&amp;VALUE(MID(A1005,2,10)),IF(VALUE(MID(A1005,2,10))&lt;100,"B0"&amp;VALUE(MID(A1005,2,10)),IF(VALUE(MID(A1005,2,10))&lt;1000,"B"&amp;VALUE(MID(A1005,2,10))))),A1005)),"_",IF(NOT(OR(C1005=1000,C1005&gt;1000)),MID(TEXT((C1005+1000)*1000,0),2,6),"keine Meter in Spalte km!!!"),IF(VALUE(I1005)=1,CONCATENATE("_",VLOOKUP(IF(V1005&gt;0,V1005,J1005),[1]Grundlage!$A$20:$B$181,2,0)),CONCATENATE("_",B1005))))</f>
        <v>UQ_A092_104740_W</v>
      </c>
      <c r="F1005" s="2" t="s">
        <v>270</v>
      </c>
      <c r="G1005" s="167">
        <f t="shared" si="200"/>
        <v>36004</v>
      </c>
      <c r="H1005">
        <f t="shared" si="201"/>
        <v>139</v>
      </c>
      <c r="I1005" s="2">
        <f t="shared" si="193"/>
        <v>3</v>
      </c>
      <c r="J1005" s="2">
        <f t="shared" si="194"/>
        <v>11</v>
      </c>
      <c r="K1005" s="13">
        <v>210</v>
      </c>
      <c r="L1005" s="2">
        <f t="shared" si="195"/>
        <v>5</v>
      </c>
      <c r="M1005" s="2">
        <f t="shared" si="196"/>
        <v>1</v>
      </c>
      <c r="N1005" s="2">
        <f t="shared" si="197"/>
        <v>2</v>
      </c>
      <c r="P1005" s="168">
        <f t="shared" si="198"/>
        <v>70</v>
      </c>
      <c r="AT1005" s="19">
        <v>3</v>
      </c>
      <c r="AU1005" s="14">
        <v>11</v>
      </c>
      <c r="AV1005" s="14" t="s">
        <v>78</v>
      </c>
      <c r="AW1005" s="13"/>
      <c r="AX1005" s="13"/>
      <c r="AY1005" s="19">
        <v>1</v>
      </c>
      <c r="AZ1005" s="14">
        <v>2</v>
      </c>
      <c r="BA1005" s="14">
        <v>2</v>
      </c>
      <c r="BB1005" s="13" t="s">
        <v>270</v>
      </c>
      <c r="BF1005" s="19" t="s">
        <v>478</v>
      </c>
    </row>
    <row r="1006" spans="1:58" ht="14.25" x14ac:dyDescent="0.2">
      <c r="A1006" t="str">
        <f t="shared" si="191"/>
        <v>A92</v>
      </c>
      <c r="B1006" s="2" t="s">
        <v>657</v>
      </c>
      <c r="C1006">
        <f t="shared" si="192"/>
        <v>104.74</v>
      </c>
      <c r="D1006" t="str">
        <f t="shared" si="199"/>
        <v>UFD</v>
      </c>
      <c r="E1006" s="169" t="str">
        <f>IF(OR(A1006="",B1006="",C1006=""),"eine der Spalten BAB, FR, km leer?",CONCATENATE(VLOOKUP(VALUE(I1006),[1]Grundlage!$A$1:$B$14,2,0),IF(LEFT(A1006,1)="A",IF(VALUE(MID(A1006,2,10))&lt;10,"A00"&amp;VALUE(MID(A1006,2,10)),IF(VALUE(MID(A1006,2,10))&lt;100,"A0"&amp;VALUE(MID(A1006,2,10)),IF(VALUE(MID(A1006,2,10))&lt;1000,"A"&amp;VALUE(MID(A1006,2,10))))),IF(LEFT(A1006,1)="B",IF(VALUE(MID(A1006,2,10))&lt;10,"B00"&amp;VALUE(MID(A1006,2,10)),IF(VALUE(MID(A1006,2,10))&lt;100,"B0"&amp;VALUE(MID(A1006,2,10)),IF(VALUE(MID(A1006,2,10))&lt;1000,"B"&amp;VALUE(MID(A1006,2,10))))),A1006)),"_",IF(NOT(OR(C1006=1000,C1006&gt;1000)),MID(TEXT((C1006+1000)*1000,0),2,6),"keine Meter in Spalte km!!!"),IF(VALUE(I1006)=1,CONCATENATE("_",VLOOKUP(IF(V1006&gt;0,V1006,J1006),[1]Grundlage!$A$20:$B$181,2,0)),CONCATENATE("_",B1006))))</f>
        <v>UQ_A092_104740_W</v>
      </c>
      <c r="F1006" s="2" t="s">
        <v>25</v>
      </c>
      <c r="G1006" s="167">
        <f t="shared" si="200"/>
        <v>36004</v>
      </c>
      <c r="H1006">
        <f t="shared" si="201"/>
        <v>139</v>
      </c>
      <c r="I1006" s="2">
        <f t="shared" si="193"/>
        <v>3</v>
      </c>
      <c r="J1006" s="2">
        <f t="shared" si="194"/>
        <v>12</v>
      </c>
      <c r="K1006" s="13">
        <v>210</v>
      </c>
      <c r="L1006" s="2">
        <f t="shared" si="195"/>
        <v>5</v>
      </c>
      <c r="M1006" s="2">
        <f t="shared" si="196"/>
        <v>1</v>
      </c>
      <c r="N1006" s="2">
        <f t="shared" si="197"/>
        <v>3</v>
      </c>
      <c r="P1006" s="168">
        <f t="shared" si="198"/>
        <v>48</v>
      </c>
      <c r="AT1006" s="19">
        <v>3</v>
      </c>
      <c r="AU1006" s="14">
        <v>12</v>
      </c>
      <c r="AV1006" s="14" t="s">
        <v>79</v>
      </c>
      <c r="AW1006" s="13"/>
      <c r="AX1006" s="13"/>
      <c r="AY1006" s="19">
        <v>1</v>
      </c>
      <c r="AZ1006" s="14">
        <v>3</v>
      </c>
      <c r="BA1006" s="14">
        <v>3</v>
      </c>
      <c r="BB1006" s="13" t="s">
        <v>25</v>
      </c>
      <c r="BF1006" s="19" t="s">
        <v>441</v>
      </c>
    </row>
    <row r="1007" spans="1:58" ht="14.25" x14ac:dyDescent="0.2">
      <c r="A1007" t="str">
        <f t="shared" si="191"/>
        <v>A92</v>
      </c>
      <c r="B1007" s="2" t="s">
        <v>657</v>
      </c>
      <c r="C1007">
        <f t="shared" si="192"/>
        <v>104.74</v>
      </c>
      <c r="D1007" t="str">
        <f t="shared" si="199"/>
        <v>UFD</v>
      </c>
      <c r="E1007" s="169" t="str">
        <f>IF(OR(A1007="",B1007="",C1007=""),"eine der Spalten BAB, FR, km leer?",CONCATENATE(VLOOKUP(VALUE(I1007),[1]Grundlage!$A$1:$B$14,2,0),IF(LEFT(A1007,1)="A",IF(VALUE(MID(A1007,2,10))&lt;10,"A00"&amp;VALUE(MID(A1007,2,10)),IF(VALUE(MID(A1007,2,10))&lt;100,"A0"&amp;VALUE(MID(A1007,2,10)),IF(VALUE(MID(A1007,2,10))&lt;1000,"A"&amp;VALUE(MID(A1007,2,10))))),IF(LEFT(A1007,1)="B",IF(VALUE(MID(A1007,2,10))&lt;10,"B00"&amp;VALUE(MID(A1007,2,10)),IF(VALUE(MID(A1007,2,10))&lt;100,"B0"&amp;VALUE(MID(A1007,2,10)),IF(VALUE(MID(A1007,2,10))&lt;1000,"B"&amp;VALUE(MID(A1007,2,10))))),A1007)),"_",IF(NOT(OR(C1007=1000,C1007&gt;1000)),MID(TEXT((C1007+1000)*1000,0),2,6),"keine Meter in Spalte km!!!"),IF(VALUE(I1007)=1,CONCATENATE("_",VLOOKUP(IF(V1007&gt;0,V1007,J1007),[1]Grundlage!$A$20:$B$181,2,0)),CONCATENATE("_",B1007))))</f>
        <v>UQ_A092_104740_W</v>
      </c>
      <c r="F1007" s="2" t="s">
        <v>26</v>
      </c>
      <c r="G1007" s="167">
        <f t="shared" si="200"/>
        <v>36004</v>
      </c>
      <c r="H1007">
        <f t="shared" si="201"/>
        <v>139</v>
      </c>
      <c r="I1007" s="2">
        <f t="shared" si="193"/>
        <v>3</v>
      </c>
      <c r="J1007" s="2">
        <f t="shared" si="194"/>
        <v>13</v>
      </c>
      <c r="K1007" s="13">
        <v>210</v>
      </c>
      <c r="L1007" s="2">
        <f t="shared" si="195"/>
        <v>5</v>
      </c>
      <c r="M1007" s="2">
        <f t="shared" si="196"/>
        <v>1</v>
      </c>
      <c r="N1007" s="2">
        <f t="shared" si="197"/>
        <v>4</v>
      </c>
      <c r="P1007" s="168">
        <f t="shared" si="198"/>
        <v>55</v>
      </c>
      <c r="AT1007" s="19">
        <v>3</v>
      </c>
      <c r="AU1007" s="14">
        <v>13</v>
      </c>
      <c r="AV1007" s="14" t="s">
        <v>80</v>
      </c>
      <c r="AW1007" s="13"/>
      <c r="AX1007" s="13"/>
      <c r="AY1007" s="19">
        <v>1</v>
      </c>
      <c r="AZ1007" s="14">
        <v>4</v>
      </c>
      <c r="BA1007" s="14">
        <v>4</v>
      </c>
      <c r="BB1007" s="13" t="s">
        <v>26</v>
      </c>
      <c r="BF1007" s="19" t="s">
        <v>442</v>
      </c>
    </row>
    <row r="1008" spans="1:58" ht="14.25" x14ac:dyDescent="0.2">
      <c r="A1008" t="str">
        <f t="shared" si="191"/>
        <v>A92</v>
      </c>
      <c r="B1008" s="2" t="s">
        <v>657</v>
      </c>
      <c r="C1008">
        <f t="shared" si="192"/>
        <v>104.74</v>
      </c>
      <c r="D1008" t="str">
        <f t="shared" si="199"/>
        <v>UFD</v>
      </c>
      <c r="E1008" s="169" t="str">
        <f>IF(OR(A1008="",B1008="",C1008=""),"eine der Spalten BAB, FR, km leer?",CONCATENATE(VLOOKUP(VALUE(I1008),[1]Grundlage!$A$1:$B$14,2,0),IF(LEFT(A1008,1)="A",IF(VALUE(MID(A1008,2,10))&lt;10,"A00"&amp;VALUE(MID(A1008,2,10)),IF(VALUE(MID(A1008,2,10))&lt;100,"A0"&amp;VALUE(MID(A1008,2,10)),IF(VALUE(MID(A1008,2,10))&lt;1000,"A"&amp;VALUE(MID(A1008,2,10))))),IF(LEFT(A1008,1)="B",IF(VALUE(MID(A1008,2,10))&lt;10,"B00"&amp;VALUE(MID(A1008,2,10)),IF(VALUE(MID(A1008,2,10))&lt;100,"B0"&amp;VALUE(MID(A1008,2,10)),IF(VALUE(MID(A1008,2,10))&lt;1000,"B"&amp;VALUE(MID(A1008,2,10))))),A1008)),"_",IF(NOT(OR(C1008=1000,C1008&gt;1000)),MID(TEXT((C1008+1000)*1000,0),2,6),"keine Meter in Spalte km!!!"),IF(VALUE(I1008)=1,CONCATENATE("_",VLOOKUP(IF(V1008&gt;0,V1008,J1008),[1]Grundlage!$A$20:$B$181,2,0)),CONCATENATE("_",B1008))))</f>
        <v>UQ_A092_104740_W</v>
      </c>
      <c r="F1008" s="2" t="s">
        <v>27</v>
      </c>
      <c r="G1008" s="167">
        <f t="shared" si="200"/>
        <v>36004</v>
      </c>
      <c r="H1008">
        <f t="shared" si="201"/>
        <v>139</v>
      </c>
      <c r="I1008" s="2">
        <f t="shared" si="193"/>
        <v>3</v>
      </c>
      <c r="J1008" s="2">
        <f t="shared" si="194"/>
        <v>14</v>
      </c>
      <c r="K1008" s="13">
        <v>210</v>
      </c>
      <c r="L1008" s="2">
        <f t="shared" si="195"/>
        <v>5</v>
      </c>
      <c r="M1008" s="2">
        <f t="shared" si="196"/>
        <v>1</v>
      </c>
      <c r="N1008" s="2">
        <f t="shared" si="197"/>
        <v>5</v>
      </c>
      <c r="P1008" s="168">
        <f t="shared" si="198"/>
        <v>66</v>
      </c>
      <c r="AT1008" s="19">
        <v>3</v>
      </c>
      <c r="AU1008" s="14">
        <v>14</v>
      </c>
      <c r="AV1008" s="14" t="s">
        <v>81</v>
      </c>
      <c r="AW1008" s="13"/>
      <c r="AX1008" s="13"/>
      <c r="AY1008" s="19">
        <v>1</v>
      </c>
      <c r="AZ1008" s="14">
        <v>5</v>
      </c>
      <c r="BA1008" s="14">
        <v>5</v>
      </c>
      <c r="BB1008" s="13" t="s">
        <v>27</v>
      </c>
      <c r="BF1008" s="19" t="s">
        <v>602</v>
      </c>
    </row>
    <row r="1009" spans="1:58" ht="14.25" x14ac:dyDescent="0.2">
      <c r="A1009" t="str">
        <f t="shared" si="191"/>
        <v>A92</v>
      </c>
      <c r="B1009" s="2" t="s">
        <v>657</v>
      </c>
      <c r="C1009">
        <f t="shared" si="192"/>
        <v>104.74</v>
      </c>
      <c r="D1009" t="str">
        <f t="shared" si="199"/>
        <v>UFD</v>
      </c>
      <c r="E1009" s="169" t="str">
        <f>IF(OR(A1009="",B1009="",C1009=""),"eine der Spalten BAB, FR, km leer?",CONCATENATE(VLOOKUP(VALUE(I1009),[1]Grundlage!$A$1:$B$14,2,0),IF(LEFT(A1009,1)="A",IF(VALUE(MID(A1009,2,10))&lt;10,"A00"&amp;VALUE(MID(A1009,2,10)),IF(VALUE(MID(A1009,2,10))&lt;100,"A0"&amp;VALUE(MID(A1009,2,10)),IF(VALUE(MID(A1009,2,10))&lt;1000,"A"&amp;VALUE(MID(A1009,2,10))))),IF(LEFT(A1009,1)="B",IF(VALUE(MID(A1009,2,10))&lt;10,"B00"&amp;VALUE(MID(A1009,2,10)),IF(VALUE(MID(A1009,2,10))&lt;100,"B0"&amp;VALUE(MID(A1009,2,10)),IF(VALUE(MID(A1009,2,10))&lt;1000,"B"&amp;VALUE(MID(A1009,2,10))))),A1009)),"_",IF(NOT(OR(C1009=1000,C1009&gt;1000)),MID(TEXT((C1009+1000)*1000,0),2,6),"keine Meter in Spalte km!!!"),IF(VALUE(I1009)=1,CONCATENATE("_",VLOOKUP(IF(V1009&gt;0,V1009,J1009),[1]Grundlage!$A$20:$B$181,2,0)),CONCATENATE("_",B1009))))</f>
        <v>UQ_A092_104740_W</v>
      </c>
      <c r="F1009" s="2" t="s">
        <v>28</v>
      </c>
      <c r="G1009" s="167">
        <f t="shared" si="200"/>
        <v>36004</v>
      </c>
      <c r="H1009">
        <f t="shared" si="201"/>
        <v>139</v>
      </c>
      <c r="I1009" s="2">
        <f t="shared" si="193"/>
        <v>3</v>
      </c>
      <c r="J1009" s="2">
        <f t="shared" si="194"/>
        <v>15</v>
      </c>
      <c r="K1009" s="13">
        <v>210</v>
      </c>
      <c r="L1009" s="2">
        <f t="shared" si="195"/>
        <v>5</v>
      </c>
      <c r="M1009" s="2">
        <f t="shared" si="196"/>
        <v>1</v>
      </c>
      <c r="N1009" s="2">
        <f t="shared" si="197"/>
        <v>6</v>
      </c>
      <c r="P1009" s="168">
        <f t="shared" si="198"/>
        <v>65</v>
      </c>
      <c r="AT1009" s="19">
        <v>3</v>
      </c>
      <c r="AU1009" s="14">
        <v>15</v>
      </c>
      <c r="AV1009" s="14" t="s">
        <v>82</v>
      </c>
      <c r="AW1009" s="13"/>
      <c r="AX1009" s="13"/>
      <c r="AY1009" s="19">
        <v>1</v>
      </c>
      <c r="AZ1009" s="14">
        <v>6</v>
      </c>
      <c r="BA1009" s="14">
        <v>6</v>
      </c>
      <c r="BB1009" s="13" t="s">
        <v>28</v>
      </c>
      <c r="BF1009" s="19" t="s">
        <v>482</v>
      </c>
    </row>
    <row r="1010" spans="1:58" ht="14.25" x14ac:dyDescent="0.2">
      <c r="A1010" t="str">
        <f t="shared" si="191"/>
        <v>A92</v>
      </c>
      <c r="B1010" s="2" t="s">
        <v>657</v>
      </c>
      <c r="C1010">
        <f t="shared" si="192"/>
        <v>104.74</v>
      </c>
      <c r="D1010" t="str">
        <f t="shared" si="199"/>
        <v>UFD</v>
      </c>
      <c r="E1010" s="169" t="str">
        <f>IF(OR(A1010="",B1010="",C1010=""),"eine der Spalten BAB, FR, km leer?",CONCATENATE(VLOOKUP(VALUE(I1010),[1]Grundlage!$A$1:$B$14,2,0),IF(LEFT(A1010,1)="A",IF(VALUE(MID(A1010,2,10))&lt;10,"A00"&amp;VALUE(MID(A1010,2,10)),IF(VALUE(MID(A1010,2,10))&lt;100,"A0"&amp;VALUE(MID(A1010,2,10)),IF(VALUE(MID(A1010,2,10))&lt;1000,"A"&amp;VALUE(MID(A1010,2,10))))),IF(LEFT(A1010,1)="B",IF(VALUE(MID(A1010,2,10))&lt;10,"B00"&amp;VALUE(MID(A1010,2,10)),IF(VALUE(MID(A1010,2,10))&lt;100,"B0"&amp;VALUE(MID(A1010,2,10)),IF(VALUE(MID(A1010,2,10))&lt;1000,"B"&amp;VALUE(MID(A1010,2,10))))),A1010)),"_",IF(NOT(OR(C1010=1000,C1010&gt;1000)),MID(TEXT((C1010+1000)*1000,0),2,6),"keine Meter in Spalte km!!!"),IF(VALUE(I1010)=1,CONCATENATE("_",VLOOKUP(IF(V1010&gt;0,V1010,J1010),[1]Grundlage!$A$20:$B$181,2,0)),CONCATENATE("_",B1010))))</f>
        <v>UQ_A092_104740_W</v>
      </c>
      <c r="F1010" s="2" t="s">
        <v>29</v>
      </c>
      <c r="G1010" s="167">
        <f t="shared" si="200"/>
        <v>36004</v>
      </c>
      <c r="H1010">
        <f t="shared" si="201"/>
        <v>139</v>
      </c>
      <c r="I1010" s="2">
        <f t="shared" si="193"/>
        <v>3</v>
      </c>
      <c r="J1010" s="2">
        <f t="shared" si="194"/>
        <v>19</v>
      </c>
      <c r="K1010" s="13">
        <v>210</v>
      </c>
      <c r="L1010" s="2">
        <f t="shared" si="195"/>
        <v>5</v>
      </c>
      <c r="M1010" s="2">
        <f t="shared" si="196"/>
        <v>1</v>
      </c>
      <c r="N1010" s="2">
        <f t="shared" si="197"/>
        <v>7</v>
      </c>
      <c r="P1010" s="168">
        <f t="shared" si="198"/>
        <v>49</v>
      </c>
      <c r="AT1010" s="19">
        <v>3</v>
      </c>
      <c r="AU1010" s="14">
        <v>19</v>
      </c>
      <c r="AV1010" s="14">
        <v>13</v>
      </c>
      <c r="AW1010" s="13"/>
      <c r="AX1010" s="13"/>
      <c r="AY1010" s="19">
        <v>1</v>
      </c>
      <c r="AZ1010" s="14">
        <v>7</v>
      </c>
      <c r="BA1010" s="14">
        <v>7</v>
      </c>
      <c r="BB1010" s="13" t="s">
        <v>29</v>
      </c>
      <c r="BF1010" s="19" t="s">
        <v>479</v>
      </c>
    </row>
    <row r="1011" spans="1:58" ht="14.25" x14ac:dyDescent="0.2">
      <c r="A1011" t="str">
        <f t="shared" si="191"/>
        <v>A92</v>
      </c>
      <c r="B1011" s="2" t="s">
        <v>657</v>
      </c>
      <c r="C1011">
        <f t="shared" si="192"/>
        <v>104.74</v>
      </c>
      <c r="D1011" t="str">
        <f t="shared" si="199"/>
        <v>UFD</v>
      </c>
      <c r="E1011" s="169" t="str">
        <f>IF(OR(A1011="",B1011="",C1011=""),"eine der Spalten BAB, FR, km leer?",CONCATENATE(VLOOKUP(VALUE(I1011),[1]Grundlage!$A$1:$B$14,2,0),IF(LEFT(A1011,1)="A",IF(VALUE(MID(A1011,2,10))&lt;10,"A00"&amp;VALUE(MID(A1011,2,10)),IF(VALUE(MID(A1011,2,10))&lt;100,"A0"&amp;VALUE(MID(A1011,2,10)),IF(VALUE(MID(A1011,2,10))&lt;1000,"A"&amp;VALUE(MID(A1011,2,10))))),IF(LEFT(A1011,1)="B",IF(VALUE(MID(A1011,2,10))&lt;10,"B00"&amp;VALUE(MID(A1011,2,10)),IF(VALUE(MID(A1011,2,10))&lt;100,"B0"&amp;VALUE(MID(A1011,2,10)),IF(VALUE(MID(A1011,2,10))&lt;1000,"B"&amp;VALUE(MID(A1011,2,10))))),A1011)),"_",IF(NOT(OR(C1011=1000,C1011&gt;1000)),MID(TEXT((C1011+1000)*1000,0),2,6),"keine Meter in Spalte km!!!"),IF(VALUE(I1011)=1,CONCATENATE("_",VLOOKUP(IF(V1011&gt;0,V1011,J1011),[1]Grundlage!$A$20:$B$181,2,0)),CONCATENATE("_",B1011))))</f>
        <v>UQ_A092_104740_W</v>
      </c>
      <c r="F1011" s="2" t="s">
        <v>30</v>
      </c>
      <c r="G1011" s="167">
        <f t="shared" si="200"/>
        <v>36004</v>
      </c>
      <c r="H1011">
        <f t="shared" si="201"/>
        <v>139</v>
      </c>
      <c r="I1011" s="2">
        <f t="shared" si="193"/>
        <v>3</v>
      </c>
      <c r="J1011" s="2">
        <f t="shared" si="194"/>
        <v>21</v>
      </c>
      <c r="K1011" s="13">
        <v>210</v>
      </c>
      <c r="L1011" s="2">
        <f t="shared" si="195"/>
        <v>5</v>
      </c>
      <c r="M1011" s="2">
        <f t="shared" si="196"/>
        <v>1</v>
      </c>
      <c r="N1011" s="2">
        <f t="shared" si="197"/>
        <v>8</v>
      </c>
      <c r="P1011" s="168">
        <f t="shared" si="198"/>
        <v>67</v>
      </c>
      <c r="AT1011" s="19">
        <v>3</v>
      </c>
      <c r="AU1011" s="14">
        <v>21</v>
      </c>
      <c r="AV1011" s="14">
        <v>15</v>
      </c>
      <c r="AW1011" s="13"/>
      <c r="AX1011" s="13"/>
      <c r="AY1011" s="19">
        <v>1</v>
      </c>
      <c r="AZ1011" s="14">
        <v>8</v>
      </c>
      <c r="BA1011" s="14">
        <v>8</v>
      </c>
      <c r="BB1011" s="13" t="s">
        <v>30</v>
      </c>
      <c r="BF1011" s="19" t="s">
        <v>480</v>
      </c>
    </row>
    <row r="1012" spans="1:58" ht="14.25" x14ac:dyDescent="0.2">
      <c r="A1012" t="str">
        <f t="shared" si="191"/>
        <v>A92</v>
      </c>
      <c r="B1012" s="2" t="s">
        <v>657</v>
      </c>
      <c r="C1012">
        <f t="shared" si="192"/>
        <v>104.74</v>
      </c>
      <c r="D1012" t="str">
        <f t="shared" si="199"/>
        <v>UFD</v>
      </c>
      <c r="E1012" s="169" t="str">
        <f>IF(OR(A1012="",B1012="",C1012=""),"eine der Spalten BAB, FR, km leer?",CONCATENATE(VLOOKUP(VALUE(I1012),[1]Grundlage!$A$1:$B$14,2,0),IF(LEFT(A1012,1)="A",IF(VALUE(MID(A1012,2,10))&lt;10,"A00"&amp;VALUE(MID(A1012,2,10)),IF(VALUE(MID(A1012,2,10))&lt;100,"A0"&amp;VALUE(MID(A1012,2,10)),IF(VALUE(MID(A1012,2,10))&lt;1000,"A"&amp;VALUE(MID(A1012,2,10))))),IF(LEFT(A1012,1)="B",IF(VALUE(MID(A1012,2,10))&lt;10,"B00"&amp;VALUE(MID(A1012,2,10)),IF(VALUE(MID(A1012,2,10))&lt;100,"B0"&amp;VALUE(MID(A1012,2,10)),IF(VALUE(MID(A1012,2,10))&lt;1000,"B"&amp;VALUE(MID(A1012,2,10))))),A1012)),"_",IF(NOT(OR(C1012=1000,C1012&gt;1000)),MID(TEXT((C1012+1000)*1000,0),2,6),"keine Meter in Spalte km!!!"),IF(VALUE(I1012)=1,CONCATENATE("_",VLOOKUP(IF(V1012&gt;0,V1012,J1012),[1]Grundlage!$A$20:$B$181,2,0)),CONCATENATE("_",B1012))))</f>
        <v>UQ_A092_104740_W</v>
      </c>
      <c r="F1012" s="2" t="s">
        <v>41</v>
      </c>
      <c r="G1012" s="167">
        <f t="shared" si="200"/>
        <v>36004</v>
      </c>
      <c r="H1012">
        <f t="shared" si="201"/>
        <v>139</v>
      </c>
      <c r="I1012" s="2">
        <f t="shared" si="193"/>
        <v>3</v>
      </c>
      <c r="J1012" s="2">
        <f t="shared" si="194"/>
        <v>24</v>
      </c>
      <c r="K1012" s="13">
        <v>210</v>
      </c>
      <c r="L1012" s="2">
        <f t="shared" si="195"/>
        <v>5</v>
      </c>
      <c r="M1012" s="2">
        <f t="shared" si="196"/>
        <v>1</v>
      </c>
      <c r="N1012" s="2">
        <f t="shared" si="197"/>
        <v>9</v>
      </c>
      <c r="P1012" s="168">
        <f t="shared" si="198"/>
        <v>69</v>
      </c>
      <c r="AT1012" s="19">
        <v>3</v>
      </c>
      <c r="AU1012" s="14">
        <v>24</v>
      </c>
      <c r="AV1012" s="14">
        <v>18</v>
      </c>
      <c r="AW1012" s="13"/>
      <c r="AX1012" s="13"/>
      <c r="AY1012" s="19">
        <v>1</v>
      </c>
      <c r="AZ1012" s="14">
        <v>9</v>
      </c>
      <c r="BA1012" s="14">
        <v>9</v>
      </c>
      <c r="BB1012" s="13" t="s">
        <v>41</v>
      </c>
      <c r="BF1012" s="19" t="s">
        <v>465</v>
      </c>
    </row>
    <row r="1013" spans="1:58" ht="14.25" x14ac:dyDescent="0.2">
      <c r="A1013" t="str">
        <f t="shared" si="191"/>
        <v>A92</v>
      </c>
      <c r="B1013" s="2" t="s">
        <v>657</v>
      </c>
      <c r="C1013">
        <f t="shared" si="192"/>
        <v>104.74</v>
      </c>
      <c r="D1013" t="str">
        <f t="shared" si="199"/>
        <v>UFD</v>
      </c>
      <c r="E1013" s="169" t="str">
        <f>IF(OR(A1013="",B1013="",C1013=""),"eine der Spalten BAB, FR, km leer?",CONCATENATE(VLOOKUP(VALUE(I1013),[1]Grundlage!$A$1:$B$14,2,0),IF(LEFT(A1013,1)="A",IF(VALUE(MID(A1013,2,10))&lt;10,"A00"&amp;VALUE(MID(A1013,2,10)),IF(VALUE(MID(A1013,2,10))&lt;100,"A0"&amp;VALUE(MID(A1013,2,10)),IF(VALUE(MID(A1013,2,10))&lt;1000,"A"&amp;VALUE(MID(A1013,2,10))))),IF(LEFT(A1013,1)="B",IF(VALUE(MID(A1013,2,10))&lt;10,"B00"&amp;VALUE(MID(A1013,2,10)),IF(VALUE(MID(A1013,2,10))&lt;100,"B0"&amp;VALUE(MID(A1013,2,10)),IF(VALUE(MID(A1013,2,10))&lt;1000,"B"&amp;VALUE(MID(A1013,2,10))))),A1013)),"_",IF(NOT(OR(C1013=1000,C1013&gt;1000)),MID(TEXT((C1013+1000)*1000,0),2,6),"keine Meter in Spalte km!!!"),IF(VALUE(I1013)=1,CONCATENATE("_",VLOOKUP(IF(V1013&gt;0,V1013,J1013),[1]Grundlage!$A$20:$B$181,2,0)),CONCATENATE("_",B1013))))</f>
        <v>UQ_A092_104740_W</v>
      </c>
      <c r="F1013" s="2" t="s">
        <v>271</v>
      </c>
      <c r="G1013" s="167">
        <f t="shared" si="200"/>
        <v>36004</v>
      </c>
      <c r="H1013">
        <f t="shared" si="201"/>
        <v>139</v>
      </c>
      <c r="I1013" s="2">
        <f t="shared" si="193"/>
        <v>3</v>
      </c>
      <c r="J1013" s="2">
        <f t="shared" si="194"/>
        <v>67</v>
      </c>
      <c r="K1013" s="13">
        <v>210</v>
      </c>
      <c r="L1013" s="2">
        <f t="shared" si="195"/>
        <v>5</v>
      </c>
      <c r="M1013" s="2">
        <f t="shared" si="196"/>
        <v>1</v>
      </c>
      <c r="N1013" s="2">
        <f t="shared" si="197"/>
        <v>10</v>
      </c>
      <c r="P1013" s="168">
        <f t="shared" si="198"/>
        <v>53</v>
      </c>
      <c r="AT1013" s="19">
        <v>3</v>
      </c>
      <c r="AU1013" s="14">
        <v>67</v>
      </c>
      <c r="AV1013" s="14">
        <v>43</v>
      </c>
      <c r="AW1013" s="13"/>
      <c r="AX1013" s="13"/>
      <c r="AY1013" s="19">
        <v>1</v>
      </c>
      <c r="AZ1013" s="14">
        <v>10</v>
      </c>
      <c r="BA1013" s="34" t="s">
        <v>95</v>
      </c>
      <c r="BB1013" s="13" t="s">
        <v>271</v>
      </c>
      <c r="BF1013" s="19" t="s">
        <v>444</v>
      </c>
    </row>
    <row r="1014" spans="1:58" ht="14.25" x14ac:dyDescent="0.2">
      <c r="A1014" t="str">
        <f t="shared" si="191"/>
        <v>A92</v>
      </c>
      <c r="B1014" s="2" t="s">
        <v>657</v>
      </c>
      <c r="C1014">
        <f t="shared" si="192"/>
        <v>104.74</v>
      </c>
      <c r="D1014" t="str">
        <f t="shared" si="199"/>
        <v>UFD</v>
      </c>
      <c r="E1014" s="169" t="str">
        <f>IF(OR(A1014="",B1014="",C1014=""),"eine der Spalten BAB, FR, km leer?",CONCATENATE(VLOOKUP(VALUE(I1014),[1]Grundlage!$A$1:$B$14,2,0),IF(LEFT(A1014,1)="A",IF(VALUE(MID(A1014,2,10))&lt;10,"A00"&amp;VALUE(MID(A1014,2,10)),IF(VALUE(MID(A1014,2,10))&lt;100,"A0"&amp;VALUE(MID(A1014,2,10)),IF(VALUE(MID(A1014,2,10))&lt;1000,"A"&amp;VALUE(MID(A1014,2,10))))),IF(LEFT(A1014,1)="B",IF(VALUE(MID(A1014,2,10))&lt;10,"B00"&amp;VALUE(MID(A1014,2,10)),IF(VALUE(MID(A1014,2,10))&lt;100,"B0"&amp;VALUE(MID(A1014,2,10)),IF(VALUE(MID(A1014,2,10))&lt;1000,"B"&amp;VALUE(MID(A1014,2,10))))),A1014)),"_",IF(NOT(OR(C1014=1000,C1014&gt;1000)),MID(TEXT((C1014+1000)*1000,0),2,6),"keine Meter in Spalte km!!!"),IF(VALUE(I1014)=1,CONCATENATE("_",VLOOKUP(IF(V1014&gt;0,V1014,J1014),[1]Grundlage!$A$20:$B$181,2,0)),CONCATENATE("_",B1014))))</f>
        <v>UQ_A092_104740_W</v>
      </c>
      <c r="F1014" s="2" t="s">
        <v>272</v>
      </c>
      <c r="G1014" s="167">
        <f t="shared" si="200"/>
        <v>36004</v>
      </c>
      <c r="H1014">
        <f t="shared" si="201"/>
        <v>139</v>
      </c>
      <c r="I1014" s="2">
        <f t="shared" si="193"/>
        <v>3</v>
      </c>
      <c r="J1014" s="2">
        <f t="shared" si="194"/>
        <v>82</v>
      </c>
      <c r="K1014" s="13">
        <v>210</v>
      </c>
      <c r="L1014" s="2">
        <f t="shared" si="195"/>
        <v>5</v>
      </c>
      <c r="M1014" s="2">
        <f t="shared" si="196"/>
        <v>1</v>
      </c>
      <c r="N1014" s="2">
        <f t="shared" si="197"/>
        <v>11</v>
      </c>
      <c r="P1014" s="168">
        <f t="shared" si="198"/>
        <v>72</v>
      </c>
      <c r="AT1014" s="19">
        <v>3</v>
      </c>
      <c r="AU1014" s="14">
        <v>82</v>
      </c>
      <c r="AV1014" s="14">
        <v>52</v>
      </c>
      <c r="AW1014" s="13"/>
      <c r="AX1014" s="13"/>
      <c r="AY1014" s="19">
        <v>1</v>
      </c>
      <c r="AZ1014" s="14">
        <v>11</v>
      </c>
      <c r="BA1014" s="34" t="s">
        <v>78</v>
      </c>
      <c r="BB1014" s="13" t="s">
        <v>272</v>
      </c>
      <c r="BF1014" s="19" t="s">
        <v>481</v>
      </c>
    </row>
    <row r="1015" spans="1:58" ht="14.25" x14ac:dyDescent="0.2">
      <c r="A1015" t="str">
        <f t="shared" si="191"/>
        <v>A92</v>
      </c>
      <c r="C1015">
        <f t="shared" si="192"/>
        <v>104.74</v>
      </c>
      <c r="D1015" t="str">
        <f t="shared" si="199"/>
        <v/>
      </c>
      <c r="E1015" s="169" t="str">
        <f>IF(OR(A1015="",B1015="",C1015=""),"",CONCATENATE(VLOOKUP(VALUE(I1015),[1]Grundlage!$A$1:$B$14,2,0),IF(LEFT(A1015,1)="A",IF(VALUE(MID(A1015,2,10))&lt;10,"A00"&amp;VALUE(MID(A1015,2,10)),IF(VALUE(MID(A1015,2,10))&lt;100,"A0"&amp;VALUE(MID(A1015,2,10)),IF(VALUE(MID(A1015,2,10))&lt;1000,"A"&amp;VALUE(MID(A1015,2,10))))),IF(LEFT(A1015,1)="B",IF(VALUE(MID(A1015,2,10))&lt;10,"B00"&amp;VALUE(MID(A1015,2,10)),IF(VALUE(MID(A1015,2,10))&lt;100,"B0"&amp;VALUE(MID(A1015,2,10)),IF(VALUE(MID(A1015,2,10))&lt;1000,"B"&amp;VALUE(MID(A1015,2,10))))),A1015)),"_",IF(NOT(OR(C1015=1000,C1015&gt;1000)),MID(TEXT((C1015+1000)*1000,0),2,6),"keine Meter in Spalte km!!!"),IF(VALUE(I1015)=1,CONCATENATE("_",VLOOKUP(IF(V1015&gt;0,V1015,J1015),[1]Grundlage!$A$20:$B$181,2,0)),CONCATENATE("_",B1015))))</f>
        <v/>
      </c>
      <c r="F1015" s="2" t="s">
        <v>669</v>
      </c>
      <c r="G1015" s="167">
        <f t="shared" si="200"/>
        <v>36004</v>
      </c>
      <c r="H1015">
        <f t="shared" si="201"/>
        <v>139</v>
      </c>
      <c r="I1015" s="2">
        <f t="shared" si="193"/>
        <v>0</v>
      </c>
      <c r="J1015" s="2">
        <f t="shared" si="194"/>
        <v>0</v>
      </c>
      <c r="K1015" s="13">
        <v>210</v>
      </c>
      <c r="L1015" s="2">
        <f t="shared" si="195"/>
        <v>5</v>
      </c>
      <c r="M1015" s="2" t="str">
        <f t="shared" si="196"/>
        <v/>
      </c>
      <c r="N1015" s="2" t="str">
        <f t="shared" si="197"/>
        <v/>
      </c>
      <c r="P1015" s="168" t="str">
        <f t="shared" si="198"/>
        <v/>
      </c>
    </row>
    <row r="1016" spans="1:58" ht="14.25" x14ac:dyDescent="0.2">
      <c r="A1016" t="str">
        <f t="shared" si="191"/>
        <v>A3</v>
      </c>
      <c r="B1016" s="2" t="s">
        <v>656</v>
      </c>
      <c r="C1016">
        <f t="shared" si="192"/>
        <v>540.86</v>
      </c>
      <c r="D1016" t="str">
        <f t="shared" si="199"/>
        <v>SS</v>
      </c>
      <c r="E1016" s="169" t="str">
        <f>IF(OR(A1016="",B1016="",C1016=""),"eine der Spalten BAB, FR, km leer?",CONCATENATE(VLOOKUP(VALUE(I1016),[1]Grundlage!$A$1:$B$14,2,0),IF(LEFT(A1016,1)="A",IF(VALUE(MID(A1016,2,10))&lt;10,"A00"&amp;VALUE(MID(A1016,2,10)),IF(VALUE(MID(A1016,2,10))&lt;100,"A0"&amp;VALUE(MID(A1016,2,10)),IF(VALUE(MID(A1016,2,10))&lt;1000,"A"&amp;VALUE(MID(A1016,2,10))))),IF(LEFT(A1016,1)="B",IF(VALUE(MID(A1016,2,10))&lt;10,"B00"&amp;VALUE(MID(A1016,2,10)),IF(VALUE(MID(A1016,2,10))&lt;100,"B0"&amp;VALUE(MID(A1016,2,10)),IF(VALUE(MID(A1016,2,10))&lt;1000,"B"&amp;VALUE(MID(A1016,2,10))))),A1016)),"_",IF(NOT(OR(C1016=1000,C1016&gt;1000)),MID(TEXT((C1016+1000)*1000,0),2,6),"keine Meter in Spalte km!!!"),IF(VALUE(I1016)=1,CONCATENATE("_",VLOOKUP(IF(V1016&gt;0,V1016,J1016),[1]Grundlage!$A$20:$B$181,2,0)),CONCATENATE("_",B1016))))</f>
        <v>SSt_A003_540860_N</v>
      </c>
      <c r="F1016" s="2" t="s">
        <v>126</v>
      </c>
      <c r="G1016" s="167">
        <f t="shared" si="200"/>
        <v>1199</v>
      </c>
      <c r="H1016">
        <f t="shared" si="201"/>
        <v>43</v>
      </c>
      <c r="I1016" s="2">
        <f t="shared" si="193"/>
        <v>254</v>
      </c>
      <c r="J1016" s="2">
        <f t="shared" si="194"/>
        <v>0</v>
      </c>
      <c r="K1016" s="13">
        <v>210</v>
      </c>
      <c r="L1016" s="2">
        <f t="shared" si="195"/>
        <v>6</v>
      </c>
      <c r="M1016" s="2" t="str">
        <f t="shared" si="196"/>
        <v/>
      </c>
      <c r="N1016" s="2" t="str">
        <f t="shared" si="197"/>
        <v/>
      </c>
      <c r="P1016" s="168" t="str">
        <f t="shared" si="198"/>
        <v/>
      </c>
      <c r="AI1016" s="35">
        <v>540.86</v>
      </c>
      <c r="AJ1016" s="36" t="s">
        <v>19</v>
      </c>
      <c r="AK1016" s="36" t="s">
        <v>62</v>
      </c>
      <c r="AL1016" s="36"/>
      <c r="AM1016" s="36"/>
      <c r="AN1016" s="36"/>
      <c r="AO1016" s="36"/>
      <c r="AP1016" s="36">
        <v>306987</v>
      </c>
      <c r="AQ1016" s="70" t="s">
        <v>234</v>
      </c>
      <c r="AR1016" s="45" t="s">
        <v>241</v>
      </c>
      <c r="AS1016" s="45" t="s">
        <v>240</v>
      </c>
      <c r="AT1016" s="36"/>
      <c r="AU1016" s="36"/>
      <c r="AV1016" s="36"/>
      <c r="AW1016" s="36"/>
      <c r="AX1016" s="36">
        <v>6</v>
      </c>
      <c r="AY1016" s="36"/>
      <c r="AZ1016" s="36"/>
      <c r="BA1016" s="36"/>
      <c r="BB1016" s="37" t="s">
        <v>126</v>
      </c>
      <c r="BC1016" s="38"/>
      <c r="BD1016" s="99" t="s">
        <v>163</v>
      </c>
      <c r="BE1016" s="39" t="s">
        <v>127</v>
      </c>
    </row>
    <row r="1017" spans="1:58" ht="14.25" x14ac:dyDescent="0.2">
      <c r="A1017" t="str">
        <f t="shared" si="191"/>
        <v>A3</v>
      </c>
      <c r="B1017" s="2" t="s">
        <v>656</v>
      </c>
      <c r="C1017">
        <f t="shared" si="192"/>
        <v>540.86</v>
      </c>
      <c r="D1017" t="str">
        <f t="shared" si="199"/>
        <v>UFD</v>
      </c>
      <c r="E1017" s="169" t="str">
        <f>IF(OR(A1017="",B1017="",C1017=""),"eine der Spalten BAB, FR, km leer?",CONCATENATE(VLOOKUP(VALUE(I1017),[1]Grundlage!$A$1:$B$14,2,0),IF(LEFT(A1017,1)="A",IF(VALUE(MID(A1017,2,10))&lt;10,"A00"&amp;VALUE(MID(A1017,2,10)),IF(VALUE(MID(A1017,2,10))&lt;100,"A0"&amp;VALUE(MID(A1017,2,10)),IF(VALUE(MID(A1017,2,10))&lt;1000,"A"&amp;VALUE(MID(A1017,2,10))))),IF(LEFT(A1017,1)="B",IF(VALUE(MID(A1017,2,10))&lt;10,"B00"&amp;VALUE(MID(A1017,2,10)),IF(VALUE(MID(A1017,2,10))&lt;100,"B0"&amp;VALUE(MID(A1017,2,10)),IF(VALUE(MID(A1017,2,10))&lt;1000,"B"&amp;VALUE(MID(A1017,2,10))))),A1017)),"_",IF(NOT(OR(C1017=1000,C1017&gt;1000)),MID(TEXT((C1017+1000)*1000,0),2,6),"keine Meter in Spalte km!!!"),IF(VALUE(I1017)=1,CONCATENATE("_",VLOOKUP(IF(V1017&gt;0,V1017,J1017),[1]Grundlage!$A$20:$B$181,2,0)),CONCATENATE("_",B1017))))</f>
        <v>UQ_A003_540860_N</v>
      </c>
      <c r="F1017" s="2" t="s">
        <v>269</v>
      </c>
      <c r="G1017" s="167">
        <f t="shared" si="200"/>
        <v>1199</v>
      </c>
      <c r="H1017">
        <f t="shared" si="201"/>
        <v>43</v>
      </c>
      <c r="I1017" s="2">
        <f t="shared" si="193"/>
        <v>3</v>
      </c>
      <c r="J1017" s="2">
        <f t="shared" si="194"/>
        <v>6</v>
      </c>
      <c r="K1017" s="13">
        <v>210</v>
      </c>
      <c r="L1017" s="2">
        <f t="shared" si="195"/>
        <v>6</v>
      </c>
      <c r="M1017" s="2">
        <f t="shared" si="196"/>
        <v>1</v>
      </c>
      <c r="N1017" s="2">
        <f t="shared" si="197"/>
        <v>1</v>
      </c>
      <c r="P1017" s="168">
        <f t="shared" si="198"/>
        <v>71</v>
      </c>
      <c r="AT1017" s="19">
        <v>3</v>
      </c>
      <c r="AU1017" s="14">
        <v>6</v>
      </c>
      <c r="AV1017" s="27">
        <v>6</v>
      </c>
      <c r="AW1017" s="19"/>
      <c r="AX1017" s="19"/>
      <c r="AY1017" s="19">
        <v>1</v>
      </c>
      <c r="AZ1017" s="14">
        <v>1</v>
      </c>
      <c r="BA1017" s="100">
        <v>1</v>
      </c>
      <c r="BB1017" s="13" t="s">
        <v>269</v>
      </c>
      <c r="BF1017" s="19" t="s">
        <v>440</v>
      </c>
    </row>
    <row r="1018" spans="1:58" ht="14.25" x14ac:dyDescent="0.2">
      <c r="A1018" t="str">
        <f t="shared" si="191"/>
        <v>A3</v>
      </c>
      <c r="B1018" s="2" t="s">
        <v>656</v>
      </c>
      <c r="C1018">
        <f t="shared" si="192"/>
        <v>540.86</v>
      </c>
      <c r="D1018" t="str">
        <f t="shared" si="199"/>
        <v>UFD</v>
      </c>
      <c r="E1018" s="169" t="str">
        <f>IF(OR(A1018="",B1018="",C1018=""),"eine der Spalten BAB, FR, km leer?",CONCATENATE(VLOOKUP(VALUE(I1018),[1]Grundlage!$A$1:$B$14,2,0),IF(LEFT(A1018,1)="A",IF(VALUE(MID(A1018,2,10))&lt;10,"A00"&amp;VALUE(MID(A1018,2,10)),IF(VALUE(MID(A1018,2,10))&lt;100,"A0"&amp;VALUE(MID(A1018,2,10)),IF(VALUE(MID(A1018,2,10))&lt;1000,"A"&amp;VALUE(MID(A1018,2,10))))),IF(LEFT(A1018,1)="B",IF(VALUE(MID(A1018,2,10))&lt;10,"B00"&amp;VALUE(MID(A1018,2,10)),IF(VALUE(MID(A1018,2,10))&lt;100,"B0"&amp;VALUE(MID(A1018,2,10)),IF(VALUE(MID(A1018,2,10))&lt;1000,"B"&amp;VALUE(MID(A1018,2,10))))),A1018)),"_",IF(NOT(OR(C1018=1000,C1018&gt;1000)),MID(TEXT((C1018+1000)*1000,0),2,6),"keine Meter in Spalte km!!!"),IF(VALUE(I1018)=1,CONCATENATE("_",VLOOKUP(IF(V1018&gt;0,V1018,J1018),[1]Grundlage!$A$20:$B$181,2,0)),CONCATENATE("_",B1018))))</f>
        <v>UQ_A003_540860_N</v>
      </c>
      <c r="F1018" s="2" t="s">
        <v>270</v>
      </c>
      <c r="G1018" s="167">
        <f t="shared" si="200"/>
        <v>1199</v>
      </c>
      <c r="H1018">
        <f t="shared" si="201"/>
        <v>43</v>
      </c>
      <c r="I1018" s="2">
        <f t="shared" si="193"/>
        <v>3</v>
      </c>
      <c r="J1018" s="2">
        <f t="shared" si="194"/>
        <v>11</v>
      </c>
      <c r="K1018" s="13">
        <v>210</v>
      </c>
      <c r="L1018" s="2">
        <f t="shared" si="195"/>
        <v>6</v>
      </c>
      <c r="M1018" s="2">
        <f t="shared" si="196"/>
        <v>1</v>
      </c>
      <c r="N1018" s="2">
        <f t="shared" si="197"/>
        <v>2</v>
      </c>
      <c r="P1018" s="168">
        <f t="shared" si="198"/>
        <v>70</v>
      </c>
      <c r="AT1018" s="19">
        <v>3</v>
      </c>
      <c r="AU1018" s="14">
        <v>11</v>
      </c>
      <c r="AV1018" s="14" t="s">
        <v>78</v>
      </c>
      <c r="AW1018" s="13"/>
      <c r="AX1018" s="13"/>
      <c r="AY1018" s="19">
        <v>1</v>
      </c>
      <c r="AZ1018" s="14">
        <v>2</v>
      </c>
      <c r="BA1018" s="14">
        <v>2</v>
      </c>
      <c r="BB1018" s="13" t="s">
        <v>270</v>
      </c>
      <c r="BF1018" s="19" t="s">
        <v>484</v>
      </c>
    </row>
    <row r="1019" spans="1:58" ht="14.25" x14ac:dyDescent="0.2">
      <c r="A1019" t="str">
        <f t="shared" si="191"/>
        <v>A3</v>
      </c>
      <c r="B1019" s="2" t="s">
        <v>656</v>
      </c>
      <c r="C1019">
        <f t="shared" si="192"/>
        <v>540.86</v>
      </c>
      <c r="D1019" t="str">
        <f t="shared" si="199"/>
        <v>UFD</v>
      </c>
      <c r="E1019" s="169" t="str">
        <f>IF(OR(A1019="",B1019="",C1019=""),"eine der Spalten BAB, FR, km leer?",CONCATENATE(VLOOKUP(VALUE(I1019),[1]Grundlage!$A$1:$B$14,2,0),IF(LEFT(A1019,1)="A",IF(VALUE(MID(A1019,2,10))&lt;10,"A00"&amp;VALUE(MID(A1019,2,10)),IF(VALUE(MID(A1019,2,10))&lt;100,"A0"&amp;VALUE(MID(A1019,2,10)),IF(VALUE(MID(A1019,2,10))&lt;1000,"A"&amp;VALUE(MID(A1019,2,10))))),IF(LEFT(A1019,1)="B",IF(VALUE(MID(A1019,2,10))&lt;10,"B00"&amp;VALUE(MID(A1019,2,10)),IF(VALUE(MID(A1019,2,10))&lt;100,"B0"&amp;VALUE(MID(A1019,2,10)),IF(VALUE(MID(A1019,2,10))&lt;1000,"B"&amp;VALUE(MID(A1019,2,10))))),A1019)),"_",IF(NOT(OR(C1019=1000,C1019&gt;1000)),MID(TEXT((C1019+1000)*1000,0),2,6),"keine Meter in Spalte km!!!"),IF(VALUE(I1019)=1,CONCATENATE("_",VLOOKUP(IF(V1019&gt;0,V1019,J1019),[1]Grundlage!$A$20:$B$181,2,0)),CONCATENATE("_",B1019))))</f>
        <v>UQ_A003_540860_N</v>
      </c>
      <c r="F1019" s="2" t="s">
        <v>25</v>
      </c>
      <c r="G1019" s="167">
        <f t="shared" si="200"/>
        <v>1199</v>
      </c>
      <c r="H1019">
        <f t="shared" si="201"/>
        <v>43</v>
      </c>
      <c r="I1019" s="2">
        <f t="shared" si="193"/>
        <v>3</v>
      </c>
      <c r="J1019" s="2">
        <f t="shared" si="194"/>
        <v>12</v>
      </c>
      <c r="K1019" s="13">
        <v>210</v>
      </c>
      <c r="L1019" s="2">
        <f t="shared" si="195"/>
        <v>6</v>
      </c>
      <c r="M1019" s="2">
        <f t="shared" si="196"/>
        <v>1</v>
      </c>
      <c r="N1019" s="2">
        <f t="shared" si="197"/>
        <v>3</v>
      </c>
      <c r="P1019" s="168">
        <f t="shared" si="198"/>
        <v>48</v>
      </c>
      <c r="AT1019" s="19">
        <v>3</v>
      </c>
      <c r="AU1019" s="14">
        <v>12</v>
      </c>
      <c r="AV1019" s="14" t="s">
        <v>79</v>
      </c>
      <c r="AW1019" s="13"/>
      <c r="AX1019" s="13"/>
      <c r="AY1019" s="19">
        <v>1</v>
      </c>
      <c r="AZ1019" s="14">
        <v>3</v>
      </c>
      <c r="BA1019" s="14">
        <v>3</v>
      </c>
      <c r="BB1019" s="13" t="s">
        <v>25</v>
      </c>
      <c r="BF1019" s="19" t="s">
        <v>441</v>
      </c>
    </row>
    <row r="1020" spans="1:58" ht="14.25" x14ac:dyDescent="0.2">
      <c r="A1020" t="str">
        <f t="shared" si="191"/>
        <v>A3</v>
      </c>
      <c r="B1020" s="2" t="s">
        <v>656</v>
      </c>
      <c r="C1020">
        <f t="shared" si="192"/>
        <v>540.86</v>
      </c>
      <c r="D1020" t="str">
        <f t="shared" si="199"/>
        <v>UFD</v>
      </c>
      <c r="E1020" s="169" t="str">
        <f>IF(OR(A1020="",B1020="",C1020=""),"eine der Spalten BAB, FR, km leer?",CONCATENATE(VLOOKUP(VALUE(I1020),[1]Grundlage!$A$1:$B$14,2,0),IF(LEFT(A1020,1)="A",IF(VALUE(MID(A1020,2,10))&lt;10,"A00"&amp;VALUE(MID(A1020,2,10)),IF(VALUE(MID(A1020,2,10))&lt;100,"A0"&amp;VALUE(MID(A1020,2,10)),IF(VALUE(MID(A1020,2,10))&lt;1000,"A"&amp;VALUE(MID(A1020,2,10))))),IF(LEFT(A1020,1)="B",IF(VALUE(MID(A1020,2,10))&lt;10,"B00"&amp;VALUE(MID(A1020,2,10)),IF(VALUE(MID(A1020,2,10))&lt;100,"B0"&amp;VALUE(MID(A1020,2,10)),IF(VALUE(MID(A1020,2,10))&lt;1000,"B"&amp;VALUE(MID(A1020,2,10))))),A1020)),"_",IF(NOT(OR(C1020=1000,C1020&gt;1000)),MID(TEXT((C1020+1000)*1000,0),2,6),"keine Meter in Spalte km!!!"),IF(VALUE(I1020)=1,CONCATENATE("_",VLOOKUP(IF(V1020&gt;0,V1020,J1020),[1]Grundlage!$A$20:$B$181,2,0)),CONCATENATE("_",B1020))))</f>
        <v>UQ_A003_540860_N</v>
      </c>
      <c r="F1020" s="2" t="s">
        <v>26</v>
      </c>
      <c r="G1020" s="167">
        <f t="shared" si="200"/>
        <v>1199</v>
      </c>
      <c r="H1020">
        <f t="shared" si="201"/>
        <v>43</v>
      </c>
      <c r="I1020" s="2">
        <f t="shared" si="193"/>
        <v>3</v>
      </c>
      <c r="J1020" s="2">
        <f t="shared" si="194"/>
        <v>13</v>
      </c>
      <c r="K1020" s="13">
        <v>210</v>
      </c>
      <c r="L1020" s="2">
        <f t="shared" si="195"/>
        <v>6</v>
      </c>
      <c r="M1020" s="2">
        <f t="shared" si="196"/>
        <v>1</v>
      </c>
      <c r="N1020" s="2">
        <f t="shared" si="197"/>
        <v>4</v>
      </c>
      <c r="P1020" s="168">
        <f t="shared" si="198"/>
        <v>55</v>
      </c>
      <c r="AT1020" s="19">
        <v>3</v>
      </c>
      <c r="AU1020" s="14">
        <v>13</v>
      </c>
      <c r="AV1020" s="14" t="s">
        <v>80</v>
      </c>
      <c r="AW1020" s="13"/>
      <c r="AX1020" s="13"/>
      <c r="AY1020" s="19">
        <v>1</v>
      </c>
      <c r="AZ1020" s="14">
        <v>4</v>
      </c>
      <c r="BA1020" s="14">
        <v>4</v>
      </c>
      <c r="BB1020" s="13" t="s">
        <v>26</v>
      </c>
      <c r="BF1020" s="19" t="s">
        <v>442</v>
      </c>
    </row>
    <row r="1021" spans="1:58" ht="14.25" x14ac:dyDescent="0.2">
      <c r="A1021" t="str">
        <f t="shared" si="191"/>
        <v>A3</v>
      </c>
      <c r="B1021" s="2" t="s">
        <v>656</v>
      </c>
      <c r="C1021">
        <f t="shared" si="192"/>
        <v>540.86</v>
      </c>
      <c r="D1021" t="str">
        <f t="shared" si="199"/>
        <v>UFD</v>
      </c>
      <c r="E1021" s="169" t="str">
        <f>IF(OR(A1021="",B1021="",C1021=""),"eine der Spalten BAB, FR, km leer?",CONCATENATE(VLOOKUP(VALUE(I1021),[1]Grundlage!$A$1:$B$14,2,0),IF(LEFT(A1021,1)="A",IF(VALUE(MID(A1021,2,10))&lt;10,"A00"&amp;VALUE(MID(A1021,2,10)),IF(VALUE(MID(A1021,2,10))&lt;100,"A0"&amp;VALUE(MID(A1021,2,10)),IF(VALUE(MID(A1021,2,10))&lt;1000,"A"&amp;VALUE(MID(A1021,2,10))))),IF(LEFT(A1021,1)="B",IF(VALUE(MID(A1021,2,10))&lt;10,"B00"&amp;VALUE(MID(A1021,2,10)),IF(VALUE(MID(A1021,2,10))&lt;100,"B0"&amp;VALUE(MID(A1021,2,10)),IF(VALUE(MID(A1021,2,10))&lt;1000,"B"&amp;VALUE(MID(A1021,2,10))))),A1021)),"_",IF(NOT(OR(C1021=1000,C1021&gt;1000)),MID(TEXT((C1021+1000)*1000,0),2,6),"keine Meter in Spalte km!!!"),IF(VALUE(I1021)=1,CONCATENATE("_",VLOOKUP(IF(V1021&gt;0,V1021,J1021),[1]Grundlage!$A$20:$B$181,2,0)),CONCATENATE("_",B1021))))</f>
        <v>UQ_A003_540860_N</v>
      </c>
      <c r="F1021" s="2" t="s">
        <v>27</v>
      </c>
      <c r="G1021" s="167">
        <f t="shared" si="200"/>
        <v>1199</v>
      </c>
      <c r="H1021">
        <f t="shared" si="201"/>
        <v>43</v>
      </c>
      <c r="I1021" s="2">
        <f t="shared" si="193"/>
        <v>3</v>
      </c>
      <c r="J1021" s="2">
        <f t="shared" si="194"/>
        <v>14</v>
      </c>
      <c r="K1021" s="13">
        <v>210</v>
      </c>
      <c r="L1021" s="2">
        <f t="shared" si="195"/>
        <v>6</v>
      </c>
      <c r="M1021" s="2">
        <f t="shared" si="196"/>
        <v>1</v>
      </c>
      <c r="N1021" s="2">
        <f t="shared" si="197"/>
        <v>5</v>
      </c>
      <c r="P1021" s="168">
        <f t="shared" si="198"/>
        <v>66</v>
      </c>
      <c r="AT1021" s="19">
        <v>3</v>
      </c>
      <c r="AU1021" s="14">
        <v>14</v>
      </c>
      <c r="AV1021" s="14" t="s">
        <v>81</v>
      </c>
      <c r="AW1021" s="13"/>
      <c r="AX1021" s="13"/>
      <c r="AY1021" s="19">
        <v>1</v>
      </c>
      <c r="AZ1021" s="14">
        <v>5</v>
      </c>
      <c r="BA1021" s="14">
        <v>5</v>
      </c>
      <c r="BB1021" s="13" t="s">
        <v>27</v>
      </c>
      <c r="BF1021" s="19" t="s">
        <v>443</v>
      </c>
    </row>
    <row r="1022" spans="1:58" ht="14.25" x14ac:dyDescent="0.2">
      <c r="A1022" t="str">
        <f t="shared" si="191"/>
        <v>A3</v>
      </c>
      <c r="B1022" s="2" t="s">
        <v>656</v>
      </c>
      <c r="C1022">
        <f t="shared" si="192"/>
        <v>540.86</v>
      </c>
      <c r="D1022" t="str">
        <f t="shared" si="199"/>
        <v>UFD</v>
      </c>
      <c r="E1022" s="169" t="str">
        <f>IF(OR(A1022="",B1022="",C1022=""),"eine der Spalten BAB, FR, km leer?",CONCATENATE(VLOOKUP(VALUE(I1022),[1]Grundlage!$A$1:$B$14,2,0),IF(LEFT(A1022,1)="A",IF(VALUE(MID(A1022,2,10))&lt;10,"A00"&amp;VALUE(MID(A1022,2,10)),IF(VALUE(MID(A1022,2,10))&lt;100,"A0"&amp;VALUE(MID(A1022,2,10)),IF(VALUE(MID(A1022,2,10))&lt;1000,"A"&amp;VALUE(MID(A1022,2,10))))),IF(LEFT(A1022,1)="B",IF(VALUE(MID(A1022,2,10))&lt;10,"B00"&amp;VALUE(MID(A1022,2,10)),IF(VALUE(MID(A1022,2,10))&lt;100,"B0"&amp;VALUE(MID(A1022,2,10)),IF(VALUE(MID(A1022,2,10))&lt;1000,"B"&amp;VALUE(MID(A1022,2,10))))),A1022)),"_",IF(NOT(OR(C1022=1000,C1022&gt;1000)),MID(TEXT((C1022+1000)*1000,0),2,6),"keine Meter in Spalte km!!!"),IF(VALUE(I1022)=1,CONCATENATE("_",VLOOKUP(IF(V1022&gt;0,V1022,J1022),[1]Grundlage!$A$20:$B$181,2,0)),CONCATENATE("_",B1022))))</f>
        <v>UQ_A003_540860_N</v>
      </c>
      <c r="F1022" s="2" t="s">
        <v>28</v>
      </c>
      <c r="G1022" s="167">
        <f t="shared" si="200"/>
        <v>1199</v>
      </c>
      <c r="H1022">
        <f t="shared" si="201"/>
        <v>43</v>
      </c>
      <c r="I1022" s="2">
        <f t="shared" si="193"/>
        <v>3</v>
      </c>
      <c r="J1022" s="2">
        <f t="shared" si="194"/>
        <v>15</v>
      </c>
      <c r="K1022" s="13">
        <v>210</v>
      </c>
      <c r="L1022" s="2">
        <f t="shared" si="195"/>
        <v>6</v>
      </c>
      <c r="M1022" s="2">
        <f t="shared" si="196"/>
        <v>1</v>
      </c>
      <c r="N1022" s="2">
        <f t="shared" si="197"/>
        <v>6</v>
      </c>
      <c r="P1022" s="168">
        <f t="shared" si="198"/>
        <v>65</v>
      </c>
      <c r="AT1022" s="19">
        <v>3</v>
      </c>
      <c r="AU1022" s="14">
        <v>15</v>
      </c>
      <c r="AV1022" s="14" t="s">
        <v>82</v>
      </c>
      <c r="AW1022" s="13"/>
      <c r="AX1022" s="13"/>
      <c r="AY1022" s="19">
        <v>1</v>
      </c>
      <c r="AZ1022" s="14">
        <v>6</v>
      </c>
      <c r="BA1022" s="14">
        <v>6</v>
      </c>
      <c r="BB1022" s="13" t="s">
        <v>28</v>
      </c>
      <c r="BF1022" s="19" t="s">
        <v>485</v>
      </c>
    </row>
    <row r="1023" spans="1:58" ht="14.25" x14ac:dyDescent="0.2">
      <c r="A1023" t="str">
        <f t="shared" si="191"/>
        <v>A3</v>
      </c>
      <c r="B1023" s="2" t="s">
        <v>656</v>
      </c>
      <c r="C1023">
        <f t="shared" si="192"/>
        <v>540.86</v>
      </c>
      <c r="D1023" t="str">
        <f t="shared" si="199"/>
        <v>UFD</v>
      </c>
      <c r="E1023" s="169" t="str">
        <f>IF(OR(A1023="",B1023="",C1023=""),"eine der Spalten BAB, FR, km leer?",CONCATENATE(VLOOKUP(VALUE(I1023),[1]Grundlage!$A$1:$B$14,2,0),IF(LEFT(A1023,1)="A",IF(VALUE(MID(A1023,2,10))&lt;10,"A00"&amp;VALUE(MID(A1023,2,10)),IF(VALUE(MID(A1023,2,10))&lt;100,"A0"&amp;VALUE(MID(A1023,2,10)),IF(VALUE(MID(A1023,2,10))&lt;1000,"A"&amp;VALUE(MID(A1023,2,10))))),IF(LEFT(A1023,1)="B",IF(VALUE(MID(A1023,2,10))&lt;10,"B00"&amp;VALUE(MID(A1023,2,10)),IF(VALUE(MID(A1023,2,10))&lt;100,"B0"&amp;VALUE(MID(A1023,2,10)),IF(VALUE(MID(A1023,2,10))&lt;1000,"B"&amp;VALUE(MID(A1023,2,10))))),A1023)),"_",IF(NOT(OR(C1023=1000,C1023&gt;1000)),MID(TEXT((C1023+1000)*1000,0),2,6),"keine Meter in Spalte km!!!"),IF(VALUE(I1023)=1,CONCATENATE("_",VLOOKUP(IF(V1023&gt;0,V1023,J1023),[1]Grundlage!$A$20:$B$181,2,0)),CONCATENATE("_",B1023))))</f>
        <v>UQ_A003_540860_N</v>
      </c>
      <c r="F1023" s="2" t="s">
        <v>29</v>
      </c>
      <c r="G1023" s="167">
        <f t="shared" si="200"/>
        <v>1199</v>
      </c>
      <c r="H1023">
        <f t="shared" si="201"/>
        <v>43</v>
      </c>
      <c r="I1023" s="2">
        <f t="shared" si="193"/>
        <v>3</v>
      </c>
      <c r="J1023" s="2">
        <f t="shared" si="194"/>
        <v>19</v>
      </c>
      <c r="K1023" s="13">
        <v>210</v>
      </c>
      <c r="L1023" s="2">
        <f t="shared" si="195"/>
        <v>6</v>
      </c>
      <c r="M1023" s="2">
        <f t="shared" si="196"/>
        <v>1</v>
      </c>
      <c r="N1023" s="2">
        <f t="shared" si="197"/>
        <v>7</v>
      </c>
      <c r="P1023" s="168">
        <f t="shared" si="198"/>
        <v>49</v>
      </c>
      <c r="AT1023" s="19">
        <v>3</v>
      </c>
      <c r="AU1023" s="14">
        <v>19</v>
      </c>
      <c r="AV1023" s="14">
        <v>13</v>
      </c>
      <c r="AW1023" s="13"/>
      <c r="AX1023" s="13"/>
      <c r="AY1023" s="19">
        <v>1</v>
      </c>
      <c r="AZ1023" s="14">
        <v>7</v>
      </c>
      <c r="BA1023" s="14">
        <v>7</v>
      </c>
      <c r="BB1023" s="13" t="s">
        <v>29</v>
      </c>
      <c r="BF1023" s="19" t="s">
        <v>486</v>
      </c>
    </row>
    <row r="1024" spans="1:58" ht="14.25" x14ac:dyDescent="0.2">
      <c r="A1024" t="str">
        <f t="shared" si="191"/>
        <v>A3</v>
      </c>
      <c r="B1024" s="2" t="s">
        <v>656</v>
      </c>
      <c r="C1024">
        <f t="shared" si="192"/>
        <v>540.86</v>
      </c>
      <c r="D1024" t="str">
        <f t="shared" si="199"/>
        <v>UFD</v>
      </c>
      <c r="E1024" s="169" t="str">
        <f>IF(OR(A1024="",B1024="",C1024=""),"eine der Spalten BAB, FR, km leer?",CONCATENATE(VLOOKUP(VALUE(I1024),[1]Grundlage!$A$1:$B$14,2,0),IF(LEFT(A1024,1)="A",IF(VALUE(MID(A1024,2,10))&lt;10,"A00"&amp;VALUE(MID(A1024,2,10)),IF(VALUE(MID(A1024,2,10))&lt;100,"A0"&amp;VALUE(MID(A1024,2,10)),IF(VALUE(MID(A1024,2,10))&lt;1000,"A"&amp;VALUE(MID(A1024,2,10))))),IF(LEFT(A1024,1)="B",IF(VALUE(MID(A1024,2,10))&lt;10,"B00"&amp;VALUE(MID(A1024,2,10)),IF(VALUE(MID(A1024,2,10))&lt;100,"B0"&amp;VALUE(MID(A1024,2,10)),IF(VALUE(MID(A1024,2,10))&lt;1000,"B"&amp;VALUE(MID(A1024,2,10))))),A1024)),"_",IF(NOT(OR(C1024=1000,C1024&gt;1000)),MID(TEXT((C1024+1000)*1000,0),2,6),"keine Meter in Spalte km!!!"),IF(VALUE(I1024)=1,CONCATENATE("_",VLOOKUP(IF(V1024&gt;0,V1024,J1024),[1]Grundlage!$A$20:$B$181,2,0)),CONCATENATE("_",B1024))))</f>
        <v>UQ_A003_540860_N</v>
      </c>
      <c r="F1024" s="2" t="s">
        <v>30</v>
      </c>
      <c r="G1024" s="167">
        <f t="shared" si="200"/>
        <v>1199</v>
      </c>
      <c r="H1024">
        <f t="shared" si="201"/>
        <v>43</v>
      </c>
      <c r="I1024" s="2">
        <f t="shared" si="193"/>
        <v>3</v>
      </c>
      <c r="J1024" s="2">
        <f t="shared" si="194"/>
        <v>21</v>
      </c>
      <c r="K1024" s="13">
        <v>210</v>
      </c>
      <c r="L1024" s="2">
        <f t="shared" si="195"/>
        <v>6</v>
      </c>
      <c r="M1024" s="2">
        <f t="shared" si="196"/>
        <v>1</v>
      </c>
      <c r="N1024" s="2">
        <f t="shared" si="197"/>
        <v>8</v>
      </c>
      <c r="P1024" s="168">
        <f t="shared" si="198"/>
        <v>67</v>
      </c>
      <c r="AT1024" s="19">
        <v>3</v>
      </c>
      <c r="AU1024" s="14">
        <v>21</v>
      </c>
      <c r="AV1024" s="14">
        <v>15</v>
      </c>
      <c r="AW1024" s="13"/>
      <c r="AX1024" s="13"/>
      <c r="AY1024" s="19">
        <v>1</v>
      </c>
      <c r="AZ1024" s="14">
        <v>8</v>
      </c>
      <c r="BA1024" s="14">
        <v>8</v>
      </c>
      <c r="BB1024" s="13" t="s">
        <v>30</v>
      </c>
      <c r="BF1024" s="19" t="s">
        <v>487</v>
      </c>
    </row>
    <row r="1025" spans="1:58" ht="14.25" x14ac:dyDescent="0.2">
      <c r="A1025" t="str">
        <f t="shared" si="191"/>
        <v>A3</v>
      </c>
      <c r="B1025" s="2" t="s">
        <v>656</v>
      </c>
      <c r="C1025">
        <f t="shared" si="192"/>
        <v>540.86</v>
      </c>
      <c r="D1025" t="str">
        <f t="shared" si="199"/>
        <v>UFD</v>
      </c>
      <c r="E1025" s="169" t="str">
        <f>IF(OR(A1025="",B1025="",C1025=""),"eine der Spalten BAB, FR, km leer?",CONCATENATE(VLOOKUP(VALUE(I1025),[1]Grundlage!$A$1:$B$14,2,0),IF(LEFT(A1025,1)="A",IF(VALUE(MID(A1025,2,10))&lt;10,"A00"&amp;VALUE(MID(A1025,2,10)),IF(VALUE(MID(A1025,2,10))&lt;100,"A0"&amp;VALUE(MID(A1025,2,10)),IF(VALUE(MID(A1025,2,10))&lt;1000,"A"&amp;VALUE(MID(A1025,2,10))))),IF(LEFT(A1025,1)="B",IF(VALUE(MID(A1025,2,10))&lt;10,"B00"&amp;VALUE(MID(A1025,2,10)),IF(VALUE(MID(A1025,2,10))&lt;100,"B0"&amp;VALUE(MID(A1025,2,10)),IF(VALUE(MID(A1025,2,10))&lt;1000,"B"&amp;VALUE(MID(A1025,2,10))))),A1025)),"_",IF(NOT(OR(C1025=1000,C1025&gt;1000)),MID(TEXT((C1025+1000)*1000,0),2,6),"keine Meter in Spalte km!!!"),IF(VALUE(I1025)=1,CONCATENATE("_",VLOOKUP(IF(V1025&gt;0,V1025,J1025),[1]Grundlage!$A$20:$B$181,2,0)),CONCATENATE("_",B1025))))</f>
        <v>UQ_A003_540860_N</v>
      </c>
      <c r="F1025" s="2" t="s">
        <v>41</v>
      </c>
      <c r="G1025" s="167">
        <f t="shared" si="200"/>
        <v>1199</v>
      </c>
      <c r="H1025">
        <f t="shared" si="201"/>
        <v>43</v>
      </c>
      <c r="I1025" s="2">
        <f t="shared" si="193"/>
        <v>3</v>
      </c>
      <c r="J1025" s="2">
        <f t="shared" si="194"/>
        <v>24</v>
      </c>
      <c r="K1025" s="13">
        <v>210</v>
      </c>
      <c r="L1025" s="2">
        <f t="shared" si="195"/>
        <v>6</v>
      </c>
      <c r="M1025" s="2">
        <f t="shared" si="196"/>
        <v>1</v>
      </c>
      <c r="N1025" s="2">
        <f t="shared" si="197"/>
        <v>9</v>
      </c>
      <c r="P1025" s="168">
        <f t="shared" si="198"/>
        <v>69</v>
      </c>
      <c r="AT1025" s="19">
        <v>3</v>
      </c>
      <c r="AU1025" s="14">
        <v>24</v>
      </c>
      <c r="AV1025" s="14">
        <v>18</v>
      </c>
      <c r="AW1025" s="13"/>
      <c r="AX1025" s="13"/>
      <c r="AY1025" s="19">
        <v>1</v>
      </c>
      <c r="AZ1025" s="14">
        <v>9</v>
      </c>
      <c r="BA1025" s="14">
        <v>9</v>
      </c>
      <c r="BB1025" s="13" t="s">
        <v>41</v>
      </c>
      <c r="BF1025" s="19" t="s">
        <v>465</v>
      </c>
    </row>
    <row r="1026" spans="1:58" ht="13.5" customHeight="1" x14ac:dyDescent="0.2">
      <c r="A1026" t="str">
        <f t="shared" si="191"/>
        <v>A3</v>
      </c>
      <c r="B1026" s="2" t="s">
        <v>656</v>
      </c>
      <c r="C1026">
        <f t="shared" si="192"/>
        <v>540.86</v>
      </c>
      <c r="D1026" t="str">
        <f t="shared" si="199"/>
        <v>UFD</v>
      </c>
      <c r="E1026" s="169" t="str">
        <f>IF(OR(A1026="",B1026="",C1026=""),"eine der Spalten BAB, FR, km leer?",CONCATENATE(VLOOKUP(VALUE(I1026),[1]Grundlage!$A$1:$B$14,2,0),IF(LEFT(A1026,1)="A",IF(VALUE(MID(A1026,2,10))&lt;10,"A00"&amp;VALUE(MID(A1026,2,10)),IF(VALUE(MID(A1026,2,10))&lt;100,"A0"&amp;VALUE(MID(A1026,2,10)),IF(VALUE(MID(A1026,2,10))&lt;1000,"A"&amp;VALUE(MID(A1026,2,10))))),IF(LEFT(A1026,1)="B",IF(VALUE(MID(A1026,2,10))&lt;10,"B00"&amp;VALUE(MID(A1026,2,10)),IF(VALUE(MID(A1026,2,10))&lt;100,"B0"&amp;VALUE(MID(A1026,2,10)),IF(VALUE(MID(A1026,2,10))&lt;1000,"B"&amp;VALUE(MID(A1026,2,10))))),A1026)),"_",IF(NOT(OR(C1026=1000,C1026&gt;1000)),MID(TEXT((C1026+1000)*1000,0),2,6),"keine Meter in Spalte km!!!"),IF(VALUE(I1026)=1,CONCATENATE("_",VLOOKUP(IF(V1026&gt;0,V1026,J1026),[1]Grundlage!$A$20:$B$181,2,0)),CONCATENATE("_",B1026))))</f>
        <v>UQ_A003_540860_N</v>
      </c>
      <c r="F1026" s="2" t="s">
        <v>271</v>
      </c>
      <c r="G1026" s="167">
        <f t="shared" si="200"/>
        <v>1199</v>
      </c>
      <c r="H1026">
        <f t="shared" si="201"/>
        <v>43</v>
      </c>
      <c r="I1026" s="2">
        <f t="shared" si="193"/>
        <v>3</v>
      </c>
      <c r="J1026" s="2">
        <f t="shared" si="194"/>
        <v>67</v>
      </c>
      <c r="K1026" s="13">
        <v>210</v>
      </c>
      <c r="L1026" s="2">
        <f t="shared" si="195"/>
        <v>6</v>
      </c>
      <c r="M1026" s="2">
        <f t="shared" si="196"/>
        <v>1</v>
      </c>
      <c r="N1026" s="2">
        <f t="shared" si="197"/>
        <v>10</v>
      </c>
      <c r="P1026" s="168">
        <f t="shared" si="198"/>
        <v>53</v>
      </c>
      <c r="AT1026" s="19">
        <v>3</v>
      </c>
      <c r="AU1026" s="14">
        <v>67</v>
      </c>
      <c r="AV1026" s="14">
        <v>43</v>
      </c>
      <c r="AW1026" s="13"/>
      <c r="AX1026" s="13"/>
      <c r="AY1026" s="19">
        <v>1</v>
      </c>
      <c r="AZ1026" s="14">
        <v>10</v>
      </c>
      <c r="BA1026" s="34" t="s">
        <v>95</v>
      </c>
      <c r="BB1026" s="13" t="s">
        <v>271</v>
      </c>
      <c r="BF1026" s="19" t="s">
        <v>444</v>
      </c>
    </row>
    <row r="1027" spans="1:58" ht="14.25" x14ac:dyDescent="0.2">
      <c r="A1027" t="str">
        <f t="shared" si="191"/>
        <v>A3</v>
      </c>
      <c r="B1027" s="2" t="s">
        <v>656</v>
      </c>
      <c r="C1027">
        <f t="shared" si="192"/>
        <v>540.86</v>
      </c>
      <c r="D1027" t="str">
        <f t="shared" si="199"/>
        <v>UFD</v>
      </c>
      <c r="E1027" s="169" t="str">
        <f>IF(OR(A1027="",B1027="",C1027=""),"eine der Spalten BAB, FR, km leer?",CONCATENATE(VLOOKUP(VALUE(I1027),[1]Grundlage!$A$1:$B$14,2,0),IF(LEFT(A1027,1)="A",IF(VALUE(MID(A1027,2,10))&lt;10,"A00"&amp;VALUE(MID(A1027,2,10)),IF(VALUE(MID(A1027,2,10))&lt;100,"A0"&amp;VALUE(MID(A1027,2,10)),IF(VALUE(MID(A1027,2,10))&lt;1000,"A"&amp;VALUE(MID(A1027,2,10))))),IF(LEFT(A1027,1)="B",IF(VALUE(MID(A1027,2,10))&lt;10,"B00"&amp;VALUE(MID(A1027,2,10)),IF(VALUE(MID(A1027,2,10))&lt;100,"B0"&amp;VALUE(MID(A1027,2,10)),IF(VALUE(MID(A1027,2,10))&lt;1000,"B"&amp;VALUE(MID(A1027,2,10))))),A1027)),"_",IF(NOT(OR(C1027=1000,C1027&gt;1000)),MID(TEXT((C1027+1000)*1000,0),2,6),"keine Meter in Spalte km!!!"),IF(VALUE(I1027)=1,CONCATENATE("_",VLOOKUP(IF(V1027&gt;0,V1027,J1027),[1]Grundlage!$A$20:$B$181,2,0)),CONCATENATE("_",B1027))))</f>
        <v>UQ_A003_540860_N</v>
      </c>
      <c r="F1027" s="2" t="s">
        <v>272</v>
      </c>
      <c r="G1027" s="167">
        <f t="shared" si="200"/>
        <v>1199</v>
      </c>
      <c r="H1027">
        <f t="shared" si="201"/>
        <v>43</v>
      </c>
      <c r="I1027" s="2">
        <f t="shared" si="193"/>
        <v>3</v>
      </c>
      <c r="J1027" s="2">
        <f t="shared" si="194"/>
        <v>82</v>
      </c>
      <c r="K1027" s="13">
        <v>210</v>
      </c>
      <c r="L1027" s="2">
        <f t="shared" si="195"/>
        <v>6</v>
      </c>
      <c r="M1027" s="2">
        <f t="shared" si="196"/>
        <v>1</v>
      </c>
      <c r="N1027" s="2">
        <f t="shared" si="197"/>
        <v>11</v>
      </c>
      <c r="P1027" s="168">
        <f t="shared" si="198"/>
        <v>72</v>
      </c>
      <c r="AT1027" s="19">
        <v>3</v>
      </c>
      <c r="AU1027" s="14">
        <v>82</v>
      </c>
      <c r="AV1027" s="14">
        <v>52</v>
      </c>
      <c r="AW1027" s="13"/>
      <c r="AX1027" s="13"/>
      <c r="AY1027" s="19">
        <v>1</v>
      </c>
      <c r="AZ1027" s="14">
        <v>11</v>
      </c>
      <c r="BA1027" s="34" t="s">
        <v>78</v>
      </c>
      <c r="BB1027" s="13" t="s">
        <v>272</v>
      </c>
      <c r="BF1027" s="19" t="s">
        <v>488</v>
      </c>
    </row>
    <row r="1028" spans="1:58" ht="14.25" x14ac:dyDescent="0.2">
      <c r="A1028" t="str">
        <f t="shared" si="191"/>
        <v>A3</v>
      </c>
      <c r="B1028" s="2" t="s">
        <v>656</v>
      </c>
      <c r="C1028">
        <f t="shared" si="192"/>
        <v>540.86</v>
      </c>
      <c r="D1028" t="str">
        <f t="shared" si="199"/>
        <v>UFD</v>
      </c>
      <c r="E1028" s="169" t="str">
        <f>IF(OR(A1028="",B1028="",C1028=""),"eine der Spalten BAB, FR, km leer?",CONCATENATE(VLOOKUP(VALUE(I1028),[1]Grundlage!$A$1:$B$14,2,0),IF(LEFT(A1028,1)="A",IF(VALUE(MID(A1028,2,10))&lt;10,"A00"&amp;VALUE(MID(A1028,2,10)),IF(VALUE(MID(A1028,2,10))&lt;100,"A0"&amp;VALUE(MID(A1028,2,10)),IF(VALUE(MID(A1028,2,10))&lt;1000,"A"&amp;VALUE(MID(A1028,2,10))))),IF(LEFT(A1028,1)="B",IF(VALUE(MID(A1028,2,10))&lt;10,"B00"&amp;VALUE(MID(A1028,2,10)),IF(VALUE(MID(A1028,2,10))&lt;100,"B0"&amp;VALUE(MID(A1028,2,10)),IF(VALUE(MID(A1028,2,10))&lt;1000,"B"&amp;VALUE(MID(A1028,2,10))))),A1028)),"_",IF(NOT(OR(C1028=1000,C1028&gt;1000)),MID(TEXT((C1028+1000)*1000,0),2,6),"keine Meter in Spalte km!!!"),IF(VALUE(I1028)=1,CONCATENATE("_",VLOOKUP(IF(V1028&gt;0,V1028,J1028),[1]Grundlage!$A$20:$B$181,2,0)),CONCATENATE("_",B1028))))</f>
        <v>UQ_A003_540860_N</v>
      </c>
      <c r="F1028" s="2" t="s">
        <v>686</v>
      </c>
      <c r="G1028" s="167">
        <f t="shared" si="200"/>
        <v>1199</v>
      </c>
      <c r="H1028">
        <f t="shared" si="201"/>
        <v>43</v>
      </c>
      <c r="I1028" s="2">
        <f t="shared" si="193"/>
        <v>3</v>
      </c>
      <c r="J1028" s="2">
        <f t="shared" si="194"/>
        <v>10</v>
      </c>
      <c r="K1028" s="13">
        <v>210</v>
      </c>
      <c r="L1028" s="2">
        <f t="shared" si="195"/>
        <v>6</v>
      </c>
      <c r="M1028" s="2">
        <f t="shared" si="196"/>
        <v>1</v>
      </c>
      <c r="N1028" s="2">
        <f t="shared" si="197"/>
        <v>12</v>
      </c>
      <c r="P1028" s="168">
        <v>70</v>
      </c>
      <c r="AT1028" s="19">
        <v>3</v>
      </c>
      <c r="AU1028" s="14">
        <v>10</v>
      </c>
      <c r="AV1028" s="14" t="s">
        <v>95</v>
      </c>
      <c r="AW1028" s="13"/>
      <c r="AX1028" s="13"/>
      <c r="AY1028" s="19">
        <v>1</v>
      </c>
      <c r="AZ1028" s="14">
        <v>12</v>
      </c>
      <c r="BA1028" s="135" t="s">
        <v>79</v>
      </c>
      <c r="BB1028" s="13" t="s">
        <v>429</v>
      </c>
      <c r="BF1028" s="19" t="s">
        <v>489</v>
      </c>
    </row>
    <row r="1029" spans="1:58" ht="14.25" x14ac:dyDescent="0.2">
      <c r="A1029" t="str">
        <f t="shared" si="191"/>
        <v>A3</v>
      </c>
      <c r="B1029" s="2" t="s">
        <v>656</v>
      </c>
      <c r="C1029">
        <f t="shared" si="192"/>
        <v>540.86</v>
      </c>
      <c r="D1029" t="str">
        <f t="shared" si="199"/>
        <v>UFD</v>
      </c>
      <c r="E1029" s="169" t="str">
        <f>IF(OR(A1029="",B1029="",C1029=""),"eine der Spalten BAB, FR, km leer?",CONCATENATE(VLOOKUP(VALUE(I1029),[1]Grundlage!$A$1:$B$14,2,0),IF(LEFT(A1029,1)="A",IF(VALUE(MID(A1029,2,10))&lt;10,"A00"&amp;VALUE(MID(A1029,2,10)),IF(VALUE(MID(A1029,2,10))&lt;100,"A0"&amp;VALUE(MID(A1029,2,10)),IF(VALUE(MID(A1029,2,10))&lt;1000,"A"&amp;VALUE(MID(A1029,2,10))))),IF(LEFT(A1029,1)="B",IF(VALUE(MID(A1029,2,10))&lt;10,"B00"&amp;VALUE(MID(A1029,2,10)),IF(VALUE(MID(A1029,2,10))&lt;100,"B0"&amp;VALUE(MID(A1029,2,10)),IF(VALUE(MID(A1029,2,10))&lt;1000,"B"&amp;VALUE(MID(A1029,2,10))))),A1029)),"_",IF(NOT(OR(C1029=1000,C1029&gt;1000)),MID(TEXT((C1029+1000)*1000,0),2,6),"keine Meter in Spalte km!!!"),IF(VALUE(I1029)=1,CONCATENATE("_",VLOOKUP(IF(V1029&gt;0,V1029,J1029),[1]Grundlage!$A$20:$B$181,2,0)),CONCATENATE("_",B1029))))</f>
        <v>UQ_A003_540860_N</v>
      </c>
      <c r="F1029" s="2" t="s">
        <v>687</v>
      </c>
      <c r="G1029" s="167">
        <f t="shared" si="200"/>
        <v>1199</v>
      </c>
      <c r="H1029">
        <f t="shared" si="201"/>
        <v>43</v>
      </c>
      <c r="I1029" s="2">
        <f t="shared" si="193"/>
        <v>3</v>
      </c>
      <c r="J1029" s="2">
        <f t="shared" si="194"/>
        <v>16</v>
      </c>
      <c r="K1029" s="13">
        <v>210</v>
      </c>
      <c r="L1029" s="2">
        <f t="shared" si="195"/>
        <v>6</v>
      </c>
      <c r="M1029" s="2">
        <f t="shared" si="196"/>
        <v>1</v>
      </c>
      <c r="N1029" s="2">
        <f t="shared" si="197"/>
        <v>13</v>
      </c>
      <c r="P1029" s="168">
        <v>65</v>
      </c>
      <c r="AT1029" s="19">
        <v>3</v>
      </c>
      <c r="AU1029" s="14">
        <v>16</v>
      </c>
      <c r="AV1029" s="14">
        <v>10</v>
      </c>
      <c r="AW1029" s="13"/>
      <c r="AX1029" s="13"/>
      <c r="AY1029" s="19">
        <v>1</v>
      </c>
      <c r="AZ1029" s="14">
        <v>13</v>
      </c>
      <c r="BA1029" s="135" t="s">
        <v>80</v>
      </c>
      <c r="BB1029" s="13" t="s">
        <v>430</v>
      </c>
      <c r="BF1029" s="19" t="s">
        <v>492</v>
      </c>
    </row>
    <row r="1030" spans="1:58" ht="14.25" x14ac:dyDescent="0.2">
      <c r="A1030" t="str">
        <f t="shared" si="191"/>
        <v>A3</v>
      </c>
      <c r="B1030" s="2" t="s">
        <v>656</v>
      </c>
      <c r="C1030">
        <f t="shared" si="192"/>
        <v>540.86</v>
      </c>
      <c r="D1030" t="str">
        <f t="shared" si="199"/>
        <v>UFD</v>
      </c>
      <c r="E1030" s="169" t="str">
        <f>IF(OR(A1030="",B1030="",C1030=""),"eine der Spalten BAB, FR, km leer?",CONCATENATE(VLOOKUP(VALUE(I1030),[1]Grundlage!$A$1:$B$14,2,0),IF(LEFT(A1030,1)="A",IF(VALUE(MID(A1030,2,10))&lt;10,"A00"&amp;VALUE(MID(A1030,2,10)),IF(VALUE(MID(A1030,2,10))&lt;100,"A0"&amp;VALUE(MID(A1030,2,10)),IF(VALUE(MID(A1030,2,10))&lt;1000,"A"&amp;VALUE(MID(A1030,2,10))))),IF(LEFT(A1030,1)="B",IF(VALUE(MID(A1030,2,10))&lt;10,"B00"&amp;VALUE(MID(A1030,2,10)),IF(VALUE(MID(A1030,2,10))&lt;100,"B0"&amp;VALUE(MID(A1030,2,10)),IF(VALUE(MID(A1030,2,10))&lt;1000,"B"&amp;VALUE(MID(A1030,2,10))))),A1030)),"_",IF(NOT(OR(C1030=1000,C1030&gt;1000)),MID(TEXT((C1030+1000)*1000,0),2,6),"keine Meter in Spalte km!!!"),IF(VALUE(I1030)=1,CONCATENATE("_",VLOOKUP(IF(V1030&gt;0,V1030,J1030),[1]Grundlage!$A$20:$B$181,2,0)),CONCATENATE("_",B1030))))</f>
        <v>UQ_A003_540860_N</v>
      </c>
      <c r="F1030" s="2" t="s">
        <v>688</v>
      </c>
      <c r="G1030" s="167">
        <f t="shared" si="200"/>
        <v>1199</v>
      </c>
      <c r="H1030">
        <f t="shared" si="201"/>
        <v>43</v>
      </c>
      <c r="I1030" s="2">
        <f t="shared" si="193"/>
        <v>3</v>
      </c>
      <c r="J1030" s="2">
        <f t="shared" si="194"/>
        <v>20</v>
      </c>
      <c r="K1030" s="13">
        <v>210</v>
      </c>
      <c r="L1030" s="2">
        <f t="shared" si="195"/>
        <v>6</v>
      </c>
      <c r="M1030" s="2">
        <f t="shared" si="196"/>
        <v>1</v>
      </c>
      <c r="N1030" s="2">
        <f t="shared" si="197"/>
        <v>14</v>
      </c>
      <c r="P1030" s="168">
        <v>49</v>
      </c>
      <c r="AT1030" s="19">
        <v>3</v>
      </c>
      <c r="AU1030" s="14">
        <v>20</v>
      </c>
      <c r="AV1030" s="14">
        <v>14</v>
      </c>
      <c r="AW1030" s="13"/>
      <c r="AX1030" s="13"/>
      <c r="AY1030" s="19">
        <v>1</v>
      </c>
      <c r="AZ1030" s="14">
        <v>14</v>
      </c>
      <c r="BA1030" s="135" t="s">
        <v>343</v>
      </c>
      <c r="BB1030" s="13" t="s">
        <v>432</v>
      </c>
      <c r="BF1030" s="19" t="s">
        <v>490</v>
      </c>
    </row>
    <row r="1031" spans="1:58" ht="14.25" x14ac:dyDescent="0.2">
      <c r="A1031" t="str">
        <f t="shared" si="191"/>
        <v>A3</v>
      </c>
      <c r="B1031" s="2" t="s">
        <v>656</v>
      </c>
      <c r="C1031">
        <f t="shared" si="192"/>
        <v>540.86</v>
      </c>
      <c r="D1031" t="str">
        <f t="shared" si="199"/>
        <v>UFD</v>
      </c>
      <c r="E1031" s="169" t="str">
        <f>IF(OR(A1031="",B1031="",C1031=""),"eine der Spalten BAB, FR, km leer?",CONCATENATE(VLOOKUP(VALUE(I1031),[1]Grundlage!$A$1:$B$14,2,0),IF(LEFT(A1031,1)="A",IF(VALUE(MID(A1031,2,10))&lt;10,"A00"&amp;VALUE(MID(A1031,2,10)),IF(VALUE(MID(A1031,2,10))&lt;100,"A0"&amp;VALUE(MID(A1031,2,10)),IF(VALUE(MID(A1031,2,10))&lt;1000,"A"&amp;VALUE(MID(A1031,2,10))))),IF(LEFT(A1031,1)="B",IF(VALUE(MID(A1031,2,10))&lt;10,"B00"&amp;VALUE(MID(A1031,2,10)),IF(VALUE(MID(A1031,2,10))&lt;100,"B0"&amp;VALUE(MID(A1031,2,10)),IF(VALUE(MID(A1031,2,10))&lt;1000,"B"&amp;VALUE(MID(A1031,2,10))))),A1031)),"_",IF(NOT(OR(C1031=1000,C1031&gt;1000)),MID(TEXT((C1031+1000)*1000,0),2,6),"keine Meter in Spalte km!!!"),IF(VALUE(I1031)=1,CONCATENATE("_",VLOOKUP(IF(V1031&gt;0,V1031,J1031),[1]Grundlage!$A$20:$B$181,2,0)),CONCATENATE("_",B1031))))</f>
        <v>UQ_A003_540860_N</v>
      </c>
      <c r="F1031" s="2" t="s">
        <v>698</v>
      </c>
      <c r="G1031" s="167">
        <f t="shared" si="200"/>
        <v>1199</v>
      </c>
      <c r="H1031">
        <f t="shared" si="201"/>
        <v>43</v>
      </c>
      <c r="I1031" s="2">
        <f t="shared" si="193"/>
        <v>3</v>
      </c>
      <c r="J1031" s="2">
        <f t="shared" si="194"/>
        <v>102</v>
      </c>
      <c r="K1031" s="13">
        <v>210</v>
      </c>
      <c r="L1031" s="2">
        <f t="shared" si="195"/>
        <v>6</v>
      </c>
      <c r="M1031" s="2">
        <f t="shared" si="196"/>
        <v>1</v>
      </c>
      <c r="N1031" s="2">
        <f t="shared" si="197"/>
        <v>15</v>
      </c>
      <c r="P1031" s="168">
        <v>72</v>
      </c>
      <c r="AT1031" s="19">
        <v>3</v>
      </c>
      <c r="AU1031" s="14">
        <v>102</v>
      </c>
      <c r="AV1031" s="14">
        <v>66</v>
      </c>
      <c r="AW1031" s="13"/>
      <c r="AX1031" s="13"/>
      <c r="AY1031" s="19">
        <v>1</v>
      </c>
      <c r="AZ1031" s="14">
        <v>15</v>
      </c>
      <c r="BA1031" s="135" t="s">
        <v>82</v>
      </c>
      <c r="BB1031" s="13" t="s">
        <v>431</v>
      </c>
      <c r="BF1031" s="19" t="s">
        <v>491</v>
      </c>
    </row>
    <row r="1032" spans="1:58" ht="14.25" x14ac:dyDescent="0.2">
      <c r="A1032" t="str">
        <f t="shared" si="191"/>
        <v>A3</v>
      </c>
      <c r="C1032">
        <f t="shared" si="192"/>
        <v>540.86</v>
      </c>
      <c r="D1032" t="str">
        <f t="shared" si="199"/>
        <v/>
      </c>
      <c r="E1032" s="169" t="str">
        <f>IF(OR(A1032="",B1032="",C1032=""),"",CONCATENATE(VLOOKUP(VALUE(I1032),[1]Grundlage!$A$1:$B$14,2,0),IF(LEFT(A1032,1)="A",IF(VALUE(MID(A1032,2,10))&lt;10,"A00"&amp;VALUE(MID(A1032,2,10)),IF(VALUE(MID(A1032,2,10))&lt;100,"A0"&amp;VALUE(MID(A1032,2,10)),IF(VALUE(MID(A1032,2,10))&lt;1000,"A"&amp;VALUE(MID(A1032,2,10))))),IF(LEFT(A1032,1)="B",IF(VALUE(MID(A1032,2,10))&lt;10,"B00"&amp;VALUE(MID(A1032,2,10)),IF(VALUE(MID(A1032,2,10))&lt;100,"B0"&amp;VALUE(MID(A1032,2,10)),IF(VALUE(MID(A1032,2,10))&lt;1000,"B"&amp;VALUE(MID(A1032,2,10))))),A1032)),"_",IF(NOT(OR(C1032=1000,C1032&gt;1000)),MID(TEXT((C1032+1000)*1000,0),2,6),"keine Meter in Spalte km!!!"),IF(VALUE(I1032)=1,CONCATENATE("_",VLOOKUP(IF(V1032&gt;0,V1032,J1032),[1]Grundlage!$A$20:$B$181,2,0)),CONCATENATE("_",B1032))))</f>
        <v/>
      </c>
      <c r="F1032" s="2" t="s">
        <v>669</v>
      </c>
      <c r="G1032" s="167">
        <f t="shared" si="200"/>
        <v>1199</v>
      </c>
      <c r="H1032">
        <f t="shared" si="201"/>
        <v>43</v>
      </c>
      <c r="I1032" s="2">
        <f t="shared" si="193"/>
        <v>0</v>
      </c>
      <c r="J1032" s="2">
        <f t="shared" si="194"/>
        <v>0</v>
      </c>
      <c r="K1032" s="13">
        <v>210</v>
      </c>
      <c r="L1032" s="2">
        <f t="shared" si="195"/>
        <v>6</v>
      </c>
      <c r="M1032" s="2" t="str">
        <f t="shared" si="196"/>
        <v/>
      </c>
      <c r="N1032" s="2" t="str">
        <f t="shared" si="197"/>
        <v/>
      </c>
      <c r="P1032" s="168" t="str">
        <f t="shared" si="198"/>
        <v/>
      </c>
    </row>
    <row r="1033" spans="1:58" ht="14.25" x14ac:dyDescent="0.2">
      <c r="A1033" t="str">
        <f t="shared" si="191"/>
        <v>A3</v>
      </c>
      <c r="B1033" s="2" t="s">
        <v>656</v>
      </c>
      <c r="C1033">
        <f t="shared" si="192"/>
        <v>611.79</v>
      </c>
      <c r="D1033" t="str">
        <f t="shared" si="199"/>
        <v>SS</v>
      </c>
      <c r="E1033" s="169" t="str">
        <f>IF(OR(A1033="",B1033="",C1033=""),"eine der Spalten BAB, FR, km leer?",CONCATENATE(VLOOKUP(VALUE(I1033),[1]Grundlage!$A$1:$B$14,2,0),IF(LEFT(A1033,1)="A",IF(VALUE(MID(A1033,2,10))&lt;10,"A00"&amp;VALUE(MID(A1033,2,10)),IF(VALUE(MID(A1033,2,10))&lt;100,"A0"&amp;VALUE(MID(A1033,2,10)),IF(VALUE(MID(A1033,2,10))&lt;1000,"A"&amp;VALUE(MID(A1033,2,10))))),IF(LEFT(A1033,1)="B",IF(VALUE(MID(A1033,2,10))&lt;10,"B00"&amp;VALUE(MID(A1033,2,10)),IF(VALUE(MID(A1033,2,10))&lt;100,"B0"&amp;VALUE(MID(A1033,2,10)),IF(VALUE(MID(A1033,2,10))&lt;1000,"B"&amp;VALUE(MID(A1033,2,10))))),A1033)),"_",IF(NOT(OR(C1033=1000,C1033&gt;1000)),MID(TEXT((C1033+1000)*1000,0),2,6),"keine Meter in Spalte km!!!"),IF(VALUE(I1033)=1,CONCATENATE("_",VLOOKUP(IF(V1033&gt;0,V1033,J1033),[1]Grundlage!$A$20:$B$181,2,0)),CONCATENATE("_",B1033))))</f>
        <v>SSt_A003_611790_N</v>
      </c>
      <c r="F1033" s="2" t="s">
        <v>294</v>
      </c>
      <c r="G1033" s="167">
        <f t="shared" si="200"/>
        <v>1241</v>
      </c>
      <c r="H1033">
        <f t="shared" si="201"/>
        <v>106</v>
      </c>
      <c r="I1033" s="2">
        <f t="shared" si="193"/>
        <v>254</v>
      </c>
      <c r="J1033" s="2">
        <f t="shared" si="194"/>
        <v>0</v>
      </c>
      <c r="K1033" s="13">
        <v>210</v>
      </c>
      <c r="L1033" s="2">
        <f t="shared" si="195"/>
        <v>10</v>
      </c>
      <c r="M1033" s="2" t="str">
        <f t="shared" si="196"/>
        <v/>
      </c>
      <c r="N1033" s="2" t="str">
        <f t="shared" si="197"/>
        <v/>
      </c>
      <c r="P1033" s="168" t="str">
        <f t="shared" si="198"/>
        <v/>
      </c>
      <c r="AI1033" s="35">
        <v>611.79</v>
      </c>
      <c r="AJ1033" s="36" t="s">
        <v>19</v>
      </c>
      <c r="AK1033" s="36" t="s">
        <v>62</v>
      </c>
      <c r="AL1033" s="36"/>
      <c r="AM1033" s="36"/>
      <c r="AN1033" s="36"/>
      <c r="AO1033" s="36"/>
      <c r="AP1033" s="36">
        <v>317802</v>
      </c>
      <c r="AQ1033" s="70" t="s">
        <v>234</v>
      </c>
      <c r="AR1033" s="67" t="s">
        <v>262</v>
      </c>
      <c r="AS1033" s="67" t="s">
        <v>261</v>
      </c>
      <c r="AT1033" s="36"/>
      <c r="AU1033" s="36"/>
      <c r="AV1033" s="36"/>
      <c r="AW1033" s="36"/>
      <c r="AX1033" s="36">
        <v>10</v>
      </c>
      <c r="AY1033" s="36"/>
      <c r="AZ1033" s="36"/>
      <c r="BA1033" s="36"/>
      <c r="BB1033" s="72" t="s">
        <v>294</v>
      </c>
      <c r="BC1033" s="38"/>
      <c r="BD1033" s="99" t="s">
        <v>163</v>
      </c>
      <c r="BE1033" s="39" t="s">
        <v>64</v>
      </c>
      <c r="BF1033" s="19" t="s">
        <v>599</v>
      </c>
    </row>
    <row r="1034" spans="1:58" ht="14.25" x14ac:dyDescent="0.2">
      <c r="A1034" t="str">
        <f t="shared" ref="A1034:A1097" si="202">IF(ISBLANK(AK1034),A1033,AK1034)</f>
        <v>A3</v>
      </c>
      <c r="B1034" s="2" t="s">
        <v>656</v>
      </c>
      <c r="C1034">
        <f t="shared" ref="C1034:C1097" si="203">IF(ISBLANK(AI1034),C1033,AI1034)</f>
        <v>611.79</v>
      </c>
      <c r="D1034" t="str">
        <f t="shared" si="199"/>
        <v>UFD</v>
      </c>
      <c r="E1034" s="169" t="str">
        <f>IF(OR(A1034="",B1034="",C1034=""),"eine der Spalten BAB, FR, km leer?",CONCATENATE(VLOOKUP(VALUE(I1034),[1]Grundlage!$A$1:$B$14,2,0),IF(LEFT(A1034,1)="A",IF(VALUE(MID(A1034,2,10))&lt;10,"A00"&amp;VALUE(MID(A1034,2,10)),IF(VALUE(MID(A1034,2,10))&lt;100,"A0"&amp;VALUE(MID(A1034,2,10)),IF(VALUE(MID(A1034,2,10))&lt;1000,"A"&amp;VALUE(MID(A1034,2,10))))),IF(LEFT(A1034,1)="B",IF(VALUE(MID(A1034,2,10))&lt;10,"B00"&amp;VALUE(MID(A1034,2,10)),IF(VALUE(MID(A1034,2,10))&lt;100,"B0"&amp;VALUE(MID(A1034,2,10)),IF(VALUE(MID(A1034,2,10))&lt;1000,"B"&amp;VALUE(MID(A1034,2,10))))),A1034)),"_",IF(NOT(OR(C1034=1000,C1034&gt;1000)),MID(TEXT((C1034+1000)*1000,0),2,6),"keine Meter in Spalte km!!!"),IF(VALUE(I1034)=1,CONCATENATE("_",VLOOKUP(IF(V1034&gt;0,V1034,J1034),[1]Grundlage!$A$20:$B$181,2,0)),CONCATENATE("_",B1034))))</f>
        <v>UQ_A003_611790_N</v>
      </c>
      <c r="F1034" s="2" t="s">
        <v>269</v>
      </c>
      <c r="G1034" s="167">
        <f t="shared" si="200"/>
        <v>1241</v>
      </c>
      <c r="H1034">
        <f t="shared" si="201"/>
        <v>106</v>
      </c>
      <c r="I1034" s="2">
        <f t="shared" ref="I1034:I1097" si="204">IF(D1034="SS",254,AT1034)</f>
        <v>3</v>
      </c>
      <c r="J1034" s="2">
        <f t="shared" ref="J1034:J1097" si="205">IF(D1034="SS",0,AU1034)</f>
        <v>6</v>
      </c>
      <c r="K1034" s="13">
        <v>210</v>
      </c>
      <c r="L1034" s="2">
        <f t="shared" ref="L1034:L1097" si="206">IF(ISBLANK(AX1034),L1033,AX1034)</f>
        <v>10</v>
      </c>
      <c r="M1034" s="2">
        <f t="shared" ref="M1034:M1097" si="207">IF(ISBLANK(AY1034),"",AY1034)</f>
        <v>1</v>
      </c>
      <c r="N1034" s="2">
        <f t="shared" ref="N1034:N1097" si="208">IF(ISBLANK(AZ1034),"",AZ1034)</f>
        <v>1</v>
      </c>
      <c r="P1034" s="168">
        <f t="shared" si="198"/>
        <v>71</v>
      </c>
      <c r="AT1034" s="19">
        <v>3</v>
      </c>
      <c r="AU1034" s="14">
        <v>6</v>
      </c>
      <c r="AV1034" s="27">
        <v>6</v>
      </c>
      <c r="AW1034" s="19"/>
      <c r="AX1034" s="19"/>
      <c r="AY1034" s="19">
        <v>1</v>
      </c>
      <c r="AZ1034" s="14">
        <v>1</v>
      </c>
      <c r="BA1034" s="100">
        <v>1</v>
      </c>
      <c r="BB1034" s="13" t="s">
        <v>269</v>
      </c>
      <c r="BF1034" s="19" t="s">
        <v>440</v>
      </c>
    </row>
    <row r="1035" spans="1:58" ht="14.25" x14ac:dyDescent="0.2">
      <c r="A1035" t="str">
        <f t="shared" si="202"/>
        <v>A3</v>
      </c>
      <c r="B1035" s="2" t="s">
        <v>656</v>
      </c>
      <c r="C1035">
        <f t="shared" si="203"/>
        <v>611.79</v>
      </c>
      <c r="D1035" t="str">
        <f t="shared" si="199"/>
        <v>UFD</v>
      </c>
      <c r="E1035" s="169" t="str">
        <f>IF(OR(A1035="",B1035="",C1035=""),"eine der Spalten BAB, FR, km leer?",CONCATENATE(VLOOKUP(VALUE(I1035),[1]Grundlage!$A$1:$B$14,2,0),IF(LEFT(A1035,1)="A",IF(VALUE(MID(A1035,2,10))&lt;10,"A00"&amp;VALUE(MID(A1035,2,10)),IF(VALUE(MID(A1035,2,10))&lt;100,"A0"&amp;VALUE(MID(A1035,2,10)),IF(VALUE(MID(A1035,2,10))&lt;1000,"A"&amp;VALUE(MID(A1035,2,10))))),IF(LEFT(A1035,1)="B",IF(VALUE(MID(A1035,2,10))&lt;10,"B00"&amp;VALUE(MID(A1035,2,10)),IF(VALUE(MID(A1035,2,10))&lt;100,"B0"&amp;VALUE(MID(A1035,2,10)),IF(VALUE(MID(A1035,2,10))&lt;1000,"B"&amp;VALUE(MID(A1035,2,10))))),A1035)),"_",IF(NOT(OR(C1035=1000,C1035&gt;1000)),MID(TEXT((C1035+1000)*1000,0),2,6),"keine Meter in Spalte km!!!"),IF(VALUE(I1035)=1,CONCATENATE("_",VLOOKUP(IF(V1035&gt;0,V1035,J1035),[1]Grundlage!$A$20:$B$181,2,0)),CONCATENATE("_",B1035))))</f>
        <v>UQ_A003_611790_N</v>
      </c>
      <c r="F1035" s="2" t="s">
        <v>270</v>
      </c>
      <c r="G1035" s="167">
        <f t="shared" si="200"/>
        <v>1241</v>
      </c>
      <c r="H1035">
        <f t="shared" si="201"/>
        <v>106</v>
      </c>
      <c r="I1035" s="2">
        <f t="shared" si="204"/>
        <v>3</v>
      </c>
      <c r="J1035" s="2">
        <f t="shared" si="205"/>
        <v>11</v>
      </c>
      <c r="K1035" s="13">
        <v>210</v>
      </c>
      <c r="L1035" s="2">
        <f t="shared" si="206"/>
        <v>10</v>
      </c>
      <c r="M1035" s="2">
        <f t="shared" si="207"/>
        <v>1</v>
      </c>
      <c r="N1035" s="2">
        <f t="shared" si="208"/>
        <v>2</v>
      </c>
      <c r="P1035" s="168">
        <f t="shared" ref="P1035:P1098" si="209">IF(AT1035&lt;&gt;3,"",IF(BB1035="Helligkeitssensor",61,IF(BB1035="Helligkeit",61,IF(BB1036="Lichtsensor",61,IF(BB1035="Lufttemperatur",48,IF(BB1035="Niederschlagsart",71,IF(BB1035="Niederschlagsintensität",53,IF(BB1035="relative Luftfeuchte RLF",55,IF(BB1035="Sichtweite",60,IF(BB1035="Sichtweite 1",60,IF(BB1035="Zustand der Fahrbahnoberfläche FBZ",79,IF(BB1035="Wasserfilmdicke WFD",72,IF(BB1035="Clusterkanal FG3","",IF(BB1035="Gefriertemperatur GT",65,IF(BB1035="Fahrbahnoberflächentemperatur FBT",49,VALUE(RIGHT(BB1035,2)))))))))))))))))</f>
        <v>70</v>
      </c>
      <c r="AT1035" s="19">
        <v>3</v>
      </c>
      <c r="AU1035" s="14">
        <v>11</v>
      </c>
      <c r="AV1035" s="14" t="s">
        <v>78</v>
      </c>
      <c r="AW1035" s="13"/>
      <c r="AX1035" s="13"/>
      <c r="AY1035" s="19">
        <v>1</v>
      </c>
      <c r="AZ1035" s="14">
        <v>2</v>
      </c>
      <c r="BA1035" s="14">
        <v>2</v>
      </c>
      <c r="BB1035" s="13" t="s">
        <v>270</v>
      </c>
      <c r="BF1035" s="19" t="s">
        <v>548</v>
      </c>
    </row>
    <row r="1036" spans="1:58" ht="14.25" x14ac:dyDescent="0.2">
      <c r="A1036" t="str">
        <f t="shared" si="202"/>
        <v>A3</v>
      </c>
      <c r="B1036" s="2" t="s">
        <v>656</v>
      </c>
      <c r="C1036">
        <f t="shared" si="203"/>
        <v>611.79</v>
      </c>
      <c r="D1036" t="str">
        <f t="shared" si="199"/>
        <v>UFD</v>
      </c>
      <c r="E1036" s="169" t="str">
        <f>IF(OR(A1036="",B1036="",C1036=""),"eine der Spalten BAB, FR, km leer?",CONCATENATE(VLOOKUP(VALUE(I1036),[1]Grundlage!$A$1:$B$14,2,0),IF(LEFT(A1036,1)="A",IF(VALUE(MID(A1036,2,10))&lt;10,"A00"&amp;VALUE(MID(A1036,2,10)),IF(VALUE(MID(A1036,2,10))&lt;100,"A0"&amp;VALUE(MID(A1036,2,10)),IF(VALUE(MID(A1036,2,10))&lt;1000,"A"&amp;VALUE(MID(A1036,2,10))))),IF(LEFT(A1036,1)="B",IF(VALUE(MID(A1036,2,10))&lt;10,"B00"&amp;VALUE(MID(A1036,2,10)),IF(VALUE(MID(A1036,2,10))&lt;100,"B0"&amp;VALUE(MID(A1036,2,10)),IF(VALUE(MID(A1036,2,10))&lt;1000,"B"&amp;VALUE(MID(A1036,2,10))))),A1036)),"_",IF(NOT(OR(C1036=1000,C1036&gt;1000)),MID(TEXT((C1036+1000)*1000,0),2,6),"keine Meter in Spalte km!!!"),IF(VALUE(I1036)=1,CONCATENATE("_",VLOOKUP(IF(V1036&gt;0,V1036,J1036),[1]Grundlage!$A$20:$B$181,2,0)),CONCATENATE("_",B1036))))</f>
        <v>UQ_A003_611790_N</v>
      </c>
      <c r="F1036" s="2" t="s">
        <v>25</v>
      </c>
      <c r="G1036" s="167">
        <f t="shared" si="200"/>
        <v>1241</v>
      </c>
      <c r="H1036">
        <f t="shared" si="201"/>
        <v>106</v>
      </c>
      <c r="I1036" s="2">
        <f t="shared" si="204"/>
        <v>3</v>
      </c>
      <c r="J1036" s="2">
        <f t="shared" si="205"/>
        <v>12</v>
      </c>
      <c r="K1036" s="13">
        <v>210</v>
      </c>
      <c r="L1036" s="2">
        <f t="shared" si="206"/>
        <v>10</v>
      </c>
      <c r="M1036" s="2">
        <f t="shared" si="207"/>
        <v>1</v>
      </c>
      <c r="N1036" s="2">
        <f t="shared" si="208"/>
        <v>3</v>
      </c>
      <c r="P1036" s="168">
        <f t="shared" si="209"/>
        <v>48</v>
      </c>
      <c r="AT1036" s="19">
        <v>3</v>
      </c>
      <c r="AU1036" s="14">
        <v>12</v>
      </c>
      <c r="AV1036" s="14" t="s">
        <v>79</v>
      </c>
      <c r="AW1036" s="13"/>
      <c r="AX1036" s="13"/>
      <c r="AY1036" s="19">
        <v>1</v>
      </c>
      <c r="AZ1036" s="14">
        <v>3</v>
      </c>
      <c r="BA1036" s="14">
        <v>3</v>
      </c>
      <c r="BB1036" s="13" t="s">
        <v>25</v>
      </c>
      <c r="BF1036" s="19" t="s">
        <v>441</v>
      </c>
    </row>
    <row r="1037" spans="1:58" ht="14.25" x14ac:dyDescent="0.2">
      <c r="A1037" t="str">
        <f t="shared" si="202"/>
        <v>A3</v>
      </c>
      <c r="B1037" s="2" t="s">
        <v>656</v>
      </c>
      <c r="C1037">
        <f t="shared" si="203"/>
        <v>611.79</v>
      </c>
      <c r="D1037" t="str">
        <f t="shared" si="199"/>
        <v>UFD</v>
      </c>
      <c r="E1037" s="169" t="str">
        <f>IF(OR(A1037="",B1037="",C1037=""),"eine der Spalten BAB, FR, km leer?",CONCATENATE(VLOOKUP(VALUE(I1037),[1]Grundlage!$A$1:$B$14,2,0),IF(LEFT(A1037,1)="A",IF(VALUE(MID(A1037,2,10))&lt;10,"A00"&amp;VALUE(MID(A1037,2,10)),IF(VALUE(MID(A1037,2,10))&lt;100,"A0"&amp;VALUE(MID(A1037,2,10)),IF(VALUE(MID(A1037,2,10))&lt;1000,"A"&amp;VALUE(MID(A1037,2,10))))),IF(LEFT(A1037,1)="B",IF(VALUE(MID(A1037,2,10))&lt;10,"B00"&amp;VALUE(MID(A1037,2,10)),IF(VALUE(MID(A1037,2,10))&lt;100,"B0"&amp;VALUE(MID(A1037,2,10)),IF(VALUE(MID(A1037,2,10))&lt;1000,"B"&amp;VALUE(MID(A1037,2,10))))),A1037)),"_",IF(NOT(OR(C1037=1000,C1037&gt;1000)),MID(TEXT((C1037+1000)*1000,0),2,6),"keine Meter in Spalte km!!!"),IF(VALUE(I1037)=1,CONCATENATE("_",VLOOKUP(IF(V1037&gt;0,V1037,J1037),[1]Grundlage!$A$20:$B$181,2,0)),CONCATENATE("_",B1037))))</f>
        <v>UQ_A003_611790_N</v>
      </c>
      <c r="F1037" s="2" t="s">
        <v>26</v>
      </c>
      <c r="G1037" s="167">
        <f t="shared" si="200"/>
        <v>1241</v>
      </c>
      <c r="H1037">
        <f t="shared" si="201"/>
        <v>106</v>
      </c>
      <c r="I1037" s="2">
        <f t="shared" si="204"/>
        <v>3</v>
      </c>
      <c r="J1037" s="2">
        <f t="shared" si="205"/>
        <v>13</v>
      </c>
      <c r="K1037" s="13">
        <v>210</v>
      </c>
      <c r="L1037" s="2">
        <f t="shared" si="206"/>
        <v>10</v>
      </c>
      <c r="M1037" s="2">
        <f t="shared" si="207"/>
        <v>1</v>
      </c>
      <c r="N1037" s="2">
        <f t="shared" si="208"/>
        <v>4</v>
      </c>
      <c r="P1037" s="168">
        <f t="shared" si="209"/>
        <v>55</v>
      </c>
      <c r="AT1037" s="19">
        <v>3</v>
      </c>
      <c r="AU1037" s="14">
        <v>13</v>
      </c>
      <c r="AV1037" s="14" t="s">
        <v>80</v>
      </c>
      <c r="AW1037" s="13"/>
      <c r="AX1037" s="13"/>
      <c r="AY1037" s="19">
        <v>1</v>
      </c>
      <c r="AZ1037" s="14">
        <v>4</v>
      </c>
      <c r="BA1037" s="14">
        <v>4</v>
      </c>
      <c r="BB1037" s="13" t="s">
        <v>26</v>
      </c>
      <c r="BF1037" s="19" t="s">
        <v>442</v>
      </c>
    </row>
    <row r="1038" spans="1:58" ht="14.25" x14ac:dyDescent="0.2">
      <c r="A1038" t="str">
        <f t="shared" si="202"/>
        <v>A3</v>
      </c>
      <c r="B1038" s="2" t="s">
        <v>656</v>
      </c>
      <c r="C1038">
        <f t="shared" si="203"/>
        <v>611.79</v>
      </c>
      <c r="D1038" t="str">
        <f t="shared" si="199"/>
        <v>UFD</v>
      </c>
      <c r="E1038" s="169" t="str">
        <f>IF(OR(A1038="",B1038="",C1038=""),"eine der Spalten BAB, FR, km leer?",CONCATENATE(VLOOKUP(VALUE(I1038),[1]Grundlage!$A$1:$B$14,2,0),IF(LEFT(A1038,1)="A",IF(VALUE(MID(A1038,2,10))&lt;10,"A00"&amp;VALUE(MID(A1038,2,10)),IF(VALUE(MID(A1038,2,10))&lt;100,"A0"&amp;VALUE(MID(A1038,2,10)),IF(VALUE(MID(A1038,2,10))&lt;1000,"A"&amp;VALUE(MID(A1038,2,10))))),IF(LEFT(A1038,1)="B",IF(VALUE(MID(A1038,2,10))&lt;10,"B00"&amp;VALUE(MID(A1038,2,10)),IF(VALUE(MID(A1038,2,10))&lt;100,"B0"&amp;VALUE(MID(A1038,2,10)),IF(VALUE(MID(A1038,2,10))&lt;1000,"B"&amp;VALUE(MID(A1038,2,10))))),A1038)),"_",IF(NOT(OR(C1038=1000,C1038&gt;1000)),MID(TEXT((C1038+1000)*1000,0),2,6),"keine Meter in Spalte km!!!"),IF(VALUE(I1038)=1,CONCATENATE("_",VLOOKUP(IF(V1038&gt;0,V1038,J1038),[1]Grundlage!$A$20:$B$181,2,0)),CONCATENATE("_",B1038))))</f>
        <v>UQ_A003_611790_N</v>
      </c>
      <c r="F1038" s="2" t="s">
        <v>27</v>
      </c>
      <c r="G1038" s="167">
        <f t="shared" si="200"/>
        <v>1241</v>
      </c>
      <c r="H1038">
        <f t="shared" si="201"/>
        <v>106</v>
      </c>
      <c r="I1038" s="2">
        <f t="shared" si="204"/>
        <v>3</v>
      </c>
      <c r="J1038" s="2">
        <f t="shared" si="205"/>
        <v>14</v>
      </c>
      <c r="K1038" s="13">
        <v>210</v>
      </c>
      <c r="L1038" s="2">
        <f t="shared" si="206"/>
        <v>10</v>
      </c>
      <c r="M1038" s="2">
        <f t="shared" si="207"/>
        <v>1</v>
      </c>
      <c r="N1038" s="2">
        <f t="shared" si="208"/>
        <v>5</v>
      </c>
      <c r="P1038" s="168">
        <f t="shared" si="209"/>
        <v>66</v>
      </c>
      <c r="AT1038" s="19">
        <v>3</v>
      </c>
      <c r="AU1038" s="14">
        <v>14</v>
      </c>
      <c r="AV1038" s="14" t="s">
        <v>81</v>
      </c>
      <c r="AW1038" s="13"/>
      <c r="AX1038" s="13"/>
      <c r="AY1038" s="19">
        <v>1</v>
      </c>
      <c r="AZ1038" s="14">
        <v>5</v>
      </c>
      <c r="BA1038" s="14">
        <v>5</v>
      </c>
      <c r="BB1038" s="13" t="s">
        <v>27</v>
      </c>
      <c r="BF1038" s="19" t="s">
        <v>601</v>
      </c>
    </row>
    <row r="1039" spans="1:58" ht="14.25" x14ac:dyDescent="0.2">
      <c r="A1039" t="str">
        <f t="shared" si="202"/>
        <v>A3</v>
      </c>
      <c r="B1039" s="2" t="s">
        <v>656</v>
      </c>
      <c r="C1039">
        <f t="shared" si="203"/>
        <v>611.79</v>
      </c>
      <c r="D1039" t="str">
        <f t="shared" si="199"/>
        <v>UFD</v>
      </c>
      <c r="E1039" s="169" t="str">
        <f>IF(OR(A1039="",B1039="",C1039=""),"eine der Spalten BAB, FR, km leer?",CONCATENATE(VLOOKUP(VALUE(I1039),[1]Grundlage!$A$1:$B$14,2,0),IF(LEFT(A1039,1)="A",IF(VALUE(MID(A1039,2,10))&lt;10,"A00"&amp;VALUE(MID(A1039,2,10)),IF(VALUE(MID(A1039,2,10))&lt;100,"A0"&amp;VALUE(MID(A1039,2,10)),IF(VALUE(MID(A1039,2,10))&lt;1000,"A"&amp;VALUE(MID(A1039,2,10))))),IF(LEFT(A1039,1)="B",IF(VALUE(MID(A1039,2,10))&lt;10,"B00"&amp;VALUE(MID(A1039,2,10)),IF(VALUE(MID(A1039,2,10))&lt;100,"B0"&amp;VALUE(MID(A1039,2,10)),IF(VALUE(MID(A1039,2,10))&lt;1000,"B"&amp;VALUE(MID(A1039,2,10))))),A1039)),"_",IF(NOT(OR(C1039=1000,C1039&gt;1000)),MID(TEXT((C1039+1000)*1000,0),2,6),"keine Meter in Spalte km!!!"),IF(VALUE(I1039)=1,CONCATENATE("_",VLOOKUP(IF(V1039&gt;0,V1039,J1039),[1]Grundlage!$A$20:$B$181,2,0)),CONCATENATE("_",B1039))))</f>
        <v>UQ_A003_611790_N</v>
      </c>
      <c r="F1039" s="2" t="s">
        <v>28</v>
      </c>
      <c r="G1039" s="167">
        <f t="shared" si="200"/>
        <v>1241</v>
      </c>
      <c r="H1039">
        <f t="shared" si="201"/>
        <v>106</v>
      </c>
      <c r="I1039" s="2">
        <f t="shared" si="204"/>
        <v>3</v>
      </c>
      <c r="J1039" s="2">
        <f t="shared" si="205"/>
        <v>15</v>
      </c>
      <c r="K1039" s="13">
        <v>210</v>
      </c>
      <c r="L1039" s="2">
        <f t="shared" si="206"/>
        <v>10</v>
      </c>
      <c r="M1039" s="2">
        <f t="shared" si="207"/>
        <v>1</v>
      </c>
      <c r="N1039" s="2">
        <f t="shared" si="208"/>
        <v>6</v>
      </c>
      <c r="P1039" s="168">
        <f t="shared" si="209"/>
        <v>65</v>
      </c>
      <c r="AT1039" s="19">
        <v>3</v>
      </c>
      <c r="AU1039" s="14">
        <v>15</v>
      </c>
      <c r="AV1039" s="14" t="s">
        <v>82</v>
      </c>
      <c r="AW1039" s="13"/>
      <c r="AX1039" s="13"/>
      <c r="AY1039" s="19">
        <v>1</v>
      </c>
      <c r="AZ1039" s="14">
        <v>6</v>
      </c>
      <c r="BA1039" s="14">
        <v>6</v>
      </c>
      <c r="BB1039" s="13" t="s">
        <v>28</v>
      </c>
      <c r="BF1039" s="19" t="s">
        <v>549</v>
      </c>
    </row>
    <row r="1040" spans="1:58" ht="14.25" x14ac:dyDescent="0.2">
      <c r="A1040" t="str">
        <f t="shared" si="202"/>
        <v>A3</v>
      </c>
      <c r="B1040" s="2" t="s">
        <v>656</v>
      </c>
      <c r="C1040">
        <f t="shared" si="203"/>
        <v>611.79</v>
      </c>
      <c r="D1040" t="str">
        <f t="shared" si="199"/>
        <v>UFD</v>
      </c>
      <c r="E1040" s="169" t="str">
        <f>IF(OR(A1040="",B1040="",C1040=""),"eine der Spalten BAB, FR, km leer?",CONCATENATE(VLOOKUP(VALUE(I1040),[1]Grundlage!$A$1:$B$14,2,0),IF(LEFT(A1040,1)="A",IF(VALUE(MID(A1040,2,10))&lt;10,"A00"&amp;VALUE(MID(A1040,2,10)),IF(VALUE(MID(A1040,2,10))&lt;100,"A0"&amp;VALUE(MID(A1040,2,10)),IF(VALUE(MID(A1040,2,10))&lt;1000,"A"&amp;VALUE(MID(A1040,2,10))))),IF(LEFT(A1040,1)="B",IF(VALUE(MID(A1040,2,10))&lt;10,"B00"&amp;VALUE(MID(A1040,2,10)),IF(VALUE(MID(A1040,2,10))&lt;100,"B0"&amp;VALUE(MID(A1040,2,10)),IF(VALUE(MID(A1040,2,10))&lt;1000,"B"&amp;VALUE(MID(A1040,2,10))))),A1040)),"_",IF(NOT(OR(C1040=1000,C1040&gt;1000)),MID(TEXT((C1040+1000)*1000,0),2,6),"keine Meter in Spalte km!!!"),IF(VALUE(I1040)=1,CONCATENATE("_",VLOOKUP(IF(V1040&gt;0,V1040,J1040),[1]Grundlage!$A$20:$B$181,2,0)),CONCATENATE("_",B1040))))</f>
        <v>UQ_A003_611790_N</v>
      </c>
      <c r="F1040" s="2" t="s">
        <v>29</v>
      </c>
      <c r="G1040" s="167">
        <f t="shared" si="200"/>
        <v>1241</v>
      </c>
      <c r="H1040">
        <f t="shared" si="201"/>
        <v>106</v>
      </c>
      <c r="I1040" s="2">
        <f t="shared" si="204"/>
        <v>3</v>
      </c>
      <c r="J1040" s="2">
        <f t="shared" si="205"/>
        <v>19</v>
      </c>
      <c r="K1040" s="13">
        <v>210</v>
      </c>
      <c r="L1040" s="2">
        <f t="shared" si="206"/>
        <v>10</v>
      </c>
      <c r="M1040" s="2">
        <f t="shared" si="207"/>
        <v>1</v>
      </c>
      <c r="N1040" s="2">
        <f t="shared" si="208"/>
        <v>7</v>
      </c>
      <c r="P1040" s="168">
        <f t="shared" si="209"/>
        <v>49</v>
      </c>
      <c r="AT1040" s="19">
        <v>3</v>
      </c>
      <c r="AU1040" s="14">
        <v>19</v>
      </c>
      <c r="AV1040" s="14">
        <v>13</v>
      </c>
      <c r="AW1040" s="13"/>
      <c r="AX1040" s="13"/>
      <c r="AY1040" s="19">
        <v>1</v>
      </c>
      <c r="AZ1040" s="14">
        <v>7</v>
      </c>
      <c r="BA1040" s="14">
        <v>7</v>
      </c>
      <c r="BB1040" s="13" t="s">
        <v>29</v>
      </c>
      <c r="BF1040" s="19" t="s">
        <v>550</v>
      </c>
    </row>
    <row r="1041" spans="1:58" ht="14.25" x14ac:dyDescent="0.2">
      <c r="A1041" t="str">
        <f t="shared" si="202"/>
        <v>A3</v>
      </c>
      <c r="B1041" s="2" t="s">
        <v>656</v>
      </c>
      <c r="C1041">
        <f t="shared" si="203"/>
        <v>611.79</v>
      </c>
      <c r="D1041" t="str">
        <f t="shared" si="199"/>
        <v>UFD</v>
      </c>
      <c r="E1041" s="169" t="str">
        <f>IF(OR(A1041="",B1041="",C1041=""),"eine der Spalten BAB, FR, km leer?",CONCATENATE(VLOOKUP(VALUE(I1041),[1]Grundlage!$A$1:$B$14,2,0),IF(LEFT(A1041,1)="A",IF(VALUE(MID(A1041,2,10))&lt;10,"A00"&amp;VALUE(MID(A1041,2,10)),IF(VALUE(MID(A1041,2,10))&lt;100,"A0"&amp;VALUE(MID(A1041,2,10)),IF(VALUE(MID(A1041,2,10))&lt;1000,"A"&amp;VALUE(MID(A1041,2,10))))),IF(LEFT(A1041,1)="B",IF(VALUE(MID(A1041,2,10))&lt;10,"B00"&amp;VALUE(MID(A1041,2,10)),IF(VALUE(MID(A1041,2,10))&lt;100,"B0"&amp;VALUE(MID(A1041,2,10)),IF(VALUE(MID(A1041,2,10))&lt;1000,"B"&amp;VALUE(MID(A1041,2,10))))),A1041)),"_",IF(NOT(OR(C1041=1000,C1041&gt;1000)),MID(TEXT((C1041+1000)*1000,0),2,6),"keine Meter in Spalte km!!!"),IF(VALUE(I1041)=1,CONCATENATE("_",VLOOKUP(IF(V1041&gt;0,V1041,J1041),[1]Grundlage!$A$20:$B$181,2,0)),CONCATENATE("_",B1041))))</f>
        <v>UQ_A003_611790_N</v>
      </c>
      <c r="F1041" s="2" t="s">
        <v>30</v>
      </c>
      <c r="G1041" s="167">
        <f t="shared" si="200"/>
        <v>1241</v>
      </c>
      <c r="H1041">
        <f t="shared" si="201"/>
        <v>106</v>
      </c>
      <c r="I1041" s="2">
        <f t="shared" si="204"/>
        <v>3</v>
      </c>
      <c r="J1041" s="2">
        <f t="shared" si="205"/>
        <v>21</v>
      </c>
      <c r="K1041" s="13">
        <v>210</v>
      </c>
      <c r="L1041" s="2">
        <f t="shared" si="206"/>
        <v>10</v>
      </c>
      <c r="M1041" s="2">
        <f t="shared" si="207"/>
        <v>1</v>
      </c>
      <c r="N1041" s="2">
        <f t="shared" si="208"/>
        <v>8</v>
      </c>
      <c r="P1041" s="168">
        <f t="shared" si="209"/>
        <v>67</v>
      </c>
      <c r="AT1041" s="19">
        <v>3</v>
      </c>
      <c r="AU1041" s="14">
        <v>21</v>
      </c>
      <c r="AV1041" s="14">
        <v>15</v>
      </c>
      <c r="AW1041" s="13"/>
      <c r="AX1041" s="13"/>
      <c r="AY1041" s="19">
        <v>1</v>
      </c>
      <c r="AZ1041" s="14">
        <v>8</v>
      </c>
      <c r="BA1041" s="14">
        <v>8</v>
      </c>
      <c r="BB1041" s="13" t="s">
        <v>30</v>
      </c>
      <c r="BF1041" s="19" t="s">
        <v>551</v>
      </c>
    </row>
    <row r="1042" spans="1:58" ht="14.25" x14ac:dyDescent="0.2">
      <c r="A1042" t="str">
        <f t="shared" si="202"/>
        <v>A3</v>
      </c>
      <c r="B1042" s="2" t="s">
        <v>656</v>
      </c>
      <c r="C1042">
        <f t="shared" si="203"/>
        <v>611.79</v>
      </c>
      <c r="D1042" t="str">
        <f t="shared" si="199"/>
        <v>UFD</v>
      </c>
      <c r="E1042" s="169" t="str">
        <f>IF(OR(A1042="",B1042="",C1042=""),"eine der Spalten BAB, FR, km leer?",CONCATENATE(VLOOKUP(VALUE(I1042),[1]Grundlage!$A$1:$B$14,2,0),IF(LEFT(A1042,1)="A",IF(VALUE(MID(A1042,2,10))&lt;10,"A00"&amp;VALUE(MID(A1042,2,10)),IF(VALUE(MID(A1042,2,10))&lt;100,"A0"&amp;VALUE(MID(A1042,2,10)),IF(VALUE(MID(A1042,2,10))&lt;1000,"A"&amp;VALUE(MID(A1042,2,10))))),IF(LEFT(A1042,1)="B",IF(VALUE(MID(A1042,2,10))&lt;10,"B00"&amp;VALUE(MID(A1042,2,10)),IF(VALUE(MID(A1042,2,10))&lt;100,"B0"&amp;VALUE(MID(A1042,2,10)),IF(VALUE(MID(A1042,2,10))&lt;1000,"B"&amp;VALUE(MID(A1042,2,10))))),A1042)),"_",IF(NOT(OR(C1042=1000,C1042&gt;1000)),MID(TEXT((C1042+1000)*1000,0),2,6),"keine Meter in Spalte km!!!"),IF(VALUE(I1042)=1,CONCATENATE("_",VLOOKUP(IF(V1042&gt;0,V1042,J1042),[1]Grundlage!$A$20:$B$181,2,0)),CONCATENATE("_",B1042))))</f>
        <v>UQ_A003_611790_N</v>
      </c>
      <c r="F1042" s="2" t="s">
        <v>41</v>
      </c>
      <c r="G1042" s="167">
        <f t="shared" si="200"/>
        <v>1241</v>
      </c>
      <c r="H1042">
        <f t="shared" si="201"/>
        <v>106</v>
      </c>
      <c r="I1042" s="2">
        <f t="shared" si="204"/>
        <v>3</v>
      </c>
      <c r="J1042" s="2">
        <f t="shared" si="205"/>
        <v>24</v>
      </c>
      <c r="K1042" s="13">
        <v>210</v>
      </c>
      <c r="L1042" s="2">
        <f t="shared" si="206"/>
        <v>10</v>
      </c>
      <c r="M1042" s="2">
        <f t="shared" si="207"/>
        <v>1</v>
      </c>
      <c r="N1042" s="2">
        <f t="shared" si="208"/>
        <v>9</v>
      </c>
      <c r="P1042" s="168">
        <f t="shared" si="209"/>
        <v>69</v>
      </c>
      <c r="AT1042" s="19">
        <v>3</v>
      </c>
      <c r="AU1042" s="14">
        <v>24</v>
      </c>
      <c r="AV1042" s="14">
        <v>18</v>
      </c>
      <c r="AW1042" s="13"/>
      <c r="AX1042" s="13"/>
      <c r="AY1042" s="19">
        <v>1</v>
      </c>
      <c r="AZ1042" s="14">
        <v>9</v>
      </c>
      <c r="BA1042" s="14">
        <v>9</v>
      </c>
      <c r="BB1042" s="13" t="s">
        <v>41</v>
      </c>
      <c r="BF1042" s="19" t="s">
        <v>552</v>
      </c>
    </row>
    <row r="1043" spans="1:58" ht="13.5" customHeight="1" x14ac:dyDescent="0.2">
      <c r="A1043" t="str">
        <f t="shared" si="202"/>
        <v>A3</v>
      </c>
      <c r="B1043" s="2" t="s">
        <v>656</v>
      </c>
      <c r="C1043">
        <f t="shared" si="203"/>
        <v>611.79</v>
      </c>
      <c r="D1043" t="str">
        <f t="shared" si="199"/>
        <v>UFD</v>
      </c>
      <c r="E1043" s="169" t="str">
        <f>IF(OR(A1043="",B1043="",C1043=""),"eine der Spalten BAB, FR, km leer?",CONCATENATE(VLOOKUP(VALUE(I1043),[1]Grundlage!$A$1:$B$14,2,0),IF(LEFT(A1043,1)="A",IF(VALUE(MID(A1043,2,10))&lt;10,"A00"&amp;VALUE(MID(A1043,2,10)),IF(VALUE(MID(A1043,2,10))&lt;100,"A0"&amp;VALUE(MID(A1043,2,10)),IF(VALUE(MID(A1043,2,10))&lt;1000,"A"&amp;VALUE(MID(A1043,2,10))))),IF(LEFT(A1043,1)="B",IF(VALUE(MID(A1043,2,10))&lt;10,"B00"&amp;VALUE(MID(A1043,2,10)),IF(VALUE(MID(A1043,2,10))&lt;100,"B0"&amp;VALUE(MID(A1043,2,10)),IF(VALUE(MID(A1043,2,10))&lt;1000,"B"&amp;VALUE(MID(A1043,2,10))))),A1043)),"_",IF(NOT(OR(C1043=1000,C1043&gt;1000)),MID(TEXT((C1043+1000)*1000,0),2,6),"keine Meter in Spalte km!!!"),IF(VALUE(I1043)=1,CONCATENATE("_",VLOOKUP(IF(V1043&gt;0,V1043,J1043),[1]Grundlage!$A$20:$B$181,2,0)),CONCATENATE("_",B1043))))</f>
        <v>UQ_A003_611790_N</v>
      </c>
      <c r="F1043" s="2" t="s">
        <v>271</v>
      </c>
      <c r="G1043" s="167">
        <f t="shared" si="200"/>
        <v>1241</v>
      </c>
      <c r="H1043">
        <f t="shared" si="201"/>
        <v>106</v>
      </c>
      <c r="I1043" s="2">
        <f t="shared" si="204"/>
        <v>3</v>
      </c>
      <c r="J1043" s="2">
        <f t="shared" si="205"/>
        <v>67</v>
      </c>
      <c r="K1043" s="13">
        <v>210</v>
      </c>
      <c r="L1043" s="2">
        <f t="shared" si="206"/>
        <v>10</v>
      </c>
      <c r="M1043" s="2">
        <f t="shared" si="207"/>
        <v>1</v>
      </c>
      <c r="N1043" s="2">
        <f t="shared" si="208"/>
        <v>10</v>
      </c>
      <c r="P1043" s="168">
        <f t="shared" si="209"/>
        <v>53</v>
      </c>
      <c r="AT1043" s="19">
        <v>3</v>
      </c>
      <c r="AU1043" s="14">
        <v>67</v>
      </c>
      <c r="AV1043" s="14">
        <v>43</v>
      </c>
      <c r="AW1043" s="13"/>
      <c r="AX1043" s="13"/>
      <c r="AY1043" s="19">
        <v>1</v>
      </c>
      <c r="AZ1043" s="14">
        <v>10</v>
      </c>
      <c r="BA1043" s="34" t="s">
        <v>95</v>
      </c>
      <c r="BB1043" s="13" t="s">
        <v>271</v>
      </c>
      <c r="BF1043" s="19" t="s">
        <v>444</v>
      </c>
    </row>
    <row r="1044" spans="1:58" ht="14.25" x14ac:dyDescent="0.2">
      <c r="A1044" t="str">
        <f t="shared" si="202"/>
        <v>A3</v>
      </c>
      <c r="B1044" s="2" t="s">
        <v>656</v>
      </c>
      <c r="C1044">
        <f t="shared" si="203"/>
        <v>611.79</v>
      </c>
      <c r="D1044" t="str">
        <f t="shared" si="199"/>
        <v>UFD</v>
      </c>
      <c r="E1044" s="169" t="str">
        <f>IF(OR(A1044="",B1044="",C1044=""),"eine der Spalten BAB, FR, km leer?",CONCATENATE(VLOOKUP(VALUE(I1044),[1]Grundlage!$A$1:$B$14,2,0),IF(LEFT(A1044,1)="A",IF(VALUE(MID(A1044,2,10))&lt;10,"A00"&amp;VALUE(MID(A1044,2,10)),IF(VALUE(MID(A1044,2,10))&lt;100,"A0"&amp;VALUE(MID(A1044,2,10)),IF(VALUE(MID(A1044,2,10))&lt;1000,"A"&amp;VALUE(MID(A1044,2,10))))),IF(LEFT(A1044,1)="B",IF(VALUE(MID(A1044,2,10))&lt;10,"B00"&amp;VALUE(MID(A1044,2,10)),IF(VALUE(MID(A1044,2,10))&lt;100,"B0"&amp;VALUE(MID(A1044,2,10)),IF(VALUE(MID(A1044,2,10))&lt;1000,"B"&amp;VALUE(MID(A1044,2,10))))),A1044)),"_",IF(NOT(OR(C1044=1000,C1044&gt;1000)),MID(TEXT((C1044+1000)*1000,0),2,6),"keine Meter in Spalte km!!!"),IF(VALUE(I1044)=1,CONCATENATE("_",VLOOKUP(IF(V1044&gt;0,V1044,J1044),[1]Grundlage!$A$20:$B$181,2,0)),CONCATENATE("_",B1044))))</f>
        <v>UQ_A003_611790_N</v>
      </c>
      <c r="F1044" s="2" t="s">
        <v>272</v>
      </c>
      <c r="G1044" s="167">
        <f t="shared" si="200"/>
        <v>1241</v>
      </c>
      <c r="H1044">
        <f t="shared" si="201"/>
        <v>106</v>
      </c>
      <c r="I1044" s="2">
        <f t="shared" si="204"/>
        <v>3</v>
      </c>
      <c r="J1044" s="2">
        <f t="shared" si="205"/>
        <v>82</v>
      </c>
      <c r="K1044" s="13">
        <v>210</v>
      </c>
      <c r="L1044" s="2">
        <f t="shared" si="206"/>
        <v>10</v>
      </c>
      <c r="M1044" s="2">
        <f t="shared" si="207"/>
        <v>1</v>
      </c>
      <c r="N1044" s="2">
        <f t="shared" si="208"/>
        <v>11</v>
      </c>
      <c r="P1044" s="168">
        <f t="shared" si="209"/>
        <v>72</v>
      </c>
      <c r="AT1044" s="19">
        <v>3</v>
      </c>
      <c r="AU1044" s="14">
        <v>82</v>
      </c>
      <c r="AV1044" s="14">
        <v>52</v>
      </c>
      <c r="AW1044" s="13"/>
      <c r="AX1044" s="13"/>
      <c r="AY1044" s="19">
        <v>1</v>
      </c>
      <c r="AZ1044" s="14">
        <v>11</v>
      </c>
      <c r="BA1044" s="34" t="s">
        <v>78</v>
      </c>
      <c r="BB1044" s="13" t="s">
        <v>272</v>
      </c>
      <c r="BF1044" s="19" t="s">
        <v>553</v>
      </c>
    </row>
    <row r="1045" spans="1:58" ht="14.25" x14ac:dyDescent="0.2">
      <c r="A1045" t="str">
        <f t="shared" si="202"/>
        <v>A3</v>
      </c>
      <c r="C1045">
        <f t="shared" si="203"/>
        <v>611.79</v>
      </c>
      <c r="D1045" t="str">
        <f t="shared" si="199"/>
        <v/>
      </c>
      <c r="E1045" s="169" t="str">
        <f>IF(OR(A1045="",B1045="",C1045=""),"",CONCATENATE(VLOOKUP(VALUE(I1045),[1]Grundlage!$A$1:$B$14,2,0),IF(LEFT(A1045,1)="A",IF(VALUE(MID(A1045,2,10))&lt;10,"A00"&amp;VALUE(MID(A1045,2,10)),IF(VALUE(MID(A1045,2,10))&lt;100,"A0"&amp;VALUE(MID(A1045,2,10)),IF(VALUE(MID(A1045,2,10))&lt;1000,"A"&amp;VALUE(MID(A1045,2,10))))),IF(LEFT(A1045,1)="B",IF(VALUE(MID(A1045,2,10))&lt;10,"B00"&amp;VALUE(MID(A1045,2,10)),IF(VALUE(MID(A1045,2,10))&lt;100,"B0"&amp;VALUE(MID(A1045,2,10)),IF(VALUE(MID(A1045,2,10))&lt;1000,"B"&amp;VALUE(MID(A1045,2,10))))),A1045)),"_",IF(NOT(OR(C1045=1000,C1045&gt;1000)),MID(TEXT((C1045+1000)*1000,0),2,6),"keine Meter in Spalte km!!!"),IF(VALUE(I1045)=1,CONCATENATE("_",VLOOKUP(IF(V1045&gt;0,V1045,J1045),[1]Grundlage!$A$20:$B$181,2,0)),CONCATENATE("_",B1045))))</f>
        <v/>
      </c>
      <c r="F1045" s="2" t="s">
        <v>669</v>
      </c>
      <c r="G1045" s="167">
        <f t="shared" si="200"/>
        <v>1241</v>
      </c>
      <c r="H1045">
        <f t="shared" si="201"/>
        <v>106</v>
      </c>
      <c r="I1045" s="2">
        <f t="shared" si="204"/>
        <v>0</v>
      </c>
      <c r="J1045" s="2">
        <f t="shared" si="205"/>
        <v>0</v>
      </c>
      <c r="K1045" s="13">
        <v>210</v>
      </c>
      <c r="L1045" s="2">
        <f t="shared" si="206"/>
        <v>10</v>
      </c>
      <c r="M1045" s="2" t="str">
        <f t="shared" si="207"/>
        <v/>
      </c>
      <c r="N1045" s="2" t="str">
        <f t="shared" si="208"/>
        <v/>
      </c>
      <c r="P1045" s="168" t="str">
        <f t="shared" si="209"/>
        <v/>
      </c>
    </row>
    <row r="1046" spans="1:58" ht="14.25" x14ac:dyDescent="0.2">
      <c r="A1046" t="str">
        <f t="shared" si="202"/>
        <v>A3</v>
      </c>
      <c r="B1046" s="2" t="s">
        <v>656</v>
      </c>
      <c r="C1046">
        <f t="shared" si="203"/>
        <v>548</v>
      </c>
      <c r="D1046" t="str">
        <f t="shared" si="199"/>
        <v>SS</v>
      </c>
      <c r="E1046" s="169" t="str">
        <f>IF(OR(A1046="",B1046="",C1046=""),"eine der Spalten BAB, FR, km leer?",CONCATENATE(VLOOKUP(VALUE(I1046),[1]Grundlage!$A$1:$B$14,2,0),IF(LEFT(A1046,1)="A",IF(VALUE(MID(A1046,2,10))&lt;10,"A00"&amp;VALUE(MID(A1046,2,10)),IF(VALUE(MID(A1046,2,10))&lt;100,"A0"&amp;VALUE(MID(A1046,2,10)),IF(VALUE(MID(A1046,2,10))&lt;1000,"A"&amp;VALUE(MID(A1046,2,10))))),IF(LEFT(A1046,1)="B",IF(VALUE(MID(A1046,2,10))&lt;10,"B00"&amp;VALUE(MID(A1046,2,10)),IF(VALUE(MID(A1046,2,10))&lt;100,"B0"&amp;VALUE(MID(A1046,2,10)),IF(VALUE(MID(A1046,2,10))&lt;1000,"B"&amp;VALUE(MID(A1046,2,10))))),A1046)),"_",IF(NOT(OR(C1046=1000,C1046&gt;1000)),MID(TEXT((C1046+1000)*1000,0),2,6),"keine Meter in Spalte km!!!"),IF(VALUE(I1046)=1,CONCATENATE("_",VLOOKUP(IF(V1046&gt;0,V1046,J1046),[1]Grundlage!$A$20:$B$181,2,0)),CONCATENATE("_",B1046))))</f>
        <v>SSt_A003_548000_N</v>
      </c>
      <c r="F1046" s="2" t="s">
        <v>134</v>
      </c>
      <c r="G1046" s="167">
        <f t="shared" si="200"/>
        <v>1199</v>
      </c>
      <c r="H1046">
        <f t="shared" si="201"/>
        <v>125</v>
      </c>
      <c r="I1046" s="2">
        <f t="shared" si="204"/>
        <v>254</v>
      </c>
      <c r="J1046" s="2">
        <f t="shared" si="205"/>
        <v>0</v>
      </c>
      <c r="K1046" s="13">
        <v>210</v>
      </c>
      <c r="L1046" s="2">
        <f t="shared" si="206"/>
        <v>13</v>
      </c>
      <c r="M1046" s="2" t="str">
        <f t="shared" si="207"/>
        <v/>
      </c>
      <c r="N1046" s="2" t="str">
        <f t="shared" si="208"/>
        <v/>
      </c>
      <c r="P1046" s="168" t="str">
        <f t="shared" si="209"/>
        <v/>
      </c>
      <c r="AI1046" s="35">
        <v>548</v>
      </c>
      <c r="AJ1046" s="36" t="s">
        <v>19</v>
      </c>
      <c r="AK1046" s="36" t="s">
        <v>62</v>
      </c>
      <c r="AL1046" s="36"/>
      <c r="AM1046" s="36"/>
      <c r="AN1046" s="36"/>
      <c r="AO1046" s="36"/>
      <c r="AP1046" s="36">
        <v>307069</v>
      </c>
      <c r="AQ1046" s="70" t="s">
        <v>234</v>
      </c>
      <c r="AR1046" s="67" t="s">
        <v>241</v>
      </c>
      <c r="AS1046" s="67" t="s">
        <v>263</v>
      </c>
      <c r="AT1046" s="36"/>
      <c r="AU1046" s="36"/>
      <c r="AV1046" s="36"/>
      <c r="AW1046" s="36"/>
      <c r="AX1046" s="36">
        <v>13</v>
      </c>
      <c r="AY1046" s="36"/>
      <c r="AZ1046" s="36"/>
      <c r="BA1046" s="36"/>
      <c r="BB1046" s="37" t="s">
        <v>134</v>
      </c>
      <c r="BC1046" s="38"/>
      <c r="BD1046" s="99" t="s">
        <v>163</v>
      </c>
      <c r="BE1046" s="39" t="s">
        <v>127</v>
      </c>
      <c r="BF1046" s="2" t="s">
        <v>600</v>
      </c>
    </row>
    <row r="1047" spans="1:58" ht="14.25" x14ac:dyDescent="0.2">
      <c r="A1047" t="str">
        <f t="shared" si="202"/>
        <v>A3</v>
      </c>
      <c r="B1047" s="2" t="s">
        <v>656</v>
      </c>
      <c r="C1047">
        <f t="shared" si="203"/>
        <v>548</v>
      </c>
      <c r="D1047" t="str">
        <f t="shared" si="199"/>
        <v>UFD</v>
      </c>
      <c r="E1047" s="169" t="str">
        <f>IF(OR(A1047="",B1047="",C1047=""),"eine der Spalten BAB, FR, km leer?",CONCATENATE(VLOOKUP(VALUE(I1047),[1]Grundlage!$A$1:$B$14,2,0),IF(LEFT(A1047,1)="A",IF(VALUE(MID(A1047,2,10))&lt;10,"A00"&amp;VALUE(MID(A1047,2,10)),IF(VALUE(MID(A1047,2,10))&lt;100,"A0"&amp;VALUE(MID(A1047,2,10)),IF(VALUE(MID(A1047,2,10))&lt;1000,"A"&amp;VALUE(MID(A1047,2,10))))),IF(LEFT(A1047,1)="B",IF(VALUE(MID(A1047,2,10))&lt;10,"B00"&amp;VALUE(MID(A1047,2,10)),IF(VALUE(MID(A1047,2,10))&lt;100,"B0"&amp;VALUE(MID(A1047,2,10)),IF(VALUE(MID(A1047,2,10))&lt;1000,"B"&amp;VALUE(MID(A1047,2,10))))),A1047)),"_",IF(NOT(OR(C1047=1000,C1047&gt;1000)),MID(TEXT((C1047+1000)*1000,0),2,6),"keine Meter in Spalte km!!!"),IF(VALUE(I1047)=1,CONCATENATE("_",VLOOKUP(IF(V1047&gt;0,V1047,J1047),[1]Grundlage!$A$20:$B$181,2,0)),CONCATENATE("_",B1047))))</f>
        <v>UQ_A003_548000_N</v>
      </c>
      <c r="F1047" s="2" t="s">
        <v>269</v>
      </c>
      <c r="G1047" s="167">
        <f t="shared" si="200"/>
        <v>1199</v>
      </c>
      <c r="H1047">
        <f t="shared" si="201"/>
        <v>125</v>
      </c>
      <c r="I1047" s="2">
        <f t="shared" si="204"/>
        <v>3</v>
      </c>
      <c r="J1047" s="2">
        <f t="shared" si="205"/>
        <v>6</v>
      </c>
      <c r="K1047" s="13">
        <v>210</v>
      </c>
      <c r="L1047" s="2">
        <f t="shared" si="206"/>
        <v>13</v>
      </c>
      <c r="M1047" s="2">
        <f t="shared" si="207"/>
        <v>1</v>
      </c>
      <c r="N1047" s="2">
        <f t="shared" si="208"/>
        <v>1</v>
      </c>
      <c r="P1047" s="168">
        <f t="shared" si="209"/>
        <v>71</v>
      </c>
      <c r="AT1047" s="19">
        <v>3</v>
      </c>
      <c r="AU1047" s="14">
        <v>6</v>
      </c>
      <c r="AV1047" s="27">
        <v>6</v>
      </c>
      <c r="AW1047" s="19"/>
      <c r="AX1047" s="19"/>
      <c r="AY1047" s="19">
        <v>1</v>
      </c>
      <c r="AZ1047" s="14">
        <v>1</v>
      </c>
      <c r="BA1047" s="27">
        <v>1</v>
      </c>
      <c r="BB1047" s="13" t="s">
        <v>269</v>
      </c>
      <c r="BF1047" s="19" t="s">
        <v>440</v>
      </c>
    </row>
    <row r="1048" spans="1:58" ht="14.25" x14ac:dyDescent="0.2">
      <c r="A1048" t="str">
        <f t="shared" si="202"/>
        <v>A3</v>
      </c>
      <c r="B1048" s="2" t="s">
        <v>656</v>
      </c>
      <c r="C1048">
        <f t="shared" si="203"/>
        <v>548</v>
      </c>
      <c r="D1048" t="str">
        <f t="shared" si="199"/>
        <v>UFD</v>
      </c>
      <c r="E1048" s="169" t="str">
        <f>IF(OR(A1048="",B1048="",C1048=""),"eine der Spalten BAB, FR, km leer?",CONCATENATE(VLOOKUP(VALUE(I1048),[1]Grundlage!$A$1:$B$14,2,0),IF(LEFT(A1048,1)="A",IF(VALUE(MID(A1048,2,10))&lt;10,"A00"&amp;VALUE(MID(A1048,2,10)),IF(VALUE(MID(A1048,2,10))&lt;100,"A0"&amp;VALUE(MID(A1048,2,10)),IF(VALUE(MID(A1048,2,10))&lt;1000,"A"&amp;VALUE(MID(A1048,2,10))))),IF(LEFT(A1048,1)="B",IF(VALUE(MID(A1048,2,10))&lt;10,"B00"&amp;VALUE(MID(A1048,2,10)),IF(VALUE(MID(A1048,2,10))&lt;100,"B0"&amp;VALUE(MID(A1048,2,10)),IF(VALUE(MID(A1048,2,10))&lt;1000,"B"&amp;VALUE(MID(A1048,2,10))))),A1048)),"_",IF(NOT(OR(C1048=1000,C1048&gt;1000)),MID(TEXT((C1048+1000)*1000,0),2,6),"keine Meter in Spalte km!!!"),IF(VALUE(I1048)=1,CONCATENATE("_",VLOOKUP(IF(V1048&gt;0,V1048,J1048),[1]Grundlage!$A$20:$B$181,2,0)),CONCATENATE("_",B1048))))</f>
        <v>UQ_A003_548000_N</v>
      </c>
      <c r="F1048" s="2" t="s">
        <v>678</v>
      </c>
      <c r="G1048" s="167">
        <f t="shared" si="200"/>
        <v>1199</v>
      </c>
      <c r="H1048">
        <f t="shared" si="201"/>
        <v>125</v>
      </c>
      <c r="I1048" s="2">
        <f t="shared" si="204"/>
        <v>3</v>
      </c>
      <c r="J1048" s="2">
        <f t="shared" si="205"/>
        <v>11</v>
      </c>
      <c r="K1048" s="13">
        <v>210</v>
      </c>
      <c r="L1048" s="2">
        <f t="shared" si="206"/>
        <v>13</v>
      </c>
      <c r="M1048" s="2">
        <f t="shared" si="207"/>
        <v>1</v>
      </c>
      <c r="N1048" s="2">
        <f t="shared" si="208"/>
        <v>2</v>
      </c>
      <c r="P1048" s="168">
        <v>70</v>
      </c>
      <c r="AT1048" s="19">
        <v>3</v>
      </c>
      <c r="AU1048" s="14">
        <v>11</v>
      </c>
      <c r="AV1048" s="14" t="s">
        <v>78</v>
      </c>
      <c r="AW1048" s="13"/>
      <c r="AX1048" s="13"/>
      <c r="AY1048" s="19">
        <v>1</v>
      </c>
      <c r="AZ1048" s="14">
        <v>2</v>
      </c>
      <c r="BA1048" s="14">
        <v>2</v>
      </c>
      <c r="BB1048" s="13" t="s">
        <v>372</v>
      </c>
      <c r="BF1048" s="19" t="s">
        <v>484</v>
      </c>
    </row>
    <row r="1049" spans="1:58" ht="14.25" x14ac:dyDescent="0.2">
      <c r="A1049" t="str">
        <f t="shared" si="202"/>
        <v>A3</v>
      </c>
      <c r="B1049" s="2" t="s">
        <v>656</v>
      </c>
      <c r="C1049">
        <f t="shared" si="203"/>
        <v>548</v>
      </c>
      <c r="D1049" t="str">
        <f t="shared" si="199"/>
        <v>UFD</v>
      </c>
      <c r="E1049" s="169" t="str">
        <f>IF(OR(A1049="",B1049="",C1049=""),"eine der Spalten BAB, FR, km leer?",CONCATENATE(VLOOKUP(VALUE(I1049),[1]Grundlage!$A$1:$B$14,2,0),IF(LEFT(A1049,1)="A",IF(VALUE(MID(A1049,2,10))&lt;10,"A00"&amp;VALUE(MID(A1049,2,10)),IF(VALUE(MID(A1049,2,10))&lt;100,"A0"&amp;VALUE(MID(A1049,2,10)),IF(VALUE(MID(A1049,2,10))&lt;1000,"A"&amp;VALUE(MID(A1049,2,10))))),IF(LEFT(A1049,1)="B",IF(VALUE(MID(A1049,2,10))&lt;10,"B00"&amp;VALUE(MID(A1049,2,10)),IF(VALUE(MID(A1049,2,10))&lt;100,"B0"&amp;VALUE(MID(A1049,2,10)),IF(VALUE(MID(A1049,2,10))&lt;1000,"B"&amp;VALUE(MID(A1049,2,10))))),A1049)),"_",IF(NOT(OR(C1049=1000,C1049&gt;1000)),MID(TEXT((C1049+1000)*1000,0),2,6),"keine Meter in Spalte km!!!"),IF(VALUE(I1049)=1,CONCATENATE("_",VLOOKUP(IF(V1049&gt;0,V1049,J1049),[1]Grundlage!$A$20:$B$181,2,0)),CONCATENATE("_",B1049))))</f>
        <v>UQ_A003_548000_N</v>
      </c>
      <c r="F1049" s="2" t="s">
        <v>25</v>
      </c>
      <c r="G1049" s="167">
        <f t="shared" si="200"/>
        <v>1199</v>
      </c>
      <c r="H1049">
        <f t="shared" si="201"/>
        <v>125</v>
      </c>
      <c r="I1049" s="2">
        <f t="shared" si="204"/>
        <v>3</v>
      </c>
      <c r="J1049" s="2">
        <f t="shared" si="205"/>
        <v>12</v>
      </c>
      <c r="K1049" s="13">
        <v>210</v>
      </c>
      <c r="L1049" s="2">
        <f t="shared" si="206"/>
        <v>13</v>
      </c>
      <c r="M1049" s="2">
        <f t="shared" si="207"/>
        <v>1</v>
      </c>
      <c r="N1049" s="2">
        <f t="shared" si="208"/>
        <v>3</v>
      </c>
      <c r="P1049" s="168">
        <f t="shared" si="209"/>
        <v>48</v>
      </c>
      <c r="AT1049" s="19">
        <v>3</v>
      </c>
      <c r="AU1049" s="14">
        <v>12</v>
      </c>
      <c r="AV1049" s="14" t="s">
        <v>79</v>
      </c>
      <c r="AW1049" s="13"/>
      <c r="AX1049" s="13"/>
      <c r="AY1049" s="19">
        <v>1</v>
      </c>
      <c r="AZ1049" s="14">
        <v>3</v>
      </c>
      <c r="BA1049" s="14">
        <v>3</v>
      </c>
      <c r="BB1049" s="13" t="s">
        <v>25</v>
      </c>
      <c r="BF1049" s="19" t="s">
        <v>441</v>
      </c>
    </row>
    <row r="1050" spans="1:58" ht="14.25" x14ac:dyDescent="0.2">
      <c r="A1050" t="str">
        <f t="shared" si="202"/>
        <v>A3</v>
      </c>
      <c r="B1050" s="2" t="s">
        <v>656</v>
      </c>
      <c r="C1050">
        <f t="shared" si="203"/>
        <v>548</v>
      </c>
      <c r="D1050" t="str">
        <f t="shared" si="199"/>
        <v>UFD</v>
      </c>
      <c r="E1050" s="169" t="str">
        <f>IF(OR(A1050="",B1050="",C1050=""),"eine der Spalten BAB, FR, km leer?",CONCATENATE(VLOOKUP(VALUE(I1050),[1]Grundlage!$A$1:$B$14,2,0),IF(LEFT(A1050,1)="A",IF(VALUE(MID(A1050,2,10))&lt;10,"A00"&amp;VALUE(MID(A1050,2,10)),IF(VALUE(MID(A1050,2,10))&lt;100,"A0"&amp;VALUE(MID(A1050,2,10)),IF(VALUE(MID(A1050,2,10))&lt;1000,"A"&amp;VALUE(MID(A1050,2,10))))),IF(LEFT(A1050,1)="B",IF(VALUE(MID(A1050,2,10))&lt;10,"B00"&amp;VALUE(MID(A1050,2,10)),IF(VALUE(MID(A1050,2,10))&lt;100,"B0"&amp;VALUE(MID(A1050,2,10)),IF(VALUE(MID(A1050,2,10))&lt;1000,"B"&amp;VALUE(MID(A1050,2,10))))),A1050)),"_",IF(NOT(OR(C1050=1000,C1050&gt;1000)),MID(TEXT((C1050+1000)*1000,0),2,6),"keine Meter in Spalte km!!!"),IF(VALUE(I1050)=1,CONCATENATE("_",VLOOKUP(IF(V1050&gt;0,V1050,J1050),[1]Grundlage!$A$20:$B$181,2,0)),CONCATENATE("_",B1050))))</f>
        <v>UQ_A003_548000_N</v>
      </c>
      <c r="F1050" s="2" t="s">
        <v>26</v>
      </c>
      <c r="G1050" s="167">
        <f t="shared" si="200"/>
        <v>1199</v>
      </c>
      <c r="H1050">
        <f t="shared" si="201"/>
        <v>125</v>
      </c>
      <c r="I1050" s="2">
        <f t="shared" si="204"/>
        <v>3</v>
      </c>
      <c r="J1050" s="2">
        <f t="shared" si="205"/>
        <v>13</v>
      </c>
      <c r="K1050" s="13">
        <v>210</v>
      </c>
      <c r="L1050" s="2">
        <f t="shared" si="206"/>
        <v>13</v>
      </c>
      <c r="M1050" s="2">
        <f t="shared" si="207"/>
        <v>1</v>
      </c>
      <c r="N1050" s="2">
        <f t="shared" si="208"/>
        <v>4</v>
      </c>
      <c r="P1050" s="168">
        <f t="shared" si="209"/>
        <v>55</v>
      </c>
      <c r="AT1050" s="19">
        <v>3</v>
      </c>
      <c r="AU1050" s="14">
        <v>13</v>
      </c>
      <c r="AV1050" s="14" t="s">
        <v>80</v>
      </c>
      <c r="AW1050" s="13"/>
      <c r="AX1050" s="13"/>
      <c r="AY1050" s="19">
        <v>1</v>
      </c>
      <c r="AZ1050" s="14">
        <v>4</v>
      </c>
      <c r="BA1050" s="14">
        <v>4</v>
      </c>
      <c r="BB1050" s="13" t="s">
        <v>26</v>
      </c>
      <c r="BF1050" s="19" t="s">
        <v>442</v>
      </c>
    </row>
    <row r="1051" spans="1:58" ht="14.25" x14ac:dyDescent="0.2">
      <c r="A1051" t="str">
        <f t="shared" si="202"/>
        <v>A3</v>
      </c>
      <c r="B1051" s="2" t="s">
        <v>656</v>
      </c>
      <c r="C1051">
        <f t="shared" si="203"/>
        <v>548</v>
      </c>
      <c r="D1051" t="str">
        <f t="shared" si="199"/>
        <v>UFD</v>
      </c>
      <c r="E1051" s="169" t="str">
        <f>IF(OR(A1051="",B1051="",C1051=""),"eine der Spalten BAB, FR, km leer?",CONCATENATE(VLOOKUP(VALUE(I1051),[1]Grundlage!$A$1:$B$14,2,0),IF(LEFT(A1051,1)="A",IF(VALUE(MID(A1051,2,10))&lt;10,"A00"&amp;VALUE(MID(A1051,2,10)),IF(VALUE(MID(A1051,2,10))&lt;100,"A0"&amp;VALUE(MID(A1051,2,10)),IF(VALUE(MID(A1051,2,10))&lt;1000,"A"&amp;VALUE(MID(A1051,2,10))))),IF(LEFT(A1051,1)="B",IF(VALUE(MID(A1051,2,10))&lt;10,"B00"&amp;VALUE(MID(A1051,2,10)),IF(VALUE(MID(A1051,2,10))&lt;100,"B0"&amp;VALUE(MID(A1051,2,10)),IF(VALUE(MID(A1051,2,10))&lt;1000,"B"&amp;VALUE(MID(A1051,2,10))))),A1051)),"_",IF(NOT(OR(C1051=1000,C1051&gt;1000)),MID(TEXT((C1051+1000)*1000,0),2,6),"keine Meter in Spalte km!!!"),IF(VALUE(I1051)=1,CONCATENATE("_",VLOOKUP(IF(V1051&gt;0,V1051,J1051),[1]Grundlage!$A$20:$B$181,2,0)),CONCATENATE("_",B1051))))</f>
        <v>UQ_A003_548000_N</v>
      </c>
      <c r="F1051" s="2" t="s">
        <v>27</v>
      </c>
      <c r="G1051" s="167">
        <f t="shared" si="200"/>
        <v>1199</v>
      </c>
      <c r="H1051">
        <f t="shared" si="201"/>
        <v>125</v>
      </c>
      <c r="I1051" s="2">
        <f t="shared" si="204"/>
        <v>3</v>
      </c>
      <c r="J1051" s="2">
        <f t="shared" si="205"/>
        <v>14</v>
      </c>
      <c r="K1051" s="13">
        <v>210</v>
      </c>
      <c r="L1051" s="2">
        <f t="shared" si="206"/>
        <v>13</v>
      </c>
      <c r="M1051" s="2">
        <f t="shared" si="207"/>
        <v>1</v>
      </c>
      <c r="N1051" s="2">
        <f t="shared" si="208"/>
        <v>5</v>
      </c>
      <c r="P1051" s="168">
        <f t="shared" si="209"/>
        <v>66</v>
      </c>
      <c r="AT1051" s="19">
        <v>3</v>
      </c>
      <c r="AU1051" s="14">
        <v>14</v>
      </c>
      <c r="AV1051" s="14" t="s">
        <v>81</v>
      </c>
      <c r="AW1051" s="13"/>
      <c r="AX1051" s="13"/>
      <c r="AY1051" s="19">
        <v>1</v>
      </c>
      <c r="AZ1051" s="14">
        <v>5</v>
      </c>
      <c r="BA1051" s="14">
        <v>5</v>
      </c>
      <c r="BB1051" s="13" t="s">
        <v>27</v>
      </c>
      <c r="BF1051" s="19" t="s">
        <v>443</v>
      </c>
    </row>
    <row r="1052" spans="1:58" ht="14.25" x14ac:dyDescent="0.2">
      <c r="A1052" t="str">
        <f t="shared" si="202"/>
        <v>A3</v>
      </c>
      <c r="B1052" s="2" t="s">
        <v>656</v>
      </c>
      <c r="C1052">
        <f t="shared" si="203"/>
        <v>548</v>
      </c>
      <c r="D1052" t="str">
        <f t="shared" ref="D1052:D1106" si="210">IF(AJ1052="SST","SS",IF(AND(AJ1052="",ISTEXT(BF1052)),"UFD",""))</f>
        <v>UFD</v>
      </c>
      <c r="E1052" s="169" t="str">
        <f>IF(OR(A1052="",B1052="",C1052=""),"eine der Spalten BAB, FR, km leer?",CONCATENATE(VLOOKUP(VALUE(I1052),[1]Grundlage!$A$1:$B$14,2,0),IF(LEFT(A1052,1)="A",IF(VALUE(MID(A1052,2,10))&lt;10,"A00"&amp;VALUE(MID(A1052,2,10)),IF(VALUE(MID(A1052,2,10))&lt;100,"A0"&amp;VALUE(MID(A1052,2,10)),IF(VALUE(MID(A1052,2,10))&lt;1000,"A"&amp;VALUE(MID(A1052,2,10))))),IF(LEFT(A1052,1)="B",IF(VALUE(MID(A1052,2,10))&lt;10,"B00"&amp;VALUE(MID(A1052,2,10)),IF(VALUE(MID(A1052,2,10))&lt;100,"B0"&amp;VALUE(MID(A1052,2,10)),IF(VALUE(MID(A1052,2,10))&lt;1000,"B"&amp;VALUE(MID(A1052,2,10))))),A1052)),"_",IF(NOT(OR(C1052=1000,C1052&gt;1000)),MID(TEXT((C1052+1000)*1000,0),2,6),"keine Meter in Spalte km!!!"),IF(VALUE(I1052)=1,CONCATENATE("_",VLOOKUP(IF(V1052&gt;0,V1052,J1052),[1]Grundlage!$A$20:$B$181,2,0)),CONCATENATE("_",B1052))))</f>
        <v>UQ_A003_548000_N</v>
      </c>
      <c r="F1052" s="2" t="s">
        <v>679</v>
      </c>
      <c r="G1052" s="167">
        <f t="shared" si="200"/>
        <v>1199</v>
      </c>
      <c r="H1052">
        <f t="shared" si="201"/>
        <v>125</v>
      </c>
      <c r="I1052" s="2">
        <f t="shared" si="204"/>
        <v>3</v>
      </c>
      <c r="J1052" s="2">
        <f t="shared" si="205"/>
        <v>15</v>
      </c>
      <c r="K1052" s="13">
        <v>210</v>
      </c>
      <c r="L1052" s="2">
        <f t="shared" si="206"/>
        <v>13</v>
      </c>
      <c r="M1052" s="2">
        <f t="shared" si="207"/>
        <v>1</v>
      </c>
      <c r="N1052" s="2">
        <f t="shared" si="208"/>
        <v>6</v>
      </c>
      <c r="P1052" s="168">
        <v>65</v>
      </c>
      <c r="AT1052" s="19">
        <v>3</v>
      </c>
      <c r="AU1052" s="14">
        <v>15</v>
      </c>
      <c r="AV1052" s="14" t="s">
        <v>82</v>
      </c>
      <c r="AW1052" s="13"/>
      <c r="AX1052" s="13"/>
      <c r="AY1052" s="19">
        <v>1</v>
      </c>
      <c r="AZ1052" s="14">
        <v>6</v>
      </c>
      <c r="BA1052" s="14">
        <v>6</v>
      </c>
      <c r="BB1052" s="13" t="s">
        <v>423</v>
      </c>
      <c r="BF1052" s="19" t="s">
        <v>485</v>
      </c>
    </row>
    <row r="1053" spans="1:58" ht="14.25" x14ac:dyDescent="0.2">
      <c r="A1053" t="str">
        <f t="shared" si="202"/>
        <v>A3</v>
      </c>
      <c r="B1053" s="2" t="s">
        <v>656</v>
      </c>
      <c r="C1053">
        <f t="shared" si="203"/>
        <v>548</v>
      </c>
      <c r="D1053" t="str">
        <f t="shared" si="210"/>
        <v>UFD</v>
      </c>
      <c r="E1053" s="169" t="str">
        <f>IF(OR(A1053="",B1053="",C1053=""),"eine der Spalten BAB, FR, km leer?",CONCATENATE(VLOOKUP(VALUE(I1053),[1]Grundlage!$A$1:$B$14,2,0),IF(LEFT(A1053,1)="A",IF(VALUE(MID(A1053,2,10))&lt;10,"A00"&amp;VALUE(MID(A1053,2,10)),IF(VALUE(MID(A1053,2,10))&lt;100,"A0"&amp;VALUE(MID(A1053,2,10)),IF(VALUE(MID(A1053,2,10))&lt;1000,"A"&amp;VALUE(MID(A1053,2,10))))),IF(LEFT(A1053,1)="B",IF(VALUE(MID(A1053,2,10))&lt;10,"B00"&amp;VALUE(MID(A1053,2,10)),IF(VALUE(MID(A1053,2,10))&lt;100,"B0"&amp;VALUE(MID(A1053,2,10)),IF(VALUE(MID(A1053,2,10))&lt;1000,"B"&amp;VALUE(MID(A1053,2,10))))),A1053)),"_",IF(NOT(OR(C1053=1000,C1053&gt;1000)),MID(TEXT((C1053+1000)*1000,0),2,6),"keine Meter in Spalte km!!!"),IF(VALUE(I1053)=1,CONCATENATE("_",VLOOKUP(IF(V1053&gt;0,V1053,J1053),[1]Grundlage!$A$20:$B$181,2,0)),CONCATENATE("_",B1053))))</f>
        <v>UQ_A003_548000_N</v>
      </c>
      <c r="F1053" s="2" t="s">
        <v>680</v>
      </c>
      <c r="G1053" s="167">
        <f t="shared" si="200"/>
        <v>1199</v>
      </c>
      <c r="H1053">
        <f t="shared" si="201"/>
        <v>125</v>
      </c>
      <c r="I1053" s="2">
        <f t="shared" si="204"/>
        <v>3</v>
      </c>
      <c r="J1053" s="2">
        <f t="shared" si="205"/>
        <v>19</v>
      </c>
      <c r="K1053" s="13">
        <v>210</v>
      </c>
      <c r="L1053" s="2">
        <f t="shared" si="206"/>
        <v>13</v>
      </c>
      <c r="M1053" s="2">
        <f t="shared" si="207"/>
        <v>1</v>
      </c>
      <c r="N1053" s="2">
        <f t="shared" si="208"/>
        <v>7</v>
      </c>
      <c r="P1053" s="168">
        <v>49</v>
      </c>
      <c r="AT1053" s="19">
        <v>3</v>
      </c>
      <c r="AU1053" s="14">
        <v>19</v>
      </c>
      <c r="AV1053" s="14">
        <v>13</v>
      </c>
      <c r="AW1053" s="13"/>
      <c r="AX1053" s="13"/>
      <c r="AY1053" s="19">
        <v>1</v>
      </c>
      <c r="AZ1053" s="14">
        <v>7</v>
      </c>
      <c r="BA1053" s="14">
        <v>7</v>
      </c>
      <c r="BB1053" s="13" t="s">
        <v>424</v>
      </c>
      <c r="BF1053" s="19" t="s">
        <v>486</v>
      </c>
    </row>
    <row r="1054" spans="1:58" ht="14.25" x14ac:dyDescent="0.2">
      <c r="A1054" t="str">
        <f t="shared" si="202"/>
        <v>A3</v>
      </c>
      <c r="B1054" s="2" t="s">
        <v>656</v>
      </c>
      <c r="C1054">
        <f t="shared" si="203"/>
        <v>548</v>
      </c>
      <c r="D1054" t="str">
        <f t="shared" si="210"/>
        <v>UFD</v>
      </c>
      <c r="E1054" s="169" t="str">
        <f>IF(OR(A1054="",B1054="",C1054=""),"eine der Spalten BAB, FR, km leer?",CONCATENATE(VLOOKUP(VALUE(I1054),[1]Grundlage!$A$1:$B$14,2,0),IF(LEFT(A1054,1)="A",IF(VALUE(MID(A1054,2,10))&lt;10,"A00"&amp;VALUE(MID(A1054,2,10)),IF(VALUE(MID(A1054,2,10))&lt;100,"A0"&amp;VALUE(MID(A1054,2,10)),IF(VALUE(MID(A1054,2,10))&lt;1000,"A"&amp;VALUE(MID(A1054,2,10))))),IF(LEFT(A1054,1)="B",IF(VALUE(MID(A1054,2,10))&lt;10,"B00"&amp;VALUE(MID(A1054,2,10)),IF(VALUE(MID(A1054,2,10))&lt;100,"B0"&amp;VALUE(MID(A1054,2,10)),IF(VALUE(MID(A1054,2,10))&lt;1000,"B"&amp;VALUE(MID(A1054,2,10))))),A1054)),"_",IF(NOT(OR(C1054=1000,C1054&gt;1000)),MID(TEXT((C1054+1000)*1000,0),2,6),"keine Meter in Spalte km!!!"),IF(VALUE(I1054)=1,CONCATENATE("_",VLOOKUP(IF(V1054&gt;0,V1054,J1054),[1]Grundlage!$A$20:$B$181,2,0)),CONCATENATE("_",B1054))))</f>
        <v>UQ_A003_548000_N</v>
      </c>
      <c r="F1054" s="2" t="s">
        <v>681</v>
      </c>
      <c r="G1054" s="167">
        <f t="shared" si="200"/>
        <v>1199</v>
      </c>
      <c r="H1054">
        <f t="shared" si="201"/>
        <v>125</v>
      </c>
      <c r="I1054" s="2">
        <f t="shared" si="204"/>
        <v>3</v>
      </c>
      <c r="J1054" s="2">
        <f t="shared" si="205"/>
        <v>21</v>
      </c>
      <c r="K1054" s="13">
        <v>210</v>
      </c>
      <c r="L1054" s="2">
        <f t="shared" si="206"/>
        <v>13</v>
      </c>
      <c r="M1054" s="2">
        <f t="shared" si="207"/>
        <v>1</v>
      </c>
      <c r="N1054" s="2">
        <f t="shared" si="208"/>
        <v>8</v>
      </c>
      <c r="P1054" s="168">
        <v>67</v>
      </c>
      <c r="AT1054" s="19">
        <v>3</v>
      </c>
      <c r="AU1054" s="14">
        <v>21</v>
      </c>
      <c r="AV1054" s="14">
        <v>15</v>
      </c>
      <c r="AW1054" s="13"/>
      <c r="AX1054" s="13"/>
      <c r="AY1054" s="19">
        <v>1</v>
      </c>
      <c r="AZ1054" s="14">
        <v>8</v>
      </c>
      <c r="BA1054" s="14">
        <v>8</v>
      </c>
      <c r="BB1054" s="13" t="s">
        <v>425</v>
      </c>
      <c r="BF1054" s="19" t="s">
        <v>487</v>
      </c>
    </row>
    <row r="1055" spans="1:58" ht="14.25" x14ac:dyDescent="0.2">
      <c r="A1055" t="str">
        <f t="shared" si="202"/>
        <v>A3</v>
      </c>
      <c r="B1055" s="2" t="s">
        <v>656</v>
      </c>
      <c r="C1055">
        <f t="shared" si="203"/>
        <v>548</v>
      </c>
      <c r="D1055" t="str">
        <f t="shared" si="210"/>
        <v>UFD</v>
      </c>
      <c r="E1055" s="169" t="str">
        <f>IF(OR(A1055="",B1055="",C1055=""),"eine der Spalten BAB, FR, km leer?",CONCATENATE(VLOOKUP(VALUE(I1055),[1]Grundlage!$A$1:$B$14,2,0),IF(LEFT(A1055,1)="A",IF(VALUE(MID(A1055,2,10))&lt;10,"A00"&amp;VALUE(MID(A1055,2,10)),IF(VALUE(MID(A1055,2,10))&lt;100,"A0"&amp;VALUE(MID(A1055,2,10)),IF(VALUE(MID(A1055,2,10))&lt;1000,"A"&amp;VALUE(MID(A1055,2,10))))),IF(LEFT(A1055,1)="B",IF(VALUE(MID(A1055,2,10))&lt;10,"B00"&amp;VALUE(MID(A1055,2,10)),IF(VALUE(MID(A1055,2,10))&lt;100,"B0"&amp;VALUE(MID(A1055,2,10)),IF(VALUE(MID(A1055,2,10))&lt;1000,"B"&amp;VALUE(MID(A1055,2,10))))),A1055)),"_",IF(NOT(OR(C1055=1000,C1055&gt;1000)),MID(TEXT((C1055+1000)*1000,0),2,6),"keine Meter in Spalte km!!!"),IF(VALUE(I1055)=1,CONCATENATE("_",VLOOKUP(IF(V1055&gt;0,V1055,J1055),[1]Grundlage!$A$20:$B$181,2,0)),CONCATENATE("_",B1055))))</f>
        <v>UQ_A003_548000_N</v>
      </c>
      <c r="F1055" s="2" t="s">
        <v>41</v>
      </c>
      <c r="G1055" s="167">
        <f t="shared" si="200"/>
        <v>1199</v>
      </c>
      <c r="H1055">
        <f t="shared" si="201"/>
        <v>125</v>
      </c>
      <c r="I1055" s="2">
        <f t="shared" si="204"/>
        <v>3</v>
      </c>
      <c r="J1055" s="2">
        <f t="shared" si="205"/>
        <v>24</v>
      </c>
      <c r="K1055" s="13">
        <v>210</v>
      </c>
      <c r="L1055" s="2">
        <f t="shared" si="206"/>
        <v>13</v>
      </c>
      <c r="M1055" s="2">
        <f t="shared" si="207"/>
        <v>1</v>
      </c>
      <c r="N1055" s="2">
        <f t="shared" si="208"/>
        <v>9</v>
      </c>
      <c r="P1055" s="168">
        <f t="shared" si="209"/>
        <v>69</v>
      </c>
      <c r="AT1055" s="19">
        <v>3</v>
      </c>
      <c r="AU1055" s="14">
        <v>24</v>
      </c>
      <c r="AV1055" s="14">
        <v>18</v>
      </c>
      <c r="AW1055" s="13"/>
      <c r="AX1055" s="13"/>
      <c r="AY1055" s="19">
        <v>1</v>
      </c>
      <c r="AZ1055" s="14">
        <v>9</v>
      </c>
      <c r="BA1055" s="14">
        <v>9</v>
      </c>
      <c r="BB1055" s="13" t="s">
        <v>41</v>
      </c>
      <c r="BF1055" s="19" t="s">
        <v>562</v>
      </c>
    </row>
    <row r="1056" spans="1:58" ht="14.25" x14ac:dyDescent="0.2">
      <c r="A1056" t="str">
        <f t="shared" si="202"/>
        <v>A3</v>
      </c>
      <c r="B1056" s="2" t="s">
        <v>656</v>
      </c>
      <c r="C1056">
        <f t="shared" si="203"/>
        <v>548</v>
      </c>
      <c r="D1056" t="str">
        <f t="shared" si="210"/>
        <v>UFD</v>
      </c>
      <c r="E1056" s="169" t="str">
        <f>IF(OR(A1056="",B1056="",C1056=""),"eine der Spalten BAB, FR, km leer?",CONCATENATE(VLOOKUP(VALUE(I1056),[1]Grundlage!$A$1:$B$14,2,0),IF(LEFT(A1056,1)="A",IF(VALUE(MID(A1056,2,10))&lt;10,"A00"&amp;VALUE(MID(A1056,2,10)),IF(VALUE(MID(A1056,2,10))&lt;100,"A0"&amp;VALUE(MID(A1056,2,10)),IF(VALUE(MID(A1056,2,10))&lt;1000,"A"&amp;VALUE(MID(A1056,2,10))))),IF(LEFT(A1056,1)="B",IF(VALUE(MID(A1056,2,10))&lt;10,"B00"&amp;VALUE(MID(A1056,2,10)),IF(VALUE(MID(A1056,2,10))&lt;100,"B0"&amp;VALUE(MID(A1056,2,10)),IF(VALUE(MID(A1056,2,10))&lt;1000,"B"&amp;VALUE(MID(A1056,2,10))))),A1056)),"_",IF(NOT(OR(C1056=1000,C1056&gt;1000)),MID(TEXT((C1056+1000)*1000,0),2,6),"keine Meter in Spalte km!!!"),IF(VALUE(I1056)=1,CONCATENATE("_",VLOOKUP(IF(V1056&gt;0,V1056,J1056),[1]Grundlage!$A$20:$B$181,2,0)),CONCATENATE("_",B1056))))</f>
        <v>UQ_A003_548000_N</v>
      </c>
      <c r="F1056" s="2" t="s">
        <v>271</v>
      </c>
      <c r="G1056" s="167">
        <f t="shared" si="200"/>
        <v>1199</v>
      </c>
      <c r="H1056">
        <f t="shared" si="201"/>
        <v>125</v>
      </c>
      <c r="I1056" s="2">
        <f t="shared" si="204"/>
        <v>3</v>
      </c>
      <c r="J1056" s="2">
        <f t="shared" si="205"/>
        <v>17</v>
      </c>
      <c r="K1056" s="13">
        <v>210</v>
      </c>
      <c r="L1056" s="2">
        <f t="shared" si="206"/>
        <v>13</v>
      </c>
      <c r="M1056" s="2">
        <f t="shared" si="207"/>
        <v>1</v>
      </c>
      <c r="N1056" s="2">
        <f t="shared" si="208"/>
        <v>10</v>
      </c>
      <c r="P1056" s="168">
        <f t="shared" si="209"/>
        <v>53</v>
      </c>
      <c r="AT1056" s="19">
        <v>3</v>
      </c>
      <c r="AU1056" s="14">
        <v>17</v>
      </c>
      <c r="AV1056" s="14">
        <v>11</v>
      </c>
      <c r="AW1056" s="13"/>
      <c r="AX1056" s="13"/>
      <c r="AY1056" s="19">
        <v>1</v>
      </c>
      <c r="AZ1056" s="14">
        <v>10</v>
      </c>
      <c r="BA1056" s="14" t="s">
        <v>95</v>
      </c>
      <c r="BB1056" s="13" t="s">
        <v>271</v>
      </c>
      <c r="BF1056" s="19" t="s">
        <v>444</v>
      </c>
    </row>
    <row r="1057" spans="1:58" ht="14.25" x14ac:dyDescent="0.2">
      <c r="A1057" t="str">
        <f t="shared" si="202"/>
        <v>A3</v>
      </c>
      <c r="B1057" s="2" t="s">
        <v>656</v>
      </c>
      <c r="C1057">
        <f t="shared" si="203"/>
        <v>548</v>
      </c>
      <c r="D1057" t="str">
        <f t="shared" si="210"/>
        <v>UFD</v>
      </c>
      <c r="E1057" s="169" t="str">
        <f>IF(OR(A1057="",B1057="",C1057=""),"eine der Spalten BAB, FR, km leer?",CONCATENATE(VLOOKUP(VALUE(I1057),[1]Grundlage!$A$1:$B$14,2,0),IF(LEFT(A1057,1)="A",IF(VALUE(MID(A1057,2,10))&lt;10,"A00"&amp;VALUE(MID(A1057,2,10)),IF(VALUE(MID(A1057,2,10))&lt;100,"A0"&amp;VALUE(MID(A1057,2,10)),IF(VALUE(MID(A1057,2,10))&lt;1000,"A"&amp;VALUE(MID(A1057,2,10))))),IF(LEFT(A1057,1)="B",IF(VALUE(MID(A1057,2,10))&lt;10,"B00"&amp;VALUE(MID(A1057,2,10)),IF(VALUE(MID(A1057,2,10))&lt;100,"B0"&amp;VALUE(MID(A1057,2,10)),IF(VALUE(MID(A1057,2,10))&lt;1000,"B"&amp;VALUE(MID(A1057,2,10))))),A1057)),"_",IF(NOT(OR(C1057=1000,C1057&gt;1000)),MID(TEXT((C1057+1000)*1000,0),2,6),"keine Meter in Spalte km!!!"),IF(VALUE(I1057)=1,CONCATENATE("_",VLOOKUP(IF(V1057&gt;0,V1057,J1057),[1]Grundlage!$A$20:$B$181,2,0)),CONCATENATE("_",B1057))))</f>
        <v>UQ_A003_548000_N</v>
      </c>
      <c r="F1057" s="2" t="s">
        <v>682</v>
      </c>
      <c r="G1057" s="167">
        <f t="shared" si="200"/>
        <v>1199</v>
      </c>
      <c r="H1057">
        <f t="shared" si="201"/>
        <v>125</v>
      </c>
      <c r="I1057" s="2">
        <f t="shared" si="204"/>
        <v>3</v>
      </c>
      <c r="J1057" s="2">
        <f t="shared" si="205"/>
        <v>82</v>
      </c>
      <c r="K1057" s="13">
        <v>210</v>
      </c>
      <c r="L1057" s="2">
        <f t="shared" si="206"/>
        <v>13</v>
      </c>
      <c r="M1057" s="2">
        <f t="shared" si="207"/>
        <v>1</v>
      </c>
      <c r="N1057" s="2">
        <f t="shared" si="208"/>
        <v>11</v>
      </c>
      <c r="P1057" s="168">
        <v>72</v>
      </c>
      <c r="AT1057" s="19">
        <v>3</v>
      </c>
      <c r="AU1057" s="14">
        <v>82</v>
      </c>
      <c r="AV1057" s="14">
        <v>52</v>
      </c>
      <c r="AW1057" s="13"/>
      <c r="AX1057" s="13"/>
      <c r="AY1057" s="19">
        <v>1</v>
      </c>
      <c r="AZ1057" s="14">
        <v>11</v>
      </c>
      <c r="BA1057" s="135" t="s">
        <v>78</v>
      </c>
      <c r="BB1057" s="13" t="s">
        <v>373</v>
      </c>
      <c r="BF1057" s="19" t="s">
        <v>488</v>
      </c>
    </row>
    <row r="1058" spans="1:58" ht="14.25" x14ac:dyDescent="0.2">
      <c r="A1058" t="str">
        <f t="shared" si="202"/>
        <v>A3</v>
      </c>
      <c r="B1058" s="2" t="s">
        <v>656</v>
      </c>
      <c r="C1058">
        <f t="shared" si="203"/>
        <v>548</v>
      </c>
      <c r="D1058" t="str">
        <f t="shared" si="210"/>
        <v>UFD</v>
      </c>
      <c r="E1058" s="169" t="str">
        <f>IF(OR(A1058="",B1058="",C1058=""),"eine der Spalten BAB, FR, km leer?",CONCATENATE(VLOOKUP(VALUE(I1058),[1]Grundlage!$A$1:$B$14,2,0),IF(LEFT(A1058,1)="A",IF(VALUE(MID(A1058,2,10))&lt;10,"A00"&amp;VALUE(MID(A1058,2,10)),IF(VALUE(MID(A1058,2,10))&lt;100,"A0"&amp;VALUE(MID(A1058,2,10)),IF(VALUE(MID(A1058,2,10))&lt;1000,"A"&amp;VALUE(MID(A1058,2,10))))),IF(LEFT(A1058,1)="B",IF(VALUE(MID(A1058,2,10))&lt;10,"B00"&amp;VALUE(MID(A1058,2,10)),IF(VALUE(MID(A1058,2,10))&lt;100,"B0"&amp;VALUE(MID(A1058,2,10)),IF(VALUE(MID(A1058,2,10))&lt;1000,"B"&amp;VALUE(MID(A1058,2,10))))),A1058)),"_",IF(NOT(OR(C1058=1000,C1058&gt;1000)),MID(TEXT((C1058+1000)*1000,0),2,6),"keine Meter in Spalte km!!!"),IF(VALUE(I1058)=1,CONCATENATE("_",VLOOKUP(IF(V1058&gt;0,V1058,J1058),[1]Grundlage!$A$20:$B$181,2,0)),CONCATENATE("_",B1058))))</f>
        <v>UQ_A003_548000_N</v>
      </c>
      <c r="F1058" s="2" t="s">
        <v>689</v>
      </c>
      <c r="G1058" s="167">
        <f t="shared" si="200"/>
        <v>1199</v>
      </c>
      <c r="H1058">
        <f t="shared" si="201"/>
        <v>125</v>
      </c>
      <c r="I1058" s="2">
        <f t="shared" si="204"/>
        <v>3</v>
      </c>
      <c r="J1058" s="2">
        <f t="shared" si="205"/>
        <v>10</v>
      </c>
      <c r="K1058" s="13">
        <v>210</v>
      </c>
      <c r="L1058" s="2">
        <f t="shared" si="206"/>
        <v>13</v>
      </c>
      <c r="M1058" s="2">
        <f t="shared" si="207"/>
        <v>1</v>
      </c>
      <c r="N1058" s="2">
        <f t="shared" si="208"/>
        <v>12</v>
      </c>
      <c r="P1058" s="168">
        <v>70</v>
      </c>
      <c r="AT1058" s="19">
        <v>3</v>
      </c>
      <c r="AU1058" s="14">
        <v>10</v>
      </c>
      <c r="AV1058" s="14" t="s">
        <v>95</v>
      </c>
      <c r="AW1058" s="13"/>
      <c r="AX1058" s="13"/>
      <c r="AY1058" s="19">
        <v>1</v>
      </c>
      <c r="AZ1058" s="14">
        <v>12</v>
      </c>
      <c r="BA1058" s="135" t="s">
        <v>79</v>
      </c>
      <c r="BB1058" s="13" t="s">
        <v>374</v>
      </c>
      <c r="BF1058" s="19" t="s">
        <v>583</v>
      </c>
    </row>
    <row r="1059" spans="1:58" ht="14.25" x14ac:dyDescent="0.2">
      <c r="A1059" t="str">
        <f t="shared" si="202"/>
        <v>A3</v>
      </c>
      <c r="B1059" s="2" t="s">
        <v>656</v>
      </c>
      <c r="C1059">
        <f t="shared" si="203"/>
        <v>548</v>
      </c>
      <c r="D1059" t="str">
        <f t="shared" si="210"/>
        <v>UFD</v>
      </c>
      <c r="E1059" s="169" t="str">
        <f>IF(OR(A1059="",B1059="",C1059=""),"eine der Spalten BAB, FR, km leer?",CONCATENATE(VLOOKUP(VALUE(I1059),[1]Grundlage!$A$1:$B$14,2,0),IF(LEFT(A1059,1)="A",IF(VALUE(MID(A1059,2,10))&lt;10,"A00"&amp;VALUE(MID(A1059,2,10)),IF(VALUE(MID(A1059,2,10))&lt;100,"A0"&amp;VALUE(MID(A1059,2,10)),IF(VALUE(MID(A1059,2,10))&lt;1000,"A"&amp;VALUE(MID(A1059,2,10))))),IF(LEFT(A1059,1)="B",IF(VALUE(MID(A1059,2,10))&lt;10,"B00"&amp;VALUE(MID(A1059,2,10)),IF(VALUE(MID(A1059,2,10))&lt;100,"B0"&amp;VALUE(MID(A1059,2,10)),IF(VALUE(MID(A1059,2,10))&lt;1000,"B"&amp;VALUE(MID(A1059,2,10))))),A1059)),"_",IF(NOT(OR(C1059=1000,C1059&gt;1000)),MID(TEXT((C1059+1000)*1000,0),2,6),"keine Meter in Spalte km!!!"),IF(VALUE(I1059)=1,CONCATENATE("_",VLOOKUP(IF(V1059&gt;0,V1059,J1059),[1]Grundlage!$A$20:$B$181,2,0)),CONCATENATE("_",B1059))))</f>
        <v>UQ_A003_548000_N</v>
      </c>
      <c r="F1059" s="2" t="s">
        <v>690</v>
      </c>
      <c r="G1059" s="167">
        <f t="shared" si="200"/>
        <v>1199</v>
      </c>
      <c r="H1059">
        <f t="shared" si="201"/>
        <v>125</v>
      </c>
      <c r="I1059" s="2">
        <f t="shared" si="204"/>
        <v>3</v>
      </c>
      <c r="J1059" s="2">
        <f t="shared" si="205"/>
        <v>16</v>
      </c>
      <c r="K1059" s="13">
        <v>210</v>
      </c>
      <c r="L1059" s="2">
        <f t="shared" si="206"/>
        <v>13</v>
      </c>
      <c r="M1059" s="2">
        <f t="shared" si="207"/>
        <v>1</v>
      </c>
      <c r="N1059" s="2">
        <f t="shared" si="208"/>
        <v>13</v>
      </c>
      <c r="P1059" s="168">
        <v>65</v>
      </c>
      <c r="AT1059" s="19">
        <v>3</v>
      </c>
      <c r="AU1059" s="14">
        <v>16</v>
      </c>
      <c r="AV1059" s="14">
        <v>10</v>
      </c>
      <c r="AW1059" s="13"/>
      <c r="AX1059" s="13"/>
      <c r="AY1059" s="19">
        <v>1</v>
      </c>
      <c r="AZ1059" s="14">
        <v>13</v>
      </c>
      <c r="BA1059" s="135" t="s">
        <v>80</v>
      </c>
      <c r="BB1059" s="13" t="s">
        <v>426</v>
      </c>
      <c r="BF1059" s="19" t="s">
        <v>584</v>
      </c>
    </row>
    <row r="1060" spans="1:58" ht="13.5" customHeight="1" x14ac:dyDescent="0.2">
      <c r="A1060" t="str">
        <f t="shared" si="202"/>
        <v>A3</v>
      </c>
      <c r="B1060" s="2" t="s">
        <v>656</v>
      </c>
      <c r="C1060">
        <f t="shared" si="203"/>
        <v>548</v>
      </c>
      <c r="D1060" t="str">
        <f t="shared" si="210"/>
        <v>UFD</v>
      </c>
      <c r="E1060" s="169" t="str">
        <f>IF(OR(A1060="",B1060="",C1060=""),"eine der Spalten BAB, FR, km leer?",CONCATENATE(VLOOKUP(VALUE(I1060),[1]Grundlage!$A$1:$B$14,2,0),IF(LEFT(A1060,1)="A",IF(VALUE(MID(A1060,2,10))&lt;10,"A00"&amp;VALUE(MID(A1060,2,10)),IF(VALUE(MID(A1060,2,10))&lt;100,"A0"&amp;VALUE(MID(A1060,2,10)),IF(VALUE(MID(A1060,2,10))&lt;1000,"A"&amp;VALUE(MID(A1060,2,10))))),IF(LEFT(A1060,1)="B",IF(VALUE(MID(A1060,2,10))&lt;10,"B00"&amp;VALUE(MID(A1060,2,10)),IF(VALUE(MID(A1060,2,10))&lt;100,"B0"&amp;VALUE(MID(A1060,2,10)),IF(VALUE(MID(A1060,2,10))&lt;1000,"B"&amp;VALUE(MID(A1060,2,10))))),A1060)),"_",IF(NOT(OR(C1060=1000,C1060&gt;1000)),MID(TEXT((C1060+1000)*1000,0),2,6),"keine Meter in Spalte km!!!"),IF(VALUE(I1060)=1,CONCATENATE("_",VLOOKUP(IF(V1060&gt;0,V1060,J1060),[1]Grundlage!$A$20:$B$181,2,0)),CONCATENATE("_",B1060))))</f>
        <v>UQ_A003_548000_N</v>
      </c>
      <c r="F1060" s="2" t="s">
        <v>691</v>
      </c>
      <c r="G1060" s="167">
        <f t="shared" si="200"/>
        <v>1199</v>
      </c>
      <c r="H1060">
        <f t="shared" si="201"/>
        <v>125</v>
      </c>
      <c r="I1060" s="2">
        <f t="shared" si="204"/>
        <v>3</v>
      </c>
      <c r="J1060" s="2">
        <f t="shared" si="205"/>
        <v>20</v>
      </c>
      <c r="K1060" s="13">
        <v>210</v>
      </c>
      <c r="L1060" s="2">
        <f t="shared" si="206"/>
        <v>13</v>
      </c>
      <c r="M1060" s="2">
        <f t="shared" si="207"/>
        <v>1</v>
      </c>
      <c r="N1060" s="2">
        <f t="shared" si="208"/>
        <v>14</v>
      </c>
      <c r="P1060" s="168">
        <v>49</v>
      </c>
      <c r="AT1060" s="19">
        <v>3</v>
      </c>
      <c r="AU1060" s="14">
        <v>20</v>
      </c>
      <c r="AV1060" s="14">
        <v>14</v>
      </c>
      <c r="AW1060" s="13"/>
      <c r="AX1060" s="13"/>
      <c r="AY1060" s="19">
        <v>1</v>
      </c>
      <c r="AZ1060" s="14">
        <v>14</v>
      </c>
      <c r="BA1060" s="135" t="s">
        <v>343</v>
      </c>
      <c r="BB1060" s="13" t="s">
        <v>375</v>
      </c>
      <c r="BF1060" s="19" t="s">
        <v>585</v>
      </c>
    </row>
    <row r="1061" spans="1:58" ht="14.25" x14ac:dyDescent="0.2">
      <c r="A1061" t="str">
        <f t="shared" si="202"/>
        <v>A3</v>
      </c>
      <c r="B1061" s="2" t="s">
        <v>656</v>
      </c>
      <c r="C1061">
        <f t="shared" si="203"/>
        <v>548</v>
      </c>
      <c r="D1061" t="str">
        <f t="shared" si="210"/>
        <v>UFD</v>
      </c>
      <c r="E1061" s="169" t="str">
        <f>IF(OR(A1061="",B1061="",C1061=""),"eine der Spalten BAB, FR, km leer?",CONCATENATE(VLOOKUP(VALUE(I1061),[1]Grundlage!$A$1:$B$14,2,0),IF(LEFT(A1061,1)="A",IF(VALUE(MID(A1061,2,10))&lt;10,"A00"&amp;VALUE(MID(A1061,2,10)),IF(VALUE(MID(A1061,2,10))&lt;100,"A0"&amp;VALUE(MID(A1061,2,10)),IF(VALUE(MID(A1061,2,10))&lt;1000,"A"&amp;VALUE(MID(A1061,2,10))))),IF(LEFT(A1061,1)="B",IF(VALUE(MID(A1061,2,10))&lt;10,"B00"&amp;VALUE(MID(A1061,2,10)),IF(VALUE(MID(A1061,2,10))&lt;100,"B0"&amp;VALUE(MID(A1061,2,10)),IF(VALUE(MID(A1061,2,10))&lt;1000,"B"&amp;VALUE(MID(A1061,2,10))))),A1061)),"_",IF(NOT(OR(C1061=1000,C1061&gt;1000)),MID(TEXT((C1061+1000)*1000,0),2,6),"keine Meter in Spalte km!!!"),IF(VALUE(I1061)=1,CONCATENATE("_",VLOOKUP(IF(V1061&gt;0,V1061,J1061),[1]Grundlage!$A$20:$B$181,2,0)),CONCATENATE("_",B1061))))</f>
        <v>UQ_A003_548000_N</v>
      </c>
      <c r="F1061" s="2" t="s">
        <v>699</v>
      </c>
      <c r="G1061" s="167">
        <f t="shared" si="200"/>
        <v>1199</v>
      </c>
      <c r="H1061">
        <f t="shared" si="201"/>
        <v>125</v>
      </c>
      <c r="I1061" s="2">
        <f t="shared" si="204"/>
        <v>3</v>
      </c>
      <c r="J1061" s="2">
        <f t="shared" si="205"/>
        <v>102</v>
      </c>
      <c r="K1061" s="13">
        <v>210</v>
      </c>
      <c r="L1061" s="2">
        <f t="shared" si="206"/>
        <v>13</v>
      </c>
      <c r="M1061" s="2">
        <f t="shared" si="207"/>
        <v>1</v>
      </c>
      <c r="N1061" s="2">
        <f t="shared" si="208"/>
        <v>15</v>
      </c>
      <c r="P1061" s="168">
        <v>72</v>
      </c>
      <c r="AT1061" s="19">
        <v>3</v>
      </c>
      <c r="AU1061" s="14">
        <v>102</v>
      </c>
      <c r="AV1061" s="14">
        <v>66</v>
      </c>
      <c r="AW1061" s="13"/>
      <c r="AX1061" s="13"/>
      <c r="AY1061" s="19">
        <v>1</v>
      </c>
      <c r="AZ1061" s="14">
        <v>15</v>
      </c>
      <c r="BA1061" s="135" t="s">
        <v>82</v>
      </c>
      <c r="BB1061" s="13" t="s">
        <v>376</v>
      </c>
      <c r="BF1061" s="19" t="s">
        <v>588</v>
      </c>
    </row>
    <row r="1062" spans="1:58" ht="14.25" x14ac:dyDescent="0.2">
      <c r="A1062" t="str">
        <f t="shared" si="202"/>
        <v>A3</v>
      </c>
      <c r="C1062">
        <f t="shared" si="203"/>
        <v>548</v>
      </c>
      <c r="D1062" t="str">
        <f t="shared" si="210"/>
        <v/>
      </c>
      <c r="E1062" s="169" t="str">
        <f>IF(OR(A1062="",B1062="",C1062=""),"",CONCATENATE(VLOOKUP(VALUE(I1062),[1]Grundlage!$A$1:$B$14,2,0),IF(LEFT(A1062,1)="A",IF(VALUE(MID(A1062,2,10))&lt;10,"A00"&amp;VALUE(MID(A1062,2,10)),IF(VALUE(MID(A1062,2,10))&lt;100,"A0"&amp;VALUE(MID(A1062,2,10)),IF(VALUE(MID(A1062,2,10))&lt;1000,"A"&amp;VALUE(MID(A1062,2,10))))),IF(LEFT(A1062,1)="B",IF(VALUE(MID(A1062,2,10))&lt;10,"B00"&amp;VALUE(MID(A1062,2,10)),IF(VALUE(MID(A1062,2,10))&lt;100,"B0"&amp;VALUE(MID(A1062,2,10)),IF(VALUE(MID(A1062,2,10))&lt;1000,"B"&amp;VALUE(MID(A1062,2,10))))),A1062)),"_",IF(NOT(OR(C1062=1000,C1062&gt;1000)),MID(TEXT((C1062+1000)*1000,0),2,6),"keine Meter in Spalte km!!!"),IF(VALUE(I1062)=1,CONCATENATE("_",VLOOKUP(IF(V1062&gt;0,V1062,J1062),[1]Grundlage!$A$20:$B$181,2,0)),CONCATENATE("_",B1062))))</f>
        <v/>
      </c>
      <c r="F1062" s="2" t="s">
        <v>669</v>
      </c>
      <c r="G1062" s="167">
        <f t="shared" si="200"/>
        <v>1199</v>
      </c>
      <c r="H1062">
        <f t="shared" si="201"/>
        <v>125</v>
      </c>
      <c r="I1062" s="2">
        <f t="shared" si="204"/>
        <v>0</v>
      </c>
      <c r="J1062" s="2">
        <f t="shared" si="205"/>
        <v>0</v>
      </c>
      <c r="K1062" s="13">
        <v>210</v>
      </c>
      <c r="L1062" s="2">
        <f t="shared" si="206"/>
        <v>13</v>
      </c>
      <c r="M1062" s="2" t="str">
        <f t="shared" si="207"/>
        <v/>
      </c>
      <c r="N1062" s="2" t="str">
        <f t="shared" si="208"/>
        <v/>
      </c>
      <c r="P1062" s="168" t="str">
        <f t="shared" si="209"/>
        <v/>
      </c>
      <c r="AT1062" s="19"/>
      <c r="AU1062" s="14"/>
      <c r="AV1062" s="14"/>
      <c r="AY1062" s="1"/>
      <c r="AZ1062" s="14"/>
      <c r="BA1062" s="14"/>
      <c r="BB1062" s="13"/>
    </row>
    <row r="1063" spans="1:58" ht="14.25" x14ac:dyDescent="0.2">
      <c r="A1063" t="str">
        <f t="shared" si="202"/>
        <v>A3</v>
      </c>
      <c r="B1063" s="2" t="s">
        <v>655</v>
      </c>
      <c r="C1063">
        <f t="shared" si="203"/>
        <v>582.6</v>
      </c>
      <c r="D1063" t="str">
        <f t="shared" si="210"/>
        <v>SS</v>
      </c>
      <c r="E1063" s="169" t="str">
        <f>IF(OR(A1063="",B1063="",C1063=""),"eine der Spalten BAB, FR, km leer?",CONCATENATE(VLOOKUP(VALUE(I1063),[1]Grundlage!$A$1:$B$14,2,0),IF(LEFT(A1063,1)="A",IF(VALUE(MID(A1063,2,10))&lt;10,"A00"&amp;VALUE(MID(A1063,2,10)),IF(VALUE(MID(A1063,2,10))&lt;100,"A0"&amp;VALUE(MID(A1063,2,10)),IF(VALUE(MID(A1063,2,10))&lt;1000,"A"&amp;VALUE(MID(A1063,2,10))))),IF(LEFT(A1063,1)="B",IF(VALUE(MID(A1063,2,10))&lt;10,"B00"&amp;VALUE(MID(A1063,2,10)),IF(VALUE(MID(A1063,2,10))&lt;100,"B0"&amp;VALUE(MID(A1063,2,10)),IF(VALUE(MID(A1063,2,10))&lt;1000,"B"&amp;VALUE(MID(A1063,2,10))))),A1063)),"_",IF(NOT(OR(C1063=1000,C1063&gt;1000)),MID(TEXT((C1063+1000)*1000,0),2,6),"keine Meter in Spalte km!!!"),IF(VALUE(I1063)=1,CONCATENATE("_",VLOOKUP(IF(V1063&gt;0,V1063,J1063),[1]Grundlage!$A$20:$B$181,2,0)),CONCATENATE("_",B1063))))</f>
        <v>SSt_A003_582600_S</v>
      </c>
      <c r="F1063" s="2" t="s">
        <v>135</v>
      </c>
      <c r="G1063" s="167">
        <f t="shared" ref="G1063:G1106" si="211">IF(ISBLANK(AP1063),G1062,INT(AP1063/256))</f>
        <v>1201</v>
      </c>
      <c r="H1063">
        <f t="shared" ref="H1063:H1106" si="212">IF(ISBLANK(AP1063),H1062,MOD(AP1063,256))</f>
        <v>10</v>
      </c>
      <c r="I1063" s="2">
        <f t="shared" si="204"/>
        <v>254</v>
      </c>
      <c r="J1063" s="2">
        <f t="shared" si="205"/>
        <v>0</v>
      </c>
      <c r="K1063" s="13">
        <v>210</v>
      </c>
      <c r="L1063" s="2">
        <f t="shared" si="206"/>
        <v>14</v>
      </c>
      <c r="M1063" s="2" t="str">
        <f t="shared" si="207"/>
        <v/>
      </c>
      <c r="N1063" s="2" t="str">
        <f t="shared" si="208"/>
        <v/>
      </c>
      <c r="P1063" s="168" t="str">
        <f t="shared" si="209"/>
        <v/>
      </c>
      <c r="AI1063" s="35">
        <v>582.6</v>
      </c>
      <c r="AJ1063" s="36" t="s">
        <v>19</v>
      </c>
      <c r="AK1063" s="36" t="s">
        <v>62</v>
      </c>
      <c r="AL1063" s="36"/>
      <c r="AM1063" s="36"/>
      <c r="AN1063" s="36"/>
      <c r="AO1063" s="36"/>
      <c r="AP1063" s="42">
        <v>307466</v>
      </c>
      <c r="AQ1063" s="66" t="s">
        <v>234</v>
      </c>
      <c r="AR1063" s="47" t="s">
        <v>221</v>
      </c>
      <c r="AS1063" s="47" t="s">
        <v>95</v>
      </c>
      <c r="AT1063" s="36"/>
      <c r="AU1063" s="36"/>
      <c r="AV1063" s="36"/>
      <c r="AW1063" s="36"/>
      <c r="AX1063" s="36">
        <v>14</v>
      </c>
      <c r="AY1063" s="36"/>
      <c r="AZ1063" s="36"/>
      <c r="BA1063" s="36"/>
      <c r="BB1063" s="37" t="s">
        <v>135</v>
      </c>
      <c r="BC1063" s="38"/>
      <c r="BD1063" s="96" t="s">
        <v>163</v>
      </c>
      <c r="BE1063" s="39" t="s">
        <v>64</v>
      </c>
      <c r="BF1063" s="19" t="s">
        <v>582</v>
      </c>
    </row>
    <row r="1064" spans="1:58" ht="14.25" x14ac:dyDescent="0.2">
      <c r="A1064" t="str">
        <f t="shared" si="202"/>
        <v>A3</v>
      </c>
      <c r="B1064" s="2" t="s">
        <v>655</v>
      </c>
      <c r="C1064">
        <f t="shared" si="203"/>
        <v>582.6</v>
      </c>
      <c r="D1064" t="str">
        <f t="shared" si="210"/>
        <v>UFD</v>
      </c>
      <c r="E1064" s="169" t="str">
        <f>IF(OR(A1064="",B1064="",C1064=""),"eine der Spalten BAB, FR, km leer?",CONCATENATE(VLOOKUP(VALUE(I1064),[1]Grundlage!$A$1:$B$14,2,0),IF(LEFT(A1064,1)="A",IF(VALUE(MID(A1064,2,10))&lt;10,"A00"&amp;VALUE(MID(A1064,2,10)),IF(VALUE(MID(A1064,2,10))&lt;100,"A0"&amp;VALUE(MID(A1064,2,10)),IF(VALUE(MID(A1064,2,10))&lt;1000,"A"&amp;VALUE(MID(A1064,2,10))))),IF(LEFT(A1064,1)="B",IF(VALUE(MID(A1064,2,10))&lt;10,"B00"&amp;VALUE(MID(A1064,2,10)),IF(VALUE(MID(A1064,2,10))&lt;100,"B0"&amp;VALUE(MID(A1064,2,10)),IF(VALUE(MID(A1064,2,10))&lt;1000,"B"&amp;VALUE(MID(A1064,2,10))))),A1064)),"_",IF(NOT(OR(C1064=1000,C1064&gt;1000)),MID(TEXT((C1064+1000)*1000,0),2,6),"keine Meter in Spalte km!!!"),IF(VALUE(I1064)=1,CONCATENATE("_",VLOOKUP(IF(V1064&gt;0,V1064,J1064),[1]Grundlage!$A$20:$B$181,2,0)),CONCATENATE("_",B1064))))</f>
        <v>UQ_A003_582600_S</v>
      </c>
      <c r="F1064" s="2" t="s">
        <v>269</v>
      </c>
      <c r="G1064" s="167">
        <f t="shared" si="211"/>
        <v>1201</v>
      </c>
      <c r="H1064">
        <f t="shared" si="212"/>
        <v>10</v>
      </c>
      <c r="I1064" s="2">
        <f t="shared" si="204"/>
        <v>3</v>
      </c>
      <c r="J1064" s="2">
        <f t="shared" si="205"/>
        <v>6</v>
      </c>
      <c r="K1064" s="13">
        <v>210</v>
      </c>
      <c r="L1064" s="2">
        <f t="shared" si="206"/>
        <v>14</v>
      </c>
      <c r="M1064" s="2">
        <f t="shared" si="207"/>
        <v>1</v>
      </c>
      <c r="N1064" s="2">
        <f t="shared" si="208"/>
        <v>1</v>
      </c>
      <c r="P1064" s="168">
        <f t="shared" si="209"/>
        <v>71</v>
      </c>
      <c r="AP1064" s="40"/>
      <c r="AQ1064" s="40"/>
      <c r="AR1064" s="40"/>
      <c r="AS1064" s="40"/>
      <c r="AT1064" s="19">
        <v>3</v>
      </c>
      <c r="AU1064" s="14">
        <v>6</v>
      </c>
      <c r="AV1064" s="27">
        <v>6</v>
      </c>
      <c r="AW1064" s="19"/>
      <c r="AX1064" s="19"/>
      <c r="AY1064" s="19">
        <v>1</v>
      </c>
      <c r="AZ1064" s="14">
        <v>1</v>
      </c>
      <c r="BA1064" s="27"/>
      <c r="BB1064" s="13" t="s">
        <v>269</v>
      </c>
      <c r="BF1064" s="19" t="s">
        <v>440</v>
      </c>
    </row>
    <row r="1065" spans="1:58" ht="14.25" x14ac:dyDescent="0.2">
      <c r="A1065" t="str">
        <f t="shared" si="202"/>
        <v>A3</v>
      </c>
      <c r="B1065" s="2" t="s">
        <v>655</v>
      </c>
      <c r="C1065">
        <f t="shared" si="203"/>
        <v>582.6</v>
      </c>
      <c r="D1065" t="str">
        <f t="shared" si="210"/>
        <v>UFD</v>
      </c>
      <c r="E1065" s="169" t="str">
        <f>IF(OR(A1065="",B1065="",C1065=""),"eine der Spalten BAB, FR, km leer?",CONCATENATE(VLOOKUP(VALUE(I1065),[1]Grundlage!$A$1:$B$14,2,0),IF(LEFT(A1065,1)="A",IF(VALUE(MID(A1065,2,10))&lt;10,"A00"&amp;VALUE(MID(A1065,2,10)),IF(VALUE(MID(A1065,2,10))&lt;100,"A0"&amp;VALUE(MID(A1065,2,10)),IF(VALUE(MID(A1065,2,10))&lt;1000,"A"&amp;VALUE(MID(A1065,2,10))))),IF(LEFT(A1065,1)="B",IF(VALUE(MID(A1065,2,10))&lt;10,"B00"&amp;VALUE(MID(A1065,2,10)),IF(VALUE(MID(A1065,2,10))&lt;100,"B0"&amp;VALUE(MID(A1065,2,10)),IF(VALUE(MID(A1065,2,10))&lt;1000,"B"&amp;VALUE(MID(A1065,2,10))))),A1065)),"_",IF(NOT(OR(C1065=1000,C1065&gt;1000)),MID(TEXT((C1065+1000)*1000,0),2,6),"keine Meter in Spalte km!!!"),IF(VALUE(I1065)=1,CONCATENATE("_",VLOOKUP(IF(V1065&gt;0,V1065,J1065),[1]Grundlage!$A$20:$B$181,2,0)),CONCATENATE("_",B1065))))</f>
        <v>UQ_A003_582600_S</v>
      </c>
      <c r="F1065" s="2" t="s">
        <v>270</v>
      </c>
      <c r="G1065" s="167">
        <f t="shared" si="211"/>
        <v>1201</v>
      </c>
      <c r="H1065">
        <f t="shared" si="212"/>
        <v>10</v>
      </c>
      <c r="I1065" s="2">
        <f t="shared" si="204"/>
        <v>3</v>
      </c>
      <c r="J1065" s="2">
        <f t="shared" si="205"/>
        <v>11</v>
      </c>
      <c r="K1065" s="13">
        <v>210</v>
      </c>
      <c r="L1065" s="2">
        <f t="shared" si="206"/>
        <v>14</v>
      </c>
      <c r="M1065" s="2">
        <f t="shared" si="207"/>
        <v>1</v>
      </c>
      <c r="N1065" s="2">
        <f t="shared" si="208"/>
        <v>2</v>
      </c>
      <c r="P1065" s="168">
        <f t="shared" si="209"/>
        <v>70</v>
      </c>
      <c r="AT1065" s="19">
        <v>3</v>
      </c>
      <c r="AU1065" s="14">
        <v>11</v>
      </c>
      <c r="AV1065" s="14" t="s">
        <v>78</v>
      </c>
      <c r="AW1065" s="13"/>
      <c r="AX1065" s="13"/>
      <c r="AY1065" s="19">
        <f>AY1064</f>
        <v>1</v>
      </c>
      <c r="AZ1065" s="14">
        <v>2</v>
      </c>
      <c r="BA1065" s="14"/>
      <c r="BB1065" s="13" t="s">
        <v>270</v>
      </c>
      <c r="BF1065" s="19" t="s">
        <v>583</v>
      </c>
    </row>
    <row r="1066" spans="1:58" ht="14.25" x14ac:dyDescent="0.2">
      <c r="A1066" t="str">
        <f t="shared" si="202"/>
        <v>A3</v>
      </c>
      <c r="B1066" s="2" t="s">
        <v>655</v>
      </c>
      <c r="C1066">
        <f t="shared" si="203"/>
        <v>582.6</v>
      </c>
      <c r="D1066" t="str">
        <f t="shared" si="210"/>
        <v>UFD</v>
      </c>
      <c r="E1066" s="169" t="str">
        <f>IF(OR(A1066="",B1066="",C1066=""),"eine der Spalten BAB, FR, km leer?",CONCATENATE(VLOOKUP(VALUE(I1066),[1]Grundlage!$A$1:$B$14,2,0),IF(LEFT(A1066,1)="A",IF(VALUE(MID(A1066,2,10))&lt;10,"A00"&amp;VALUE(MID(A1066,2,10)),IF(VALUE(MID(A1066,2,10))&lt;100,"A0"&amp;VALUE(MID(A1066,2,10)),IF(VALUE(MID(A1066,2,10))&lt;1000,"A"&amp;VALUE(MID(A1066,2,10))))),IF(LEFT(A1066,1)="B",IF(VALUE(MID(A1066,2,10))&lt;10,"B00"&amp;VALUE(MID(A1066,2,10)),IF(VALUE(MID(A1066,2,10))&lt;100,"B0"&amp;VALUE(MID(A1066,2,10)),IF(VALUE(MID(A1066,2,10))&lt;1000,"B"&amp;VALUE(MID(A1066,2,10))))),A1066)),"_",IF(NOT(OR(C1066=1000,C1066&gt;1000)),MID(TEXT((C1066+1000)*1000,0),2,6),"keine Meter in Spalte km!!!"),IF(VALUE(I1066)=1,CONCATENATE("_",VLOOKUP(IF(V1066&gt;0,V1066,J1066),[1]Grundlage!$A$20:$B$181,2,0)),CONCATENATE("_",B1066))))</f>
        <v>UQ_A003_582600_S</v>
      </c>
      <c r="F1066" s="2" t="s">
        <v>25</v>
      </c>
      <c r="G1066" s="167">
        <f t="shared" si="211"/>
        <v>1201</v>
      </c>
      <c r="H1066">
        <f t="shared" si="212"/>
        <v>10</v>
      </c>
      <c r="I1066" s="2">
        <f t="shared" si="204"/>
        <v>3</v>
      </c>
      <c r="J1066" s="2">
        <f t="shared" si="205"/>
        <v>12</v>
      </c>
      <c r="K1066" s="13">
        <v>210</v>
      </c>
      <c r="L1066" s="2">
        <f t="shared" si="206"/>
        <v>14</v>
      </c>
      <c r="M1066" s="2">
        <f t="shared" si="207"/>
        <v>1</v>
      </c>
      <c r="N1066" s="2">
        <f t="shared" si="208"/>
        <v>3</v>
      </c>
      <c r="P1066" s="168">
        <f t="shared" si="209"/>
        <v>48</v>
      </c>
      <c r="AT1066" s="19">
        <v>3</v>
      </c>
      <c r="AU1066" s="14">
        <v>12</v>
      </c>
      <c r="AV1066" s="14" t="s">
        <v>79</v>
      </c>
      <c r="AW1066" s="13"/>
      <c r="AX1066" s="13"/>
      <c r="AY1066" s="19">
        <v>1</v>
      </c>
      <c r="AZ1066" s="14">
        <v>3</v>
      </c>
      <c r="BA1066" s="14">
        <v>10</v>
      </c>
      <c r="BB1066" s="13" t="s">
        <v>25</v>
      </c>
      <c r="BF1066" s="19" t="s">
        <v>441</v>
      </c>
    </row>
    <row r="1067" spans="1:58" ht="14.25" x14ac:dyDescent="0.2">
      <c r="A1067" t="str">
        <f t="shared" si="202"/>
        <v>A3</v>
      </c>
      <c r="B1067" s="2" t="s">
        <v>655</v>
      </c>
      <c r="C1067">
        <f t="shared" si="203"/>
        <v>582.6</v>
      </c>
      <c r="D1067" t="str">
        <f t="shared" si="210"/>
        <v>UFD</v>
      </c>
      <c r="E1067" s="169" t="str">
        <f>IF(OR(A1067="",B1067="",C1067=""),"eine der Spalten BAB, FR, km leer?",CONCATENATE(VLOOKUP(VALUE(I1067),[1]Grundlage!$A$1:$B$14,2,0),IF(LEFT(A1067,1)="A",IF(VALUE(MID(A1067,2,10))&lt;10,"A00"&amp;VALUE(MID(A1067,2,10)),IF(VALUE(MID(A1067,2,10))&lt;100,"A0"&amp;VALUE(MID(A1067,2,10)),IF(VALUE(MID(A1067,2,10))&lt;1000,"A"&amp;VALUE(MID(A1067,2,10))))),IF(LEFT(A1067,1)="B",IF(VALUE(MID(A1067,2,10))&lt;10,"B00"&amp;VALUE(MID(A1067,2,10)),IF(VALUE(MID(A1067,2,10))&lt;100,"B0"&amp;VALUE(MID(A1067,2,10)),IF(VALUE(MID(A1067,2,10))&lt;1000,"B"&amp;VALUE(MID(A1067,2,10))))),A1067)),"_",IF(NOT(OR(C1067=1000,C1067&gt;1000)),MID(TEXT((C1067+1000)*1000,0),2,6),"keine Meter in Spalte km!!!"),IF(VALUE(I1067)=1,CONCATENATE("_",VLOOKUP(IF(V1067&gt;0,V1067,J1067),[1]Grundlage!$A$20:$B$181,2,0)),CONCATENATE("_",B1067))))</f>
        <v>UQ_A003_582600_S</v>
      </c>
      <c r="F1067" s="2" t="s">
        <v>26</v>
      </c>
      <c r="G1067" s="167">
        <f t="shared" si="211"/>
        <v>1201</v>
      </c>
      <c r="H1067">
        <f t="shared" si="212"/>
        <v>10</v>
      </c>
      <c r="I1067" s="2">
        <f t="shared" si="204"/>
        <v>3</v>
      </c>
      <c r="J1067" s="2">
        <f t="shared" si="205"/>
        <v>13</v>
      </c>
      <c r="K1067" s="13">
        <v>210</v>
      </c>
      <c r="L1067" s="2">
        <f t="shared" si="206"/>
        <v>14</v>
      </c>
      <c r="M1067" s="2">
        <f t="shared" si="207"/>
        <v>1</v>
      </c>
      <c r="N1067" s="2">
        <f t="shared" si="208"/>
        <v>4</v>
      </c>
      <c r="P1067" s="168">
        <f t="shared" si="209"/>
        <v>55</v>
      </c>
      <c r="AT1067" s="19">
        <v>3</v>
      </c>
      <c r="AU1067" s="14">
        <v>13</v>
      </c>
      <c r="AV1067" s="14" t="s">
        <v>80</v>
      </c>
      <c r="AW1067" s="13"/>
      <c r="AX1067" s="13"/>
      <c r="AY1067" s="19">
        <v>1</v>
      </c>
      <c r="AZ1067" s="14">
        <v>4</v>
      </c>
      <c r="BA1067" s="14">
        <v>11</v>
      </c>
      <c r="BB1067" s="13" t="s">
        <v>26</v>
      </c>
      <c r="BF1067" s="19" t="s">
        <v>442</v>
      </c>
    </row>
    <row r="1068" spans="1:58" ht="13.5" customHeight="1" x14ac:dyDescent="0.2">
      <c r="A1068" t="str">
        <f t="shared" si="202"/>
        <v>A3</v>
      </c>
      <c r="B1068" s="2" t="s">
        <v>655</v>
      </c>
      <c r="C1068">
        <f t="shared" si="203"/>
        <v>582.6</v>
      </c>
      <c r="D1068" t="str">
        <f t="shared" si="210"/>
        <v>UFD</v>
      </c>
      <c r="E1068" s="169" t="str">
        <f>IF(OR(A1068="",B1068="",C1068=""),"eine der Spalten BAB, FR, km leer?",CONCATENATE(VLOOKUP(VALUE(I1068),[1]Grundlage!$A$1:$B$14,2,0),IF(LEFT(A1068,1)="A",IF(VALUE(MID(A1068,2,10))&lt;10,"A00"&amp;VALUE(MID(A1068,2,10)),IF(VALUE(MID(A1068,2,10))&lt;100,"A0"&amp;VALUE(MID(A1068,2,10)),IF(VALUE(MID(A1068,2,10))&lt;1000,"A"&amp;VALUE(MID(A1068,2,10))))),IF(LEFT(A1068,1)="B",IF(VALUE(MID(A1068,2,10))&lt;10,"B00"&amp;VALUE(MID(A1068,2,10)),IF(VALUE(MID(A1068,2,10))&lt;100,"B0"&amp;VALUE(MID(A1068,2,10)),IF(VALUE(MID(A1068,2,10))&lt;1000,"B"&amp;VALUE(MID(A1068,2,10))))),A1068)),"_",IF(NOT(OR(C1068=1000,C1068&gt;1000)),MID(TEXT((C1068+1000)*1000,0),2,6),"keine Meter in Spalte km!!!"),IF(VALUE(I1068)=1,CONCATENATE("_",VLOOKUP(IF(V1068&gt;0,V1068,J1068),[1]Grundlage!$A$20:$B$181,2,0)),CONCATENATE("_",B1068))))</f>
        <v>UQ_A003_582600_S</v>
      </c>
      <c r="F1068" s="2" t="s">
        <v>27</v>
      </c>
      <c r="G1068" s="167">
        <f t="shared" si="211"/>
        <v>1201</v>
      </c>
      <c r="H1068">
        <f t="shared" si="212"/>
        <v>10</v>
      </c>
      <c r="I1068" s="2">
        <f t="shared" si="204"/>
        <v>3</v>
      </c>
      <c r="J1068" s="2">
        <f t="shared" si="205"/>
        <v>14</v>
      </c>
      <c r="K1068" s="13">
        <v>210</v>
      </c>
      <c r="L1068" s="2">
        <f t="shared" si="206"/>
        <v>14</v>
      </c>
      <c r="M1068" s="2">
        <f t="shared" si="207"/>
        <v>1</v>
      </c>
      <c r="N1068" s="2">
        <f t="shared" si="208"/>
        <v>5</v>
      </c>
      <c r="P1068" s="168">
        <f t="shared" si="209"/>
        <v>66</v>
      </c>
      <c r="AT1068" s="19">
        <v>3</v>
      </c>
      <c r="AU1068" s="14">
        <v>14</v>
      </c>
      <c r="AV1068" s="14" t="s">
        <v>81</v>
      </c>
      <c r="AW1068" s="13"/>
      <c r="AX1068" s="13"/>
      <c r="AY1068" s="19">
        <v>1</v>
      </c>
      <c r="AZ1068" s="14">
        <v>5</v>
      </c>
      <c r="BA1068" s="14">
        <v>12</v>
      </c>
      <c r="BB1068" s="13" t="s">
        <v>27</v>
      </c>
      <c r="BF1068" s="19" t="s">
        <v>598</v>
      </c>
    </row>
    <row r="1069" spans="1:58" ht="14.25" x14ac:dyDescent="0.2">
      <c r="A1069" t="str">
        <f t="shared" si="202"/>
        <v>A3</v>
      </c>
      <c r="B1069" s="2" t="s">
        <v>655</v>
      </c>
      <c r="C1069">
        <f t="shared" si="203"/>
        <v>582.6</v>
      </c>
      <c r="D1069" t="str">
        <f t="shared" si="210"/>
        <v>UFD</v>
      </c>
      <c r="E1069" s="169" t="str">
        <f>IF(OR(A1069="",B1069="",C1069=""),"eine der Spalten BAB, FR, km leer?",CONCATENATE(VLOOKUP(VALUE(I1069),[1]Grundlage!$A$1:$B$14,2,0),IF(LEFT(A1069,1)="A",IF(VALUE(MID(A1069,2,10))&lt;10,"A00"&amp;VALUE(MID(A1069,2,10)),IF(VALUE(MID(A1069,2,10))&lt;100,"A0"&amp;VALUE(MID(A1069,2,10)),IF(VALUE(MID(A1069,2,10))&lt;1000,"A"&amp;VALUE(MID(A1069,2,10))))),IF(LEFT(A1069,1)="B",IF(VALUE(MID(A1069,2,10))&lt;10,"B00"&amp;VALUE(MID(A1069,2,10)),IF(VALUE(MID(A1069,2,10))&lt;100,"B0"&amp;VALUE(MID(A1069,2,10)),IF(VALUE(MID(A1069,2,10))&lt;1000,"B"&amp;VALUE(MID(A1069,2,10))))),A1069)),"_",IF(NOT(OR(C1069=1000,C1069&gt;1000)),MID(TEXT((C1069+1000)*1000,0),2,6),"keine Meter in Spalte km!!!"),IF(VALUE(I1069)=1,CONCATENATE("_",VLOOKUP(IF(V1069&gt;0,V1069,J1069),[1]Grundlage!$A$20:$B$181,2,0)),CONCATENATE("_",B1069))))</f>
        <v>UQ_A003_582600_S</v>
      </c>
      <c r="F1069" s="2" t="s">
        <v>28</v>
      </c>
      <c r="G1069" s="167">
        <f t="shared" si="211"/>
        <v>1201</v>
      </c>
      <c r="H1069">
        <f t="shared" si="212"/>
        <v>10</v>
      </c>
      <c r="I1069" s="2">
        <f t="shared" si="204"/>
        <v>3</v>
      </c>
      <c r="J1069" s="2">
        <f t="shared" si="205"/>
        <v>15</v>
      </c>
      <c r="K1069" s="13">
        <v>210</v>
      </c>
      <c r="L1069" s="2">
        <f t="shared" si="206"/>
        <v>14</v>
      </c>
      <c r="M1069" s="2">
        <f t="shared" si="207"/>
        <v>1</v>
      </c>
      <c r="N1069" s="2">
        <f t="shared" si="208"/>
        <v>6</v>
      </c>
      <c r="P1069" s="168">
        <f t="shared" si="209"/>
        <v>65</v>
      </c>
      <c r="AT1069" s="19">
        <v>3</v>
      </c>
      <c r="AU1069" s="14">
        <v>15</v>
      </c>
      <c r="AV1069" s="14" t="s">
        <v>82</v>
      </c>
      <c r="AW1069" s="13"/>
      <c r="AX1069" s="13"/>
      <c r="AY1069" s="19">
        <v>1</v>
      </c>
      <c r="AZ1069" s="14">
        <v>6</v>
      </c>
      <c r="BA1069" s="14">
        <v>13</v>
      </c>
      <c r="BB1069" s="13" t="s">
        <v>28</v>
      </c>
      <c r="BF1069" s="19" t="s">
        <v>584</v>
      </c>
    </row>
    <row r="1070" spans="1:58" ht="14.25" x14ac:dyDescent="0.2">
      <c r="A1070" t="str">
        <f t="shared" si="202"/>
        <v>A3</v>
      </c>
      <c r="B1070" s="2" t="s">
        <v>655</v>
      </c>
      <c r="C1070">
        <f t="shared" si="203"/>
        <v>582.6</v>
      </c>
      <c r="D1070" t="str">
        <f t="shared" si="210"/>
        <v>UFD</v>
      </c>
      <c r="E1070" s="169" t="str">
        <f>IF(OR(A1070="",B1070="",C1070=""),"eine der Spalten BAB, FR, km leer?",CONCATENATE(VLOOKUP(VALUE(I1070),[1]Grundlage!$A$1:$B$14,2,0),IF(LEFT(A1070,1)="A",IF(VALUE(MID(A1070,2,10))&lt;10,"A00"&amp;VALUE(MID(A1070,2,10)),IF(VALUE(MID(A1070,2,10))&lt;100,"A0"&amp;VALUE(MID(A1070,2,10)),IF(VALUE(MID(A1070,2,10))&lt;1000,"A"&amp;VALUE(MID(A1070,2,10))))),IF(LEFT(A1070,1)="B",IF(VALUE(MID(A1070,2,10))&lt;10,"B00"&amp;VALUE(MID(A1070,2,10)),IF(VALUE(MID(A1070,2,10))&lt;100,"B0"&amp;VALUE(MID(A1070,2,10)),IF(VALUE(MID(A1070,2,10))&lt;1000,"B"&amp;VALUE(MID(A1070,2,10))))),A1070)),"_",IF(NOT(OR(C1070=1000,C1070&gt;1000)),MID(TEXT((C1070+1000)*1000,0),2,6),"keine Meter in Spalte km!!!"),IF(VALUE(I1070)=1,CONCATENATE("_",VLOOKUP(IF(V1070&gt;0,V1070,J1070),[1]Grundlage!$A$20:$B$181,2,0)),CONCATENATE("_",B1070))))</f>
        <v>UQ_A003_582600_S</v>
      </c>
      <c r="F1070" s="2" t="s">
        <v>29</v>
      </c>
      <c r="G1070" s="167">
        <f t="shared" si="211"/>
        <v>1201</v>
      </c>
      <c r="H1070">
        <f t="shared" si="212"/>
        <v>10</v>
      </c>
      <c r="I1070" s="2">
        <f t="shared" si="204"/>
        <v>3</v>
      </c>
      <c r="J1070" s="2">
        <f t="shared" si="205"/>
        <v>19</v>
      </c>
      <c r="K1070" s="13">
        <v>210</v>
      </c>
      <c r="L1070" s="2">
        <f t="shared" si="206"/>
        <v>14</v>
      </c>
      <c r="M1070" s="2">
        <f t="shared" si="207"/>
        <v>1</v>
      </c>
      <c r="N1070" s="2">
        <f t="shared" si="208"/>
        <v>7</v>
      </c>
      <c r="P1070" s="168">
        <f t="shared" si="209"/>
        <v>49</v>
      </c>
      <c r="AT1070" s="19">
        <v>3</v>
      </c>
      <c r="AU1070" s="14">
        <v>19</v>
      </c>
      <c r="AV1070" s="14">
        <v>13</v>
      </c>
      <c r="AW1070" s="13"/>
      <c r="AX1070" s="13"/>
      <c r="AY1070" s="19">
        <v>1</v>
      </c>
      <c r="AZ1070" s="14">
        <v>7</v>
      </c>
      <c r="BA1070" s="14">
        <v>17</v>
      </c>
      <c r="BB1070" s="13" t="s">
        <v>29</v>
      </c>
      <c r="BF1070" s="19" t="s">
        <v>585</v>
      </c>
    </row>
    <row r="1071" spans="1:58" ht="14.25" x14ac:dyDescent="0.2">
      <c r="A1071" t="str">
        <f t="shared" si="202"/>
        <v>A3</v>
      </c>
      <c r="B1071" s="2" t="s">
        <v>655</v>
      </c>
      <c r="C1071">
        <f t="shared" si="203"/>
        <v>582.6</v>
      </c>
      <c r="D1071" t="str">
        <f t="shared" si="210"/>
        <v>UFD</v>
      </c>
      <c r="E1071" s="169" t="str">
        <f>IF(OR(A1071="",B1071="",C1071=""),"eine der Spalten BAB, FR, km leer?",CONCATENATE(VLOOKUP(VALUE(I1071),[1]Grundlage!$A$1:$B$14,2,0),IF(LEFT(A1071,1)="A",IF(VALUE(MID(A1071,2,10))&lt;10,"A00"&amp;VALUE(MID(A1071,2,10)),IF(VALUE(MID(A1071,2,10))&lt;100,"A0"&amp;VALUE(MID(A1071,2,10)),IF(VALUE(MID(A1071,2,10))&lt;1000,"A"&amp;VALUE(MID(A1071,2,10))))),IF(LEFT(A1071,1)="B",IF(VALUE(MID(A1071,2,10))&lt;10,"B00"&amp;VALUE(MID(A1071,2,10)),IF(VALUE(MID(A1071,2,10))&lt;100,"B0"&amp;VALUE(MID(A1071,2,10)),IF(VALUE(MID(A1071,2,10))&lt;1000,"B"&amp;VALUE(MID(A1071,2,10))))),A1071)),"_",IF(NOT(OR(C1071=1000,C1071&gt;1000)),MID(TEXT((C1071+1000)*1000,0),2,6),"keine Meter in Spalte km!!!"),IF(VALUE(I1071)=1,CONCATENATE("_",VLOOKUP(IF(V1071&gt;0,V1071,J1071),[1]Grundlage!$A$20:$B$181,2,0)),CONCATENATE("_",B1071))))</f>
        <v>UQ_A003_582600_S</v>
      </c>
      <c r="F1071" s="2" t="s">
        <v>30</v>
      </c>
      <c r="G1071" s="167">
        <f t="shared" si="211"/>
        <v>1201</v>
      </c>
      <c r="H1071">
        <f t="shared" si="212"/>
        <v>10</v>
      </c>
      <c r="I1071" s="2">
        <f t="shared" si="204"/>
        <v>3</v>
      </c>
      <c r="J1071" s="2">
        <f t="shared" si="205"/>
        <v>21</v>
      </c>
      <c r="K1071" s="13">
        <v>210</v>
      </c>
      <c r="L1071" s="2">
        <f t="shared" si="206"/>
        <v>14</v>
      </c>
      <c r="M1071" s="2">
        <f t="shared" si="207"/>
        <v>1</v>
      </c>
      <c r="N1071" s="2">
        <f t="shared" si="208"/>
        <v>8</v>
      </c>
      <c r="P1071" s="168">
        <f t="shared" si="209"/>
        <v>67</v>
      </c>
      <c r="AT1071" s="19">
        <v>3</v>
      </c>
      <c r="AU1071" s="14">
        <v>21</v>
      </c>
      <c r="AV1071" s="14">
        <v>15</v>
      </c>
      <c r="AW1071" s="13"/>
      <c r="AX1071" s="13"/>
      <c r="AY1071" s="19">
        <v>1</v>
      </c>
      <c r="AZ1071" s="14">
        <v>8</v>
      </c>
      <c r="BA1071" s="14">
        <v>19</v>
      </c>
      <c r="BB1071" s="13" t="s">
        <v>30</v>
      </c>
      <c r="BF1071" s="19" t="s">
        <v>586</v>
      </c>
    </row>
    <row r="1072" spans="1:58" ht="14.25" x14ac:dyDescent="0.2">
      <c r="A1072" t="str">
        <f t="shared" si="202"/>
        <v>A3</v>
      </c>
      <c r="B1072" s="2" t="s">
        <v>655</v>
      </c>
      <c r="C1072">
        <f t="shared" si="203"/>
        <v>582.6</v>
      </c>
      <c r="D1072" t="str">
        <f t="shared" si="210"/>
        <v>UFD</v>
      </c>
      <c r="E1072" s="169" t="str">
        <f>IF(OR(A1072="",B1072="",C1072=""),"eine der Spalten BAB, FR, km leer?",CONCATENATE(VLOOKUP(VALUE(I1072),[1]Grundlage!$A$1:$B$14,2,0),IF(LEFT(A1072,1)="A",IF(VALUE(MID(A1072,2,10))&lt;10,"A00"&amp;VALUE(MID(A1072,2,10)),IF(VALUE(MID(A1072,2,10))&lt;100,"A0"&amp;VALUE(MID(A1072,2,10)),IF(VALUE(MID(A1072,2,10))&lt;1000,"A"&amp;VALUE(MID(A1072,2,10))))),IF(LEFT(A1072,1)="B",IF(VALUE(MID(A1072,2,10))&lt;10,"B00"&amp;VALUE(MID(A1072,2,10)),IF(VALUE(MID(A1072,2,10))&lt;100,"B0"&amp;VALUE(MID(A1072,2,10)),IF(VALUE(MID(A1072,2,10))&lt;1000,"B"&amp;VALUE(MID(A1072,2,10))))),A1072)),"_",IF(NOT(OR(C1072=1000,C1072&gt;1000)),MID(TEXT((C1072+1000)*1000,0),2,6),"keine Meter in Spalte km!!!"),IF(VALUE(I1072)=1,CONCATENATE("_",VLOOKUP(IF(V1072&gt;0,V1072,J1072),[1]Grundlage!$A$20:$B$181,2,0)),CONCATENATE("_",B1072))))</f>
        <v>UQ_A003_582600_S</v>
      </c>
      <c r="F1072" s="2" t="s">
        <v>41</v>
      </c>
      <c r="G1072" s="167">
        <f t="shared" si="211"/>
        <v>1201</v>
      </c>
      <c r="H1072">
        <f t="shared" si="212"/>
        <v>10</v>
      </c>
      <c r="I1072" s="2">
        <f t="shared" si="204"/>
        <v>3</v>
      </c>
      <c r="J1072" s="2">
        <f t="shared" si="205"/>
        <v>24</v>
      </c>
      <c r="K1072" s="13">
        <v>210</v>
      </c>
      <c r="L1072" s="2">
        <f t="shared" si="206"/>
        <v>14</v>
      </c>
      <c r="M1072" s="2">
        <f t="shared" si="207"/>
        <v>1</v>
      </c>
      <c r="N1072" s="2">
        <f t="shared" si="208"/>
        <v>9</v>
      </c>
      <c r="P1072" s="168">
        <f t="shared" si="209"/>
        <v>69</v>
      </c>
      <c r="AT1072" s="19">
        <v>3</v>
      </c>
      <c r="AU1072" s="14">
        <v>24</v>
      </c>
      <c r="AV1072" s="14">
        <v>18</v>
      </c>
      <c r="AW1072" s="13"/>
      <c r="AX1072" s="13"/>
      <c r="AY1072" s="19">
        <v>1</v>
      </c>
      <c r="AZ1072" s="14">
        <v>9</v>
      </c>
      <c r="BA1072" s="14" t="s">
        <v>85</v>
      </c>
      <c r="BB1072" s="13" t="s">
        <v>41</v>
      </c>
      <c r="BF1072" s="19" t="s">
        <v>587</v>
      </c>
    </row>
    <row r="1073" spans="1:58" ht="14.25" x14ac:dyDescent="0.2">
      <c r="A1073" t="str">
        <f t="shared" si="202"/>
        <v>A3</v>
      </c>
      <c r="B1073" s="2" t="s">
        <v>655</v>
      </c>
      <c r="C1073">
        <f t="shared" si="203"/>
        <v>582.6</v>
      </c>
      <c r="D1073" t="str">
        <f t="shared" si="210"/>
        <v>UFD</v>
      </c>
      <c r="E1073" s="169" t="str">
        <f>IF(OR(A1073="",B1073="",C1073=""),"eine der Spalten BAB, FR, km leer?",CONCATENATE(VLOOKUP(VALUE(I1073),[1]Grundlage!$A$1:$B$14,2,0),IF(LEFT(A1073,1)="A",IF(VALUE(MID(A1073,2,10))&lt;10,"A00"&amp;VALUE(MID(A1073,2,10)),IF(VALUE(MID(A1073,2,10))&lt;100,"A0"&amp;VALUE(MID(A1073,2,10)),IF(VALUE(MID(A1073,2,10))&lt;1000,"A"&amp;VALUE(MID(A1073,2,10))))),IF(LEFT(A1073,1)="B",IF(VALUE(MID(A1073,2,10))&lt;10,"B00"&amp;VALUE(MID(A1073,2,10)),IF(VALUE(MID(A1073,2,10))&lt;100,"B0"&amp;VALUE(MID(A1073,2,10)),IF(VALUE(MID(A1073,2,10))&lt;1000,"B"&amp;VALUE(MID(A1073,2,10))))),A1073)),"_",IF(NOT(OR(C1073=1000,C1073&gt;1000)),MID(TEXT((C1073+1000)*1000,0),2,6),"keine Meter in Spalte km!!!"),IF(VALUE(I1073)=1,CONCATENATE("_",VLOOKUP(IF(V1073&gt;0,V1073,J1073),[1]Grundlage!$A$20:$B$181,2,0)),CONCATENATE("_",B1073))))</f>
        <v>UQ_A003_582600_S</v>
      </c>
      <c r="F1073" s="2" t="s">
        <v>271</v>
      </c>
      <c r="G1073" s="167">
        <f t="shared" si="211"/>
        <v>1201</v>
      </c>
      <c r="H1073">
        <f t="shared" si="212"/>
        <v>10</v>
      </c>
      <c r="I1073" s="2">
        <f t="shared" si="204"/>
        <v>3</v>
      </c>
      <c r="J1073" s="2">
        <f t="shared" si="205"/>
        <v>67</v>
      </c>
      <c r="K1073" s="13">
        <v>210</v>
      </c>
      <c r="L1073" s="2">
        <f t="shared" si="206"/>
        <v>14</v>
      </c>
      <c r="M1073" s="2">
        <f t="shared" si="207"/>
        <v>1</v>
      </c>
      <c r="N1073" s="2">
        <f t="shared" si="208"/>
        <v>10</v>
      </c>
      <c r="P1073" s="168">
        <f t="shared" si="209"/>
        <v>53</v>
      </c>
      <c r="AT1073" s="19">
        <v>3</v>
      </c>
      <c r="AU1073" s="14">
        <v>67</v>
      </c>
      <c r="AV1073" s="14">
        <v>43</v>
      </c>
      <c r="AW1073" s="13"/>
      <c r="AX1073" s="13"/>
      <c r="AY1073" s="19">
        <v>1</v>
      </c>
      <c r="AZ1073" s="14">
        <v>10</v>
      </c>
      <c r="BA1073" s="34"/>
      <c r="BB1073" s="13" t="s">
        <v>271</v>
      </c>
      <c r="BF1073" s="19" t="s">
        <v>444</v>
      </c>
    </row>
    <row r="1074" spans="1:58" ht="14.25" x14ac:dyDescent="0.2">
      <c r="A1074" t="str">
        <f t="shared" si="202"/>
        <v>A3</v>
      </c>
      <c r="B1074" s="2" t="s">
        <v>655</v>
      </c>
      <c r="C1074">
        <f t="shared" si="203"/>
        <v>582.6</v>
      </c>
      <c r="D1074" t="str">
        <f t="shared" si="210"/>
        <v>UFD</v>
      </c>
      <c r="E1074" s="169" t="str">
        <f>IF(OR(A1074="",B1074="",C1074=""),"eine der Spalten BAB, FR, km leer?",CONCATENATE(VLOOKUP(VALUE(I1074),[1]Grundlage!$A$1:$B$14,2,0),IF(LEFT(A1074,1)="A",IF(VALUE(MID(A1074,2,10))&lt;10,"A00"&amp;VALUE(MID(A1074,2,10)),IF(VALUE(MID(A1074,2,10))&lt;100,"A0"&amp;VALUE(MID(A1074,2,10)),IF(VALUE(MID(A1074,2,10))&lt;1000,"A"&amp;VALUE(MID(A1074,2,10))))),IF(LEFT(A1074,1)="B",IF(VALUE(MID(A1074,2,10))&lt;10,"B00"&amp;VALUE(MID(A1074,2,10)),IF(VALUE(MID(A1074,2,10))&lt;100,"B0"&amp;VALUE(MID(A1074,2,10)),IF(VALUE(MID(A1074,2,10))&lt;1000,"B"&amp;VALUE(MID(A1074,2,10))))),A1074)),"_",IF(NOT(OR(C1074=1000,C1074&gt;1000)),MID(TEXT((C1074+1000)*1000,0),2,6),"keine Meter in Spalte km!!!"),IF(VALUE(I1074)=1,CONCATENATE("_",VLOOKUP(IF(V1074&gt;0,V1074,J1074),[1]Grundlage!$A$20:$B$181,2,0)),CONCATENATE("_",B1074))))</f>
        <v>UQ_A003_582600_S</v>
      </c>
      <c r="F1074" s="2" t="s">
        <v>272</v>
      </c>
      <c r="G1074" s="167">
        <f t="shared" si="211"/>
        <v>1201</v>
      </c>
      <c r="H1074">
        <f t="shared" si="212"/>
        <v>10</v>
      </c>
      <c r="I1074" s="2">
        <f t="shared" si="204"/>
        <v>3</v>
      </c>
      <c r="J1074" s="2">
        <f t="shared" si="205"/>
        <v>82</v>
      </c>
      <c r="K1074" s="13">
        <v>210</v>
      </c>
      <c r="L1074" s="2">
        <f t="shared" si="206"/>
        <v>14</v>
      </c>
      <c r="M1074" s="2">
        <f t="shared" si="207"/>
        <v>1</v>
      </c>
      <c r="N1074" s="2">
        <f t="shared" si="208"/>
        <v>11</v>
      </c>
      <c r="P1074" s="168">
        <f t="shared" si="209"/>
        <v>72</v>
      </c>
      <c r="AT1074" s="19">
        <v>3</v>
      </c>
      <c r="AU1074" s="14">
        <v>82</v>
      </c>
      <c r="AV1074" s="14">
        <v>52</v>
      </c>
      <c r="AW1074" s="13"/>
      <c r="AX1074" s="13"/>
      <c r="AY1074" s="19">
        <v>1</v>
      </c>
      <c r="AZ1074" s="14">
        <v>11</v>
      </c>
      <c r="BA1074" s="34"/>
      <c r="BB1074" s="13" t="s">
        <v>272</v>
      </c>
      <c r="BF1074" s="19" t="s">
        <v>588</v>
      </c>
    </row>
    <row r="1075" spans="1:58" ht="14.25" x14ac:dyDescent="0.2">
      <c r="A1075" t="str">
        <f t="shared" si="202"/>
        <v>A3</v>
      </c>
      <c r="C1075">
        <f t="shared" si="203"/>
        <v>582.6</v>
      </c>
      <c r="D1075" t="str">
        <f t="shared" si="210"/>
        <v/>
      </c>
      <c r="E1075" s="169" t="str">
        <f>IF(OR(A1075="",B1075="",C1075=""),"",CONCATENATE(VLOOKUP(VALUE(I1075),[1]Grundlage!$A$1:$B$14,2,0),IF(LEFT(A1075,1)="A",IF(VALUE(MID(A1075,2,10))&lt;10,"A00"&amp;VALUE(MID(A1075,2,10)),IF(VALUE(MID(A1075,2,10))&lt;100,"A0"&amp;VALUE(MID(A1075,2,10)),IF(VALUE(MID(A1075,2,10))&lt;1000,"A"&amp;VALUE(MID(A1075,2,10))))),IF(LEFT(A1075,1)="B",IF(VALUE(MID(A1075,2,10))&lt;10,"B00"&amp;VALUE(MID(A1075,2,10)),IF(VALUE(MID(A1075,2,10))&lt;100,"B0"&amp;VALUE(MID(A1075,2,10)),IF(VALUE(MID(A1075,2,10))&lt;1000,"B"&amp;VALUE(MID(A1075,2,10))))),A1075)),"_",IF(NOT(OR(C1075=1000,C1075&gt;1000)),MID(TEXT((C1075+1000)*1000,0),2,6),"keine Meter in Spalte km!!!"),IF(VALUE(I1075)=1,CONCATENATE("_",VLOOKUP(IF(V1075&gt;0,V1075,J1075),[1]Grundlage!$A$20:$B$181,2,0)),CONCATENATE("_",B1075))))</f>
        <v/>
      </c>
      <c r="F1075" s="2" t="s">
        <v>669</v>
      </c>
      <c r="G1075" s="167">
        <f t="shared" si="211"/>
        <v>1201</v>
      </c>
      <c r="H1075">
        <f t="shared" si="212"/>
        <v>10</v>
      </c>
      <c r="I1075" s="2">
        <f t="shared" si="204"/>
        <v>0</v>
      </c>
      <c r="J1075" s="2">
        <f t="shared" si="205"/>
        <v>0</v>
      </c>
      <c r="K1075" s="13">
        <v>210</v>
      </c>
      <c r="L1075" s="2">
        <f t="shared" si="206"/>
        <v>14</v>
      </c>
      <c r="M1075" s="2" t="str">
        <f t="shared" si="207"/>
        <v/>
      </c>
      <c r="N1075" s="2" t="str">
        <f t="shared" si="208"/>
        <v/>
      </c>
      <c r="P1075" s="168" t="str">
        <f t="shared" si="209"/>
        <v/>
      </c>
    </row>
    <row r="1076" spans="1:58" ht="14.25" x14ac:dyDescent="0.2">
      <c r="A1076" t="str">
        <f t="shared" si="202"/>
        <v>A3</v>
      </c>
      <c r="B1076" s="2" t="s">
        <v>656</v>
      </c>
      <c r="C1076">
        <f t="shared" si="203"/>
        <v>604.23</v>
      </c>
      <c r="D1076" t="str">
        <f t="shared" si="210"/>
        <v>SS</v>
      </c>
      <c r="E1076" s="169" t="str">
        <f>IF(OR(A1076="",B1076="",C1076=""),"eine der Spalten BAB, FR, km leer?",CONCATENATE(VLOOKUP(VALUE(I1076),[1]Grundlage!$A$1:$B$14,2,0),IF(LEFT(A1076,1)="A",IF(VALUE(MID(A1076,2,10))&lt;10,"A00"&amp;VALUE(MID(A1076,2,10)),IF(VALUE(MID(A1076,2,10))&lt;100,"A0"&amp;VALUE(MID(A1076,2,10)),IF(VALUE(MID(A1076,2,10))&lt;1000,"A"&amp;VALUE(MID(A1076,2,10))))),IF(LEFT(A1076,1)="B",IF(VALUE(MID(A1076,2,10))&lt;10,"B00"&amp;VALUE(MID(A1076,2,10)),IF(VALUE(MID(A1076,2,10))&lt;100,"B0"&amp;VALUE(MID(A1076,2,10)),IF(VALUE(MID(A1076,2,10))&lt;1000,"B"&amp;VALUE(MID(A1076,2,10))))),A1076)),"_",IF(NOT(OR(C1076=1000,C1076&gt;1000)),MID(TEXT((C1076+1000)*1000,0),2,6),"keine Meter in Spalte km!!!"),IF(VALUE(I1076)=1,CONCATENATE("_",VLOOKUP(IF(V1076&gt;0,V1076,J1076),[1]Grundlage!$A$20:$B$181,2,0)),CONCATENATE("_",B1076))))</f>
        <v>SSt_A003_604230_N</v>
      </c>
      <c r="F1076" s="2" t="s">
        <v>136</v>
      </c>
      <c r="G1076" s="167">
        <f t="shared" si="211"/>
        <v>1241</v>
      </c>
      <c r="H1076">
        <f t="shared" si="212"/>
        <v>18</v>
      </c>
      <c r="I1076" s="2">
        <f t="shared" si="204"/>
        <v>254</v>
      </c>
      <c r="J1076" s="2">
        <f t="shared" si="205"/>
        <v>0</v>
      </c>
      <c r="K1076" s="13">
        <v>210</v>
      </c>
      <c r="L1076" s="2">
        <f t="shared" si="206"/>
        <v>15</v>
      </c>
      <c r="M1076" s="2" t="str">
        <f t="shared" si="207"/>
        <v/>
      </c>
      <c r="N1076" s="2" t="str">
        <f t="shared" si="208"/>
        <v/>
      </c>
      <c r="P1076" s="168" t="str">
        <f t="shared" si="209"/>
        <v/>
      </c>
      <c r="AI1076" s="35">
        <v>604.23</v>
      </c>
      <c r="AJ1076" s="36" t="s">
        <v>19</v>
      </c>
      <c r="AK1076" s="36" t="s">
        <v>62</v>
      </c>
      <c r="AL1076" s="36"/>
      <c r="AM1076" s="36"/>
      <c r="AN1076" s="36"/>
      <c r="AO1076" s="36"/>
      <c r="AP1076" s="42">
        <v>317714</v>
      </c>
      <c r="AQ1076" s="66" t="s">
        <v>234</v>
      </c>
      <c r="AR1076" s="42" t="s">
        <v>262</v>
      </c>
      <c r="AS1076" s="42">
        <v>12</v>
      </c>
      <c r="AT1076" s="36"/>
      <c r="AU1076" s="36"/>
      <c r="AV1076" s="36"/>
      <c r="AW1076" s="36"/>
      <c r="AX1076" s="36">
        <v>15</v>
      </c>
      <c r="AY1076" s="36"/>
      <c r="AZ1076" s="36"/>
      <c r="BA1076" s="36"/>
      <c r="BB1076" s="37" t="s">
        <v>136</v>
      </c>
      <c r="BC1076" s="38"/>
      <c r="BD1076" s="96" t="s">
        <v>163</v>
      </c>
      <c r="BE1076" s="39" t="s">
        <v>64</v>
      </c>
      <c r="BF1076" s="2" t="s">
        <v>599</v>
      </c>
    </row>
    <row r="1077" spans="1:58" ht="14.25" x14ac:dyDescent="0.2">
      <c r="A1077" t="str">
        <f t="shared" si="202"/>
        <v>A3</v>
      </c>
      <c r="B1077" s="2" t="s">
        <v>656</v>
      </c>
      <c r="C1077">
        <f t="shared" si="203"/>
        <v>604.23</v>
      </c>
      <c r="D1077" t="str">
        <f t="shared" si="210"/>
        <v>UFD</v>
      </c>
      <c r="E1077" s="169" t="str">
        <f>IF(OR(A1077="",B1077="",C1077=""),"eine der Spalten BAB, FR, km leer?",CONCATENATE(VLOOKUP(VALUE(I1077),[1]Grundlage!$A$1:$B$14,2,0),IF(LEFT(A1077,1)="A",IF(VALUE(MID(A1077,2,10))&lt;10,"A00"&amp;VALUE(MID(A1077,2,10)),IF(VALUE(MID(A1077,2,10))&lt;100,"A0"&amp;VALUE(MID(A1077,2,10)),IF(VALUE(MID(A1077,2,10))&lt;1000,"A"&amp;VALUE(MID(A1077,2,10))))),IF(LEFT(A1077,1)="B",IF(VALUE(MID(A1077,2,10))&lt;10,"B00"&amp;VALUE(MID(A1077,2,10)),IF(VALUE(MID(A1077,2,10))&lt;100,"B0"&amp;VALUE(MID(A1077,2,10)),IF(VALUE(MID(A1077,2,10))&lt;1000,"B"&amp;VALUE(MID(A1077,2,10))))),A1077)),"_",IF(NOT(OR(C1077=1000,C1077&gt;1000)),MID(TEXT((C1077+1000)*1000,0),2,6),"keine Meter in Spalte km!!!"),IF(VALUE(I1077)=1,CONCATENATE("_",VLOOKUP(IF(V1077&gt;0,V1077,J1077),[1]Grundlage!$A$20:$B$181,2,0)),CONCATENATE("_",B1077))))</f>
        <v>UQ_A003_604230_N</v>
      </c>
      <c r="F1077" s="2" t="s">
        <v>269</v>
      </c>
      <c r="G1077" s="167">
        <f t="shared" si="211"/>
        <v>1241</v>
      </c>
      <c r="H1077">
        <f t="shared" si="212"/>
        <v>18</v>
      </c>
      <c r="I1077" s="2">
        <f t="shared" si="204"/>
        <v>3</v>
      </c>
      <c r="J1077" s="2">
        <f t="shared" si="205"/>
        <v>6</v>
      </c>
      <c r="K1077" s="13">
        <v>210</v>
      </c>
      <c r="L1077" s="2">
        <f t="shared" si="206"/>
        <v>15</v>
      </c>
      <c r="M1077" s="2">
        <f t="shared" si="207"/>
        <v>1</v>
      </c>
      <c r="N1077" s="2">
        <f t="shared" si="208"/>
        <v>1</v>
      </c>
      <c r="P1077" s="168">
        <f t="shared" si="209"/>
        <v>71</v>
      </c>
      <c r="AP1077" s="40"/>
      <c r="AQ1077" s="40"/>
      <c r="AR1077" s="40"/>
      <c r="AS1077" s="40"/>
      <c r="AT1077" s="19">
        <v>3</v>
      </c>
      <c r="AU1077" s="14">
        <v>6</v>
      </c>
      <c r="AV1077" s="27"/>
      <c r="AW1077" s="19"/>
      <c r="AX1077" s="19"/>
      <c r="AY1077" s="19">
        <v>1</v>
      </c>
      <c r="AZ1077" s="14">
        <v>1</v>
      </c>
      <c r="BA1077" s="27"/>
      <c r="BB1077" s="13" t="s">
        <v>269</v>
      </c>
      <c r="BC1077" s="13"/>
      <c r="BD1077" s="13"/>
      <c r="BF1077" s="19" t="s">
        <v>440</v>
      </c>
    </row>
    <row r="1078" spans="1:58" ht="14.25" x14ac:dyDescent="0.2">
      <c r="A1078" t="str">
        <f t="shared" si="202"/>
        <v>A3</v>
      </c>
      <c r="B1078" s="2" t="s">
        <v>656</v>
      </c>
      <c r="C1078">
        <f t="shared" si="203"/>
        <v>604.23</v>
      </c>
      <c r="D1078" t="str">
        <f t="shared" si="210"/>
        <v>UFD</v>
      </c>
      <c r="E1078" s="169" t="str">
        <f>IF(OR(A1078="",B1078="",C1078=""),"eine der Spalten BAB, FR, km leer?",CONCATENATE(VLOOKUP(VALUE(I1078),[1]Grundlage!$A$1:$B$14,2,0),IF(LEFT(A1078,1)="A",IF(VALUE(MID(A1078,2,10))&lt;10,"A00"&amp;VALUE(MID(A1078,2,10)),IF(VALUE(MID(A1078,2,10))&lt;100,"A0"&amp;VALUE(MID(A1078,2,10)),IF(VALUE(MID(A1078,2,10))&lt;1000,"A"&amp;VALUE(MID(A1078,2,10))))),IF(LEFT(A1078,1)="B",IF(VALUE(MID(A1078,2,10))&lt;10,"B00"&amp;VALUE(MID(A1078,2,10)),IF(VALUE(MID(A1078,2,10))&lt;100,"B0"&amp;VALUE(MID(A1078,2,10)),IF(VALUE(MID(A1078,2,10))&lt;1000,"B"&amp;VALUE(MID(A1078,2,10))))),A1078)),"_",IF(NOT(OR(C1078=1000,C1078&gt;1000)),MID(TEXT((C1078+1000)*1000,0),2,6),"keine Meter in Spalte km!!!"),IF(VALUE(I1078)=1,CONCATENATE("_",VLOOKUP(IF(V1078&gt;0,V1078,J1078),[1]Grundlage!$A$20:$B$181,2,0)),CONCATENATE("_",B1078))))</f>
        <v>UQ_A003_604230_N</v>
      </c>
      <c r="F1078" s="2" t="s">
        <v>678</v>
      </c>
      <c r="G1078" s="167">
        <f t="shared" si="211"/>
        <v>1241</v>
      </c>
      <c r="H1078">
        <f t="shared" si="212"/>
        <v>18</v>
      </c>
      <c r="I1078" s="2">
        <f t="shared" si="204"/>
        <v>3</v>
      </c>
      <c r="J1078" s="2">
        <f t="shared" si="205"/>
        <v>11</v>
      </c>
      <c r="K1078" s="13">
        <v>210</v>
      </c>
      <c r="L1078" s="2">
        <f t="shared" si="206"/>
        <v>15</v>
      </c>
      <c r="M1078" s="2">
        <f t="shared" si="207"/>
        <v>1</v>
      </c>
      <c r="N1078" s="2">
        <f t="shared" si="208"/>
        <v>2</v>
      </c>
      <c r="P1078" s="168">
        <v>70</v>
      </c>
      <c r="AT1078" s="19">
        <v>3</v>
      </c>
      <c r="AU1078" s="14">
        <v>11</v>
      </c>
      <c r="AV1078" s="14"/>
      <c r="AW1078" s="13"/>
      <c r="AX1078" s="13"/>
      <c r="AY1078" s="19">
        <v>1</v>
      </c>
      <c r="AZ1078" s="14">
        <v>2</v>
      </c>
      <c r="BA1078" s="14"/>
      <c r="BB1078" s="13" t="s">
        <v>372</v>
      </c>
      <c r="BC1078" s="13"/>
      <c r="BD1078" s="13"/>
      <c r="BF1078" s="19" t="s">
        <v>462</v>
      </c>
    </row>
    <row r="1079" spans="1:58" ht="14.25" x14ac:dyDescent="0.2">
      <c r="A1079" t="str">
        <f t="shared" si="202"/>
        <v>A3</v>
      </c>
      <c r="B1079" s="2" t="s">
        <v>656</v>
      </c>
      <c r="C1079">
        <f t="shared" si="203"/>
        <v>604.23</v>
      </c>
      <c r="D1079" t="str">
        <f t="shared" si="210"/>
        <v>UFD</v>
      </c>
      <c r="E1079" s="169" t="str">
        <f>IF(OR(A1079="",B1079="",C1079=""),"eine der Spalten BAB, FR, km leer?",CONCATENATE(VLOOKUP(VALUE(I1079),[1]Grundlage!$A$1:$B$14,2,0),IF(LEFT(A1079,1)="A",IF(VALUE(MID(A1079,2,10))&lt;10,"A00"&amp;VALUE(MID(A1079,2,10)),IF(VALUE(MID(A1079,2,10))&lt;100,"A0"&amp;VALUE(MID(A1079,2,10)),IF(VALUE(MID(A1079,2,10))&lt;1000,"A"&amp;VALUE(MID(A1079,2,10))))),IF(LEFT(A1079,1)="B",IF(VALUE(MID(A1079,2,10))&lt;10,"B00"&amp;VALUE(MID(A1079,2,10)),IF(VALUE(MID(A1079,2,10))&lt;100,"B0"&amp;VALUE(MID(A1079,2,10)),IF(VALUE(MID(A1079,2,10))&lt;1000,"B"&amp;VALUE(MID(A1079,2,10))))),A1079)),"_",IF(NOT(OR(C1079=1000,C1079&gt;1000)),MID(TEXT((C1079+1000)*1000,0),2,6),"keine Meter in Spalte km!!!"),IF(VALUE(I1079)=1,CONCATENATE("_",VLOOKUP(IF(V1079&gt;0,V1079,J1079),[1]Grundlage!$A$20:$B$181,2,0)),CONCATENATE("_",B1079))))</f>
        <v>UQ_A003_604230_N</v>
      </c>
      <c r="F1079" s="2" t="s">
        <v>25</v>
      </c>
      <c r="G1079" s="167">
        <f t="shared" si="211"/>
        <v>1241</v>
      </c>
      <c r="H1079">
        <f t="shared" si="212"/>
        <v>18</v>
      </c>
      <c r="I1079" s="2">
        <f t="shared" si="204"/>
        <v>3</v>
      </c>
      <c r="J1079" s="2">
        <f t="shared" si="205"/>
        <v>12</v>
      </c>
      <c r="K1079" s="13">
        <v>210</v>
      </c>
      <c r="L1079" s="2">
        <f t="shared" si="206"/>
        <v>15</v>
      </c>
      <c r="M1079" s="2">
        <f t="shared" si="207"/>
        <v>1</v>
      </c>
      <c r="N1079" s="2">
        <f t="shared" si="208"/>
        <v>3</v>
      </c>
      <c r="P1079" s="168">
        <f t="shared" si="209"/>
        <v>48</v>
      </c>
      <c r="AT1079" s="19">
        <v>3</v>
      </c>
      <c r="AU1079" s="14">
        <v>12</v>
      </c>
      <c r="AV1079" s="14"/>
      <c r="AW1079" s="13"/>
      <c r="AX1079" s="13"/>
      <c r="AY1079" s="19">
        <v>1</v>
      </c>
      <c r="AZ1079" s="14">
        <f t="shared" ref="AZ1079:AZ1092" si="213">AZ1078+1</f>
        <v>3</v>
      </c>
      <c r="BA1079" s="14"/>
      <c r="BB1079" s="13" t="s">
        <v>25</v>
      </c>
      <c r="BC1079" s="13"/>
      <c r="BD1079" s="13"/>
      <c r="BF1079" s="19" t="s">
        <v>441</v>
      </c>
    </row>
    <row r="1080" spans="1:58" ht="14.25" x14ac:dyDescent="0.2">
      <c r="A1080" t="str">
        <f t="shared" si="202"/>
        <v>A3</v>
      </c>
      <c r="B1080" s="2" t="s">
        <v>656</v>
      </c>
      <c r="C1080">
        <f t="shared" si="203"/>
        <v>604.23</v>
      </c>
      <c r="D1080" t="str">
        <f t="shared" si="210"/>
        <v>UFD</v>
      </c>
      <c r="E1080" s="169" t="str">
        <f>IF(OR(A1080="",B1080="",C1080=""),"eine der Spalten BAB, FR, km leer?",CONCATENATE(VLOOKUP(VALUE(I1080),[1]Grundlage!$A$1:$B$14,2,0),IF(LEFT(A1080,1)="A",IF(VALUE(MID(A1080,2,10))&lt;10,"A00"&amp;VALUE(MID(A1080,2,10)),IF(VALUE(MID(A1080,2,10))&lt;100,"A0"&amp;VALUE(MID(A1080,2,10)),IF(VALUE(MID(A1080,2,10))&lt;1000,"A"&amp;VALUE(MID(A1080,2,10))))),IF(LEFT(A1080,1)="B",IF(VALUE(MID(A1080,2,10))&lt;10,"B00"&amp;VALUE(MID(A1080,2,10)),IF(VALUE(MID(A1080,2,10))&lt;100,"B0"&amp;VALUE(MID(A1080,2,10)),IF(VALUE(MID(A1080,2,10))&lt;1000,"B"&amp;VALUE(MID(A1080,2,10))))),A1080)),"_",IF(NOT(OR(C1080=1000,C1080&gt;1000)),MID(TEXT((C1080+1000)*1000,0),2,6),"keine Meter in Spalte km!!!"),IF(VALUE(I1080)=1,CONCATENATE("_",VLOOKUP(IF(V1080&gt;0,V1080,J1080),[1]Grundlage!$A$20:$B$181,2,0)),CONCATENATE("_",B1080))))</f>
        <v>UQ_A003_604230_N</v>
      </c>
      <c r="F1080" s="2" t="s">
        <v>26</v>
      </c>
      <c r="G1080" s="167">
        <f t="shared" si="211"/>
        <v>1241</v>
      </c>
      <c r="H1080">
        <f t="shared" si="212"/>
        <v>18</v>
      </c>
      <c r="I1080" s="2">
        <f t="shared" si="204"/>
        <v>3</v>
      </c>
      <c r="J1080" s="2">
        <f t="shared" si="205"/>
        <v>13</v>
      </c>
      <c r="K1080" s="13">
        <v>210</v>
      </c>
      <c r="L1080" s="2">
        <f t="shared" si="206"/>
        <v>15</v>
      </c>
      <c r="M1080" s="2">
        <f t="shared" si="207"/>
        <v>1</v>
      </c>
      <c r="N1080" s="2">
        <f t="shared" si="208"/>
        <v>4</v>
      </c>
      <c r="P1080" s="168">
        <f t="shared" si="209"/>
        <v>55</v>
      </c>
      <c r="AT1080" s="19">
        <v>3</v>
      </c>
      <c r="AU1080" s="14">
        <v>13</v>
      </c>
      <c r="AV1080" s="14"/>
      <c r="AW1080" s="13"/>
      <c r="AX1080" s="13"/>
      <c r="AY1080" s="19">
        <v>1</v>
      </c>
      <c r="AZ1080" s="14">
        <f t="shared" si="213"/>
        <v>4</v>
      </c>
      <c r="BA1080" s="14"/>
      <c r="BB1080" s="13" t="s">
        <v>26</v>
      </c>
      <c r="BC1080" s="13"/>
      <c r="BD1080" s="13"/>
      <c r="BF1080" s="19" t="s">
        <v>442</v>
      </c>
    </row>
    <row r="1081" spans="1:58" ht="14.25" x14ac:dyDescent="0.2">
      <c r="A1081" t="str">
        <f t="shared" si="202"/>
        <v>A3</v>
      </c>
      <c r="B1081" s="2" t="s">
        <v>656</v>
      </c>
      <c r="C1081">
        <f t="shared" si="203"/>
        <v>604.23</v>
      </c>
      <c r="D1081" t="str">
        <f t="shared" si="210"/>
        <v>UFD</v>
      </c>
      <c r="E1081" s="169" t="str">
        <f>IF(OR(A1081="",B1081="",C1081=""),"eine der Spalten BAB, FR, km leer?",CONCATENATE(VLOOKUP(VALUE(I1081),[1]Grundlage!$A$1:$B$14,2,0),IF(LEFT(A1081,1)="A",IF(VALUE(MID(A1081,2,10))&lt;10,"A00"&amp;VALUE(MID(A1081,2,10)),IF(VALUE(MID(A1081,2,10))&lt;100,"A0"&amp;VALUE(MID(A1081,2,10)),IF(VALUE(MID(A1081,2,10))&lt;1000,"A"&amp;VALUE(MID(A1081,2,10))))),IF(LEFT(A1081,1)="B",IF(VALUE(MID(A1081,2,10))&lt;10,"B00"&amp;VALUE(MID(A1081,2,10)),IF(VALUE(MID(A1081,2,10))&lt;100,"B0"&amp;VALUE(MID(A1081,2,10)),IF(VALUE(MID(A1081,2,10))&lt;1000,"B"&amp;VALUE(MID(A1081,2,10))))),A1081)),"_",IF(NOT(OR(C1081=1000,C1081&gt;1000)),MID(TEXT((C1081+1000)*1000,0),2,6),"keine Meter in Spalte km!!!"),IF(VALUE(I1081)=1,CONCATENATE("_",VLOOKUP(IF(V1081&gt;0,V1081,J1081),[1]Grundlage!$A$20:$B$181,2,0)),CONCATENATE("_",B1081))))</f>
        <v>UQ_A003_604230_N</v>
      </c>
      <c r="F1081" s="2" t="s">
        <v>27</v>
      </c>
      <c r="G1081" s="167">
        <f t="shared" si="211"/>
        <v>1241</v>
      </c>
      <c r="H1081">
        <f t="shared" si="212"/>
        <v>18</v>
      </c>
      <c r="I1081" s="2">
        <f t="shared" si="204"/>
        <v>3</v>
      </c>
      <c r="J1081" s="2">
        <f t="shared" si="205"/>
        <v>14</v>
      </c>
      <c r="K1081" s="13">
        <v>210</v>
      </c>
      <c r="L1081" s="2">
        <f t="shared" si="206"/>
        <v>15</v>
      </c>
      <c r="M1081" s="2">
        <f t="shared" si="207"/>
        <v>1</v>
      </c>
      <c r="N1081" s="2">
        <f t="shared" si="208"/>
        <v>5</v>
      </c>
      <c r="P1081" s="168">
        <f t="shared" si="209"/>
        <v>66</v>
      </c>
      <c r="AT1081" s="19">
        <v>3</v>
      </c>
      <c r="AU1081" s="14">
        <v>14</v>
      </c>
      <c r="AV1081" s="14"/>
      <c r="AW1081" s="13"/>
      <c r="AX1081" s="13"/>
      <c r="AY1081" s="19">
        <v>1</v>
      </c>
      <c r="AZ1081" s="14">
        <f t="shared" si="213"/>
        <v>5</v>
      </c>
      <c r="BA1081" s="14"/>
      <c r="BB1081" s="13" t="s">
        <v>27</v>
      </c>
      <c r="BC1081" s="13"/>
      <c r="BD1081" s="13"/>
      <c r="BF1081" s="19" t="s">
        <v>443</v>
      </c>
    </row>
    <row r="1082" spans="1:58" ht="14.25" x14ac:dyDescent="0.2">
      <c r="A1082" t="str">
        <f t="shared" si="202"/>
        <v>A3</v>
      </c>
      <c r="B1082" s="2" t="s">
        <v>656</v>
      </c>
      <c r="C1082">
        <f t="shared" si="203"/>
        <v>604.23</v>
      </c>
      <c r="D1082" t="str">
        <f t="shared" si="210"/>
        <v>UFD</v>
      </c>
      <c r="E1082" s="169" t="str">
        <f>IF(OR(A1082="",B1082="",C1082=""),"eine der Spalten BAB, FR, km leer?",CONCATENATE(VLOOKUP(VALUE(I1082),[1]Grundlage!$A$1:$B$14,2,0),IF(LEFT(A1082,1)="A",IF(VALUE(MID(A1082,2,10))&lt;10,"A00"&amp;VALUE(MID(A1082,2,10)),IF(VALUE(MID(A1082,2,10))&lt;100,"A0"&amp;VALUE(MID(A1082,2,10)),IF(VALUE(MID(A1082,2,10))&lt;1000,"A"&amp;VALUE(MID(A1082,2,10))))),IF(LEFT(A1082,1)="B",IF(VALUE(MID(A1082,2,10))&lt;10,"B00"&amp;VALUE(MID(A1082,2,10)),IF(VALUE(MID(A1082,2,10))&lt;100,"B0"&amp;VALUE(MID(A1082,2,10)),IF(VALUE(MID(A1082,2,10))&lt;1000,"B"&amp;VALUE(MID(A1082,2,10))))),A1082)),"_",IF(NOT(OR(C1082=1000,C1082&gt;1000)),MID(TEXT((C1082+1000)*1000,0),2,6),"keine Meter in Spalte km!!!"),IF(VALUE(I1082)=1,CONCATENATE("_",VLOOKUP(IF(V1082&gt;0,V1082,J1082),[1]Grundlage!$A$20:$B$181,2,0)),CONCATENATE("_",B1082))))</f>
        <v>UQ_A003_604230_N</v>
      </c>
      <c r="F1082" s="2" t="s">
        <v>684</v>
      </c>
      <c r="G1082" s="167">
        <f t="shared" si="211"/>
        <v>1241</v>
      </c>
      <c r="H1082">
        <f t="shared" si="212"/>
        <v>18</v>
      </c>
      <c r="I1082" s="2">
        <f t="shared" si="204"/>
        <v>3</v>
      </c>
      <c r="J1082" s="2">
        <f t="shared" si="205"/>
        <v>15</v>
      </c>
      <c r="K1082" s="13">
        <v>210</v>
      </c>
      <c r="L1082" s="2">
        <f t="shared" si="206"/>
        <v>15</v>
      </c>
      <c r="M1082" s="2">
        <f t="shared" si="207"/>
        <v>1</v>
      </c>
      <c r="N1082" s="2">
        <f t="shared" si="208"/>
        <v>6</v>
      </c>
      <c r="P1082" s="168">
        <v>65</v>
      </c>
      <c r="AT1082" s="19">
        <v>3</v>
      </c>
      <c r="AU1082" s="14">
        <v>15</v>
      </c>
      <c r="AV1082" s="14"/>
      <c r="AW1082" s="13"/>
      <c r="AX1082" s="13"/>
      <c r="AY1082" s="19">
        <v>1</v>
      </c>
      <c r="AZ1082" s="14">
        <f t="shared" si="213"/>
        <v>6</v>
      </c>
      <c r="BA1082" s="14"/>
      <c r="BB1082" s="13" t="s">
        <v>97</v>
      </c>
      <c r="BC1082" s="13"/>
      <c r="BD1082" s="13"/>
      <c r="BF1082" s="19" t="s">
        <v>461</v>
      </c>
    </row>
    <row r="1083" spans="1:58" ht="14.25" x14ac:dyDescent="0.2">
      <c r="A1083" t="str">
        <f t="shared" si="202"/>
        <v>A3</v>
      </c>
      <c r="B1083" s="2" t="s">
        <v>656</v>
      </c>
      <c r="C1083">
        <f t="shared" si="203"/>
        <v>604.23</v>
      </c>
      <c r="D1083" t="str">
        <f t="shared" si="210"/>
        <v>UFD</v>
      </c>
      <c r="E1083" s="169" t="str">
        <f>IF(OR(A1083="",B1083="",C1083=""),"eine der Spalten BAB, FR, km leer?",CONCATENATE(VLOOKUP(VALUE(I1083),[1]Grundlage!$A$1:$B$14,2,0),IF(LEFT(A1083,1)="A",IF(VALUE(MID(A1083,2,10))&lt;10,"A00"&amp;VALUE(MID(A1083,2,10)),IF(VALUE(MID(A1083,2,10))&lt;100,"A0"&amp;VALUE(MID(A1083,2,10)),IF(VALUE(MID(A1083,2,10))&lt;1000,"A"&amp;VALUE(MID(A1083,2,10))))),IF(LEFT(A1083,1)="B",IF(VALUE(MID(A1083,2,10))&lt;10,"B00"&amp;VALUE(MID(A1083,2,10)),IF(VALUE(MID(A1083,2,10))&lt;100,"B0"&amp;VALUE(MID(A1083,2,10)),IF(VALUE(MID(A1083,2,10))&lt;1000,"B"&amp;VALUE(MID(A1083,2,10))))),A1083)),"_",IF(NOT(OR(C1083=1000,C1083&gt;1000)),MID(TEXT((C1083+1000)*1000,0),2,6),"keine Meter in Spalte km!!!"),IF(VALUE(I1083)=1,CONCATENATE("_",VLOOKUP(IF(V1083&gt;0,V1083,J1083),[1]Grundlage!$A$20:$B$181,2,0)),CONCATENATE("_",B1083))))</f>
        <v>UQ_A003_604230_N</v>
      </c>
      <c r="F1083" s="2" t="s">
        <v>670</v>
      </c>
      <c r="G1083" s="167">
        <f t="shared" si="211"/>
        <v>1241</v>
      </c>
      <c r="H1083">
        <f t="shared" si="212"/>
        <v>18</v>
      </c>
      <c r="I1083" s="2">
        <f t="shared" si="204"/>
        <v>3</v>
      </c>
      <c r="J1083" s="2">
        <f t="shared" si="205"/>
        <v>19</v>
      </c>
      <c r="K1083" s="13">
        <v>210</v>
      </c>
      <c r="L1083" s="2">
        <f t="shared" si="206"/>
        <v>15</v>
      </c>
      <c r="M1083" s="2">
        <f t="shared" si="207"/>
        <v>1</v>
      </c>
      <c r="N1083" s="2">
        <f t="shared" si="208"/>
        <v>7</v>
      </c>
      <c r="P1083" s="168">
        <v>49</v>
      </c>
      <c r="AT1083" s="19">
        <v>3</v>
      </c>
      <c r="AU1083" s="14">
        <v>19</v>
      </c>
      <c r="AV1083" s="14"/>
      <c r="AW1083" s="13"/>
      <c r="AX1083" s="13"/>
      <c r="AY1083" s="19">
        <v>1</v>
      </c>
      <c r="AZ1083" s="14">
        <f t="shared" si="213"/>
        <v>7</v>
      </c>
      <c r="BA1083" s="14"/>
      <c r="BB1083" s="13" t="s">
        <v>98</v>
      </c>
      <c r="BC1083" s="13"/>
      <c r="BD1083" s="13"/>
      <c r="BF1083" s="19" t="s">
        <v>463</v>
      </c>
    </row>
    <row r="1084" spans="1:58" ht="14.25" x14ac:dyDescent="0.2">
      <c r="A1084" t="str">
        <f t="shared" si="202"/>
        <v>A3</v>
      </c>
      <c r="B1084" s="2" t="s">
        <v>656</v>
      </c>
      <c r="C1084">
        <f t="shared" si="203"/>
        <v>604.23</v>
      </c>
      <c r="D1084" t="str">
        <f t="shared" si="210"/>
        <v>UFD</v>
      </c>
      <c r="E1084" s="169" t="str">
        <f>IF(OR(A1084="",B1084="",C1084=""),"eine der Spalten BAB, FR, km leer?",CONCATENATE(VLOOKUP(VALUE(I1084),[1]Grundlage!$A$1:$B$14,2,0),IF(LEFT(A1084,1)="A",IF(VALUE(MID(A1084,2,10))&lt;10,"A00"&amp;VALUE(MID(A1084,2,10)),IF(VALUE(MID(A1084,2,10))&lt;100,"A0"&amp;VALUE(MID(A1084,2,10)),IF(VALUE(MID(A1084,2,10))&lt;1000,"A"&amp;VALUE(MID(A1084,2,10))))),IF(LEFT(A1084,1)="B",IF(VALUE(MID(A1084,2,10))&lt;10,"B00"&amp;VALUE(MID(A1084,2,10)),IF(VALUE(MID(A1084,2,10))&lt;100,"B0"&amp;VALUE(MID(A1084,2,10)),IF(VALUE(MID(A1084,2,10))&lt;1000,"B"&amp;VALUE(MID(A1084,2,10))))),A1084)),"_",IF(NOT(OR(C1084=1000,C1084&gt;1000)),MID(TEXT((C1084+1000)*1000,0),2,6),"keine Meter in Spalte km!!!"),IF(VALUE(I1084)=1,CONCATENATE("_",VLOOKUP(IF(V1084&gt;0,V1084,J1084),[1]Grundlage!$A$20:$B$181,2,0)),CONCATENATE("_",B1084))))</f>
        <v>UQ_A003_604230_N</v>
      </c>
      <c r="F1084" s="2" t="s">
        <v>30</v>
      </c>
      <c r="G1084" s="167">
        <f t="shared" si="211"/>
        <v>1241</v>
      </c>
      <c r="H1084">
        <f t="shared" si="212"/>
        <v>18</v>
      </c>
      <c r="I1084" s="2">
        <f t="shared" si="204"/>
        <v>3</v>
      </c>
      <c r="J1084" s="2">
        <f t="shared" si="205"/>
        <v>21</v>
      </c>
      <c r="K1084" s="13">
        <v>210</v>
      </c>
      <c r="L1084" s="2">
        <f t="shared" si="206"/>
        <v>15</v>
      </c>
      <c r="M1084" s="2">
        <f t="shared" si="207"/>
        <v>1</v>
      </c>
      <c r="N1084" s="2">
        <f t="shared" si="208"/>
        <v>8</v>
      </c>
      <c r="P1084" s="168">
        <f t="shared" si="209"/>
        <v>67</v>
      </c>
      <c r="AT1084" s="19">
        <v>3</v>
      </c>
      <c r="AU1084" s="14">
        <v>21</v>
      </c>
      <c r="AV1084" s="14"/>
      <c r="AW1084" s="13"/>
      <c r="AX1084" s="13"/>
      <c r="AY1084" s="19">
        <v>1</v>
      </c>
      <c r="AZ1084" s="14">
        <f t="shared" si="213"/>
        <v>8</v>
      </c>
      <c r="BA1084" s="14"/>
      <c r="BB1084" s="13" t="s">
        <v>30</v>
      </c>
      <c r="BC1084" s="13"/>
      <c r="BD1084" s="13"/>
      <c r="BF1084" s="19" t="s">
        <v>464</v>
      </c>
    </row>
    <row r="1085" spans="1:58" ht="14.25" x14ac:dyDescent="0.2">
      <c r="A1085" t="str">
        <f t="shared" si="202"/>
        <v>A3</v>
      </c>
      <c r="B1085" s="2" t="s">
        <v>656</v>
      </c>
      <c r="C1085">
        <f t="shared" si="203"/>
        <v>604.23</v>
      </c>
      <c r="D1085" t="str">
        <f t="shared" si="210"/>
        <v>UFD</v>
      </c>
      <c r="E1085" s="169" t="str">
        <f>IF(OR(A1085="",B1085="",C1085=""),"eine der Spalten BAB, FR, km leer?",CONCATENATE(VLOOKUP(VALUE(I1085),[1]Grundlage!$A$1:$B$14,2,0),IF(LEFT(A1085,1)="A",IF(VALUE(MID(A1085,2,10))&lt;10,"A00"&amp;VALUE(MID(A1085,2,10)),IF(VALUE(MID(A1085,2,10))&lt;100,"A0"&amp;VALUE(MID(A1085,2,10)),IF(VALUE(MID(A1085,2,10))&lt;1000,"A"&amp;VALUE(MID(A1085,2,10))))),IF(LEFT(A1085,1)="B",IF(VALUE(MID(A1085,2,10))&lt;10,"B00"&amp;VALUE(MID(A1085,2,10)),IF(VALUE(MID(A1085,2,10))&lt;100,"B0"&amp;VALUE(MID(A1085,2,10)),IF(VALUE(MID(A1085,2,10))&lt;1000,"B"&amp;VALUE(MID(A1085,2,10))))),A1085)),"_",IF(NOT(OR(C1085=1000,C1085&gt;1000)),MID(TEXT((C1085+1000)*1000,0),2,6),"keine Meter in Spalte km!!!"),IF(VALUE(I1085)=1,CONCATENATE("_",VLOOKUP(IF(V1085&gt;0,V1085,J1085),[1]Grundlage!$A$20:$B$181,2,0)),CONCATENATE("_",B1085))))</f>
        <v>UQ_A003_604230_N</v>
      </c>
      <c r="F1085" s="2" t="s">
        <v>42</v>
      </c>
      <c r="G1085" s="167">
        <f t="shared" si="211"/>
        <v>1241</v>
      </c>
      <c r="H1085">
        <f t="shared" si="212"/>
        <v>18</v>
      </c>
      <c r="I1085" s="2">
        <f t="shared" si="204"/>
        <v>3</v>
      </c>
      <c r="J1085" s="2">
        <f t="shared" si="205"/>
        <v>25</v>
      </c>
      <c r="K1085" s="13">
        <v>210</v>
      </c>
      <c r="L1085" s="2">
        <f t="shared" si="206"/>
        <v>15</v>
      </c>
      <c r="M1085" s="2">
        <f t="shared" si="207"/>
        <v>1</v>
      </c>
      <c r="N1085" s="2">
        <f t="shared" si="208"/>
        <v>9</v>
      </c>
      <c r="P1085" s="168">
        <f>IF(AT1085&lt;&gt;3,"",IF(BB1085="Helligkeitssensor",61,IF(BB1085="Helligkeit",61,IF(BB1086="Lichtsensor",61,IF(BB1085="Lufttemperatur",48,IF(BB1085="Niederschlagsart",71,IF(BB1085="Niederschlagsintensität",53,IF(BB1085="relative Luftfeuchte RLF",55,IF(BB1085="Sichtweite",60,IF(BB1085="Sichtweite 1",60,IF(BB1085="Zustand der Fahrbahnoberfläche FBZ",79,IF(BB1085="Wasserfilmdicke WFD",72,IF(BB1085="Clusterkanal FG3","",IF(BB1085="Gefriertemperatur GT",65,IF(BB1085="Fahrbahnoberflächentemperatur FBT",49,IF(BB1085="Windrichtung  Typ 56 ",56,VALUE(RIGHT(BB1085,2))))))))))))))))))</f>
        <v>56</v>
      </c>
      <c r="AT1085" s="19">
        <v>3</v>
      </c>
      <c r="AU1085" s="14">
        <v>25</v>
      </c>
      <c r="AV1085" s="14"/>
      <c r="AW1085" s="13"/>
      <c r="AX1085" s="13"/>
      <c r="AY1085" s="19">
        <v>1</v>
      </c>
      <c r="AZ1085" s="14">
        <f t="shared" si="213"/>
        <v>9</v>
      </c>
      <c r="BA1085" s="14"/>
      <c r="BB1085" s="13" t="s">
        <v>42</v>
      </c>
      <c r="BC1085" s="13"/>
      <c r="BD1085" s="13"/>
      <c r="BF1085" s="19" t="s">
        <v>445</v>
      </c>
    </row>
    <row r="1086" spans="1:58" ht="13.5" customHeight="1" x14ac:dyDescent="0.2">
      <c r="A1086" t="str">
        <f t="shared" si="202"/>
        <v>A3</v>
      </c>
      <c r="B1086" s="2" t="s">
        <v>656</v>
      </c>
      <c r="C1086">
        <f t="shared" si="203"/>
        <v>604.23</v>
      </c>
      <c r="D1086" t="str">
        <f t="shared" si="210"/>
        <v>UFD</v>
      </c>
      <c r="E1086" s="169" t="str">
        <f>IF(OR(A1086="",B1086="",C1086=""),"eine der Spalten BAB, FR, km leer?",CONCATENATE(VLOOKUP(VALUE(I1086),[1]Grundlage!$A$1:$B$14,2,0),IF(LEFT(A1086,1)="A",IF(VALUE(MID(A1086,2,10))&lt;10,"A00"&amp;VALUE(MID(A1086,2,10)),IF(VALUE(MID(A1086,2,10))&lt;100,"A0"&amp;VALUE(MID(A1086,2,10)),IF(VALUE(MID(A1086,2,10))&lt;1000,"A"&amp;VALUE(MID(A1086,2,10))))),IF(LEFT(A1086,1)="B",IF(VALUE(MID(A1086,2,10))&lt;10,"B00"&amp;VALUE(MID(A1086,2,10)),IF(VALUE(MID(A1086,2,10))&lt;100,"B0"&amp;VALUE(MID(A1086,2,10)),IF(VALUE(MID(A1086,2,10))&lt;1000,"B"&amp;VALUE(MID(A1086,2,10))))),A1086)),"_",IF(NOT(OR(C1086=1000,C1086&gt;1000)),MID(TEXT((C1086+1000)*1000,0),2,6),"keine Meter in Spalte km!!!"),IF(VALUE(I1086)=1,CONCATENATE("_",VLOOKUP(IF(V1086&gt;0,V1086,J1086),[1]Grundlage!$A$20:$B$181,2,0)),CONCATENATE("_",B1086))))</f>
        <v>UQ_A003_604230_N</v>
      </c>
      <c r="F1086" s="2" t="s">
        <v>43</v>
      </c>
      <c r="G1086" s="167">
        <f t="shared" si="211"/>
        <v>1241</v>
      </c>
      <c r="H1086">
        <f t="shared" si="212"/>
        <v>18</v>
      </c>
      <c r="I1086" s="2">
        <f t="shared" si="204"/>
        <v>3</v>
      </c>
      <c r="J1086" s="2">
        <f t="shared" si="205"/>
        <v>26</v>
      </c>
      <c r="K1086" s="13">
        <v>210</v>
      </c>
      <c r="L1086" s="2">
        <f t="shared" si="206"/>
        <v>15</v>
      </c>
      <c r="M1086" s="2">
        <f t="shared" si="207"/>
        <v>1</v>
      </c>
      <c r="N1086" s="2">
        <f t="shared" si="208"/>
        <v>10</v>
      </c>
      <c r="P1086" s="168">
        <f t="shared" si="209"/>
        <v>57</v>
      </c>
      <c r="AT1086" s="19">
        <v>3</v>
      </c>
      <c r="AU1086" s="14">
        <v>26</v>
      </c>
      <c r="AV1086" s="14"/>
      <c r="AW1086" s="13"/>
      <c r="AX1086" s="13"/>
      <c r="AY1086" s="19">
        <v>1</v>
      </c>
      <c r="AZ1086" s="14">
        <f t="shared" si="213"/>
        <v>10</v>
      </c>
      <c r="BA1086" s="14"/>
      <c r="BB1086" s="13" t="s">
        <v>43</v>
      </c>
      <c r="BC1086" s="13"/>
      <c r="BD1086" s="13"/>
      <c r="BF1086" s="19" t="s">
        <v>446</v>
      </c>
    </row>
    <row r="1087" spans="1:58" ht="13.5" customHeight="1" x14ac:dyDescent="0.2">
      <c r="A1087" t="str">
        <f t="shared" si="202"/>
        <v>A3</v>
      </c>
      <c r="B1087" s="2" t="s">
        <v>656</v>
      </c>
      <c r="C1087">
        <f t="shared" si="203"/>
        <v>604.23</v>
      </c>
      <c r="D1087" t="str">
        <f t="shared" si="210"/>
        <v>UFD</v>
      </c>
      <c r="E1087" s="169" t="str">
        <f>IF(OR(A1087="",B1087="",C1087=""),"eine der Spalten BAB, FR, km leer?",CONCATENATE(VLOOKUP(VALUE(I1087),[1]Grundlage!$A$1:$B$14,2,0),IF(LEFT(A1087,1)="A",IF(VALUE(MID(A1087,2,10))&lt;10,"A00"&amp;VALUE(MID(A1087,2,10)),IF(VALUE(MID(A1087,2,10))&lt;100,"A0"&amp;VALUE(MID(A1087,2,10)),IF(VALUE(MID(A1087,2,10))&lt;1000,"A"&amp;VALUE(MID(A1087,2,10))))),IF(LEFT(A1087,1)="B",IF(VALUE(MID(A1087,2,10))&lt;10,"B00"&amp;VALUE(MID(A1087,2,10)),IF(VALUE(MID(A1087,2,10))&lt;100,"B0"&amp;VALUE(MID(A1087,2,10)),IF(VALUE(MID(A1087,2,10))&lt;1000,"B"&amp;VALUE(MID(A1087,2,10))))),A1087)),"_",IF(NOT(OR(C1087=1000,C1087&gt;1000)),MID(TEXT((C1087+1000)*1000,0),2,6),"keine Meter in Spalte km!!!"),IF(VALUE(I1087)=1,CONCATENATE("_",VLOOKUP(IF(V1087&gt;0,V1087,J1087),[1]Grundlage!$A$20:$B$181,2,0)),CONCATENATE("_",B1087))))</f>
        <v>UQ_A003_604230_N</v>
      </c>
      <c r="F1087" s="2" t="s">
        <v>271</v>
      </c>
      <c r="G1087" s="167">
        <f t="shared" si="211"/>
        <v>1241</v>
      </c>
      <c r="H1087">
        <f t="shared" si="212"/>
        <v>18</v>
      </c>
      <c r="I1087" s="2">
        <f t="shared" si="204"/>
        <v>3</v>
      </c>
      <c r="J1087" s="2">
        <f t="shared" si="205"/>
        <v>67</v>
      </c>
      <c r="K1087" s="13">
        <v>210</v>
      </c>
      <c r="L1087" s="2">
        <f t="shared" si="206"/>
        <v>15</v>
      </c>
      <c r="M1087" s="2">
        <f t="shared" si="207"/>
        <v>1</v>
      </c>
      <c r="N1087" s="2">
        <f t="shared" si="208"/>
        <v>11</v>
      </c>
      <c r="P1087" s="168">
        <f t="shared" si="209"/>
        <v>53</v>
      </c>
      <c r="AT1087" s="19">
        <v>3</v>
      </c>
      <c r="AU1087" s="14">
        <v>67</v>
      </c>
      <c r="AV1087" s="14"/>
      <c r="AW1087" s="13"/>
      <c r="AX1087" s="13"/>
      <c r="AY1087" s="19">
        <v>1</v>
      </c>
      <c r="AZ1087" s="14">
        <f t="shared" si="213"/>
        <v>11</v>
      </c>
      <c r="BA1087" s="14"/>
      <c r="BB1087" s="13" t="s">
        <v>271</v>
      </c>
      <c r="BC1087" s="13"/>
      <c r="BD1087" s="13"/>
      <c r="BF1087" s="19" t="s">
        <v>444</v>
      </c>
    </row>
    <row r="1088" spans="1:58" ht="14.25" x14ac:dyDescent="0.2">
      <c r="A1088" t="str">
        <f t="shared" si="202"/>
        <v>A3</v>
      </c>
      <c r="B1088" s="2" t="s">
        <v>656</v>
      </c>
      <c r="C1088">
        <f t="shared" si="203"/>
        <v>604.23</v>
      </c>
      <c r="D1088" t="str">
        <f t="shared" si="210"/>
        <v>UFD</v>
      </c>
      <c r="E1088" s="169" t="str">
        <f>IF(OR(A1088="",B1088="",C1088=""),"eine der Spalten BAB, FR, km leer?",CONCATENATE(VLOOKUP(VALUE(I1088),[1]Grundlage!$A$1:$B$14,2,0),IF(LEFT(A1088,1)="A",IF(VALUE(MID(A1088,2,10))&lt;10,"A00"&amp;VALUE(MID(A1088,2,10)),IF(VALUE(MID(A1088,2,10))&lt;100,"A0"&amp;VALUE(MID(A1088,2,10)),IF(VALUE(MID(A1088,2,10))&lt;1000,"A"&amp;VALUE(MID(A1088,2,10))))),IF(LEFT(A1088,1)="B",IF(VALUE(MID(A1088,2,10))&lt;10,"B00"&amp;VALUE(MID(A1088,2,10)),IF(VALUE(MID(A1088,2,10))&lt;100,"B0"&amp;VALUE(MID(A1088,2,10)),IF(VALUE(MID(A1088,2,10))&lt;1000,"B"&amp;VALUE(MID(A1088,2,10))))),A1088)),"_",IF(NOT(OR(C1088=1000,C1088&gt;1000)),MID(TEXT((C1088+1000)*1000,0),2,6),"keine Meter in Spalte km!!!"),IF(VALUE(I1088)=1,CONCATENATE("_",VLOOKUP(IF(V1088&gt;0,V1088,J1088),[1]Grundlage!$A$20:$B$181,2,0)),CONCATENATE("_",B1088))))</f>
        <v>UQ_A003_604230_N</v>
      </c>
      <c r="F1088" s="2" t="s">
        <v>682</v>
      </c>
      <c r="G1088" s="167">
        <f t="shared" si="211"/>
        <v>1241</v>
      </c>
      <c r="H1088">
        <f t="shared" si="212"/>
        <v>18</v>
      </c>
      <c r="I1088" s="2">
        <f t="shared" si="204"/>
        <v>3</v>
      </c>
      <c r="J1088" s="2">
        <f t="shared" si="205"/>
        <v>82</v>
      </c>
      <c r="K1088" s="13">
        <v>210</v>
      </c>
      <c r="L1088" s="2">
        <f t="shared" si="206"/>
        <v>15</v>
      </c>
      <c r="M1088" s="2">
        <f t="shared" si="207"/>
        <v>1</v>
      </c>
      <c r="N1088" s="2">
        <f t="shared" si="208"/>
        <v>12</v>
      </c>
      <c r="P1088" s="168">
        <v>72</v>
      </c>
      <c r="AT1088" s="19">
        <v>3</v>
      </c>
      <c r="AU1088" s="14">
        <v>82</v>
      </c>
      <c r="AV1088" s="14"/>
      <c r="AW1088" s="13"/>
      <c r="AX1088" s="13"/>
      <c r="AY1088" s="19">
        <v>1</v>
      </c>
      <c r="AZ1088" s="14">
        <f t="shared" si="213"/>
        <v>12</v>
      </c>
      <c r="BA1088" s="13"/>
      <c r="BB1088" s="13" t="s">
        <v>373</v>
      </c>
      <c r="BC1088" s="13"/>
      <c r="BD1088" s="13"/>
      <c r="BF1088" s="19" t="s">
        <v>466</v>
      </c>
    </row>
    <row r="1089" spans="1:58" ht="14.25" x14ac:dyDescent="0.2">
      <c r="A1089" t="str">
        <f t="shared" si="202"/>
        <v>A3</v>
      </c>
      <c r="B1089" s="2" t="s">
        <v>656</v>
      </c>
      <c r="C1089">
        <f t="shared" si="203"/>
        <v>604.23</v>
      </c>
      <c r="D1089" t="str">
        <f t="shared" si="210"/>
        <v>UFD</v>
      </c>
      <c r="E1089" s="169" t="str">
        <f>IF(OR(A1089="",B1089="",C1089=""),"eine der Spalten BAB, FR, km leer?",CONCATENATE(VLOOKUP(VALUE(I1089),[1]Grundlage!$A$1:$B$14,2,0),IF(LEFT(A1089,1)="A",IF(VALUE(MID(A1089,2,10))&lt;10,"A00"&amp;VALUE(MID(A1089,2,10)),IF(VALUE(MID(A1089,2,10))&lt;100,"A0"&amp;VALUE(MID(A1089,2,10)),IF(VALUE(MID(A1089,2,10))&lt;1000,"A"&amp;VALUE(MID(A1089,2,10))))),IF(LEFT(A1089,1)="B",IF(VALUE(MID(A1089,2,10))&lt;10,"B00"&amp;VALUE(MID(A1089,2,10)),IF(VALUE(MID(A1089,2,10))&lt;100,"B0"&amp;VALUE(MID(A1089,2,10)),IF(VALUE(MID(A1089,2,10))&lt;1000,"B"&amp;VALUE(MID(A1089,2,10))))),A1089)),"_",IF(NOT(OR(C1089=1000,C1089&gt;1000)),MID(TEXT((C1089+1000)*1000,0),2,6),"keine Meter in Spalte km!!!"),IF(VALUE(I1089)=1,CONCATENATE("_",VLOOKUP(IF(V1089&gt;0,V1089,J1089),[1]Grundlage!$A$20:$B$181,2,0)),CONCATENATE("_",B1089))))</f>
        <v>UQ_A003_604230_N</v>
      </c>
      <c r="F1089" s="2" t="s">
        <v>689</v>
      </c>
      <c r="G1089" s="167">
        <f t="shared" si="211"/>
        <v>1241</v>
      </c>
      <c r="H1089">
        <f t="shared" si="212"/>
        <v>18</v>
      </c>
      <c r="I1089" s="2">
        <f t="shared" si="204"/>
        <v>3</v>
      </c>
      <c r="J1089" s="2">
        <f t="shared" si="205"/>
        <v>111</v>
      </c>
      <c r="K1089" s="13">
        <v>210</v>
      </c>
      <c r="L1089" s="2">
        <f t="shared" si="206"/>
        <v>15</v>
      </c>
      <c r="M1089" s="2">
        <f t="shared" si="207"/>
        <v>1</v>
      </c>
      <c r="N1089" s="2">
        <f t="shared" si="208"/>
        <v>13</v>
      </c>
      <c r="P1089" s="168">
        <v>70</v>
      </c>
      <c r="AT1089" s="19">
        <v>3</v>
      </c>
      <c r="AU1089" s="14">
        <v>111</v>
      </c>
      <c r="AV1089" s="14"/>
      <c r="AW1089" s="13"/>
      <c r="AX1089" s="13"/>
      <c r="AY1089" s="19">
        <v>1</v>
      </c>
      <c r="AZ1089" s="14">
        <f t="shared" si="213"/>
        <v>13</v>
      </c>
      <c r="BA1089" s="14"/>
      <c r="BB1089" s="13" t="s">
        <v>374</v>
      </c>
      <c r="BC1089" s="13"/>
      <c r="BD1089" s="13"/>
      <c r="BF1089" s="19" t="s">
        <v>467</v>
      </c>
    </row>
    <row r="1090" spans="1:58" ht="14.25" x14ac:dyDescent="0.2">
      <c r="A1090" t="str">
        <f t="shared" si="202"/>
        <v>A3</v>
      </c>
      <c r="B1090" s="2" t="s">
        <v>656</v>
      </c>
      <c r="C1090">
        <f t="shared" si="203"/>
        <v>604.23</v>
      </c>
      <c r="D1090" t="str">
        <f t="shared" si="210"/>
        <v>UFD</v>
      </c>
      <c r="E1090" s="169" t="str">
        <f>IF(OR(A1090="",B1090="",C1090=""),"eine der Spalten BAB, FR, km leer?",CONCATENATE(VLOOKUP(VALUE(I1090),[1]Grundlage!$A$1:$B$14,2,0),IF(LEFT(A1090,1)="A",IF(VALUE(MID(A1090,2,10))&lt;10,"A00"&amp;VALUE(MID(A1090,2,10)),IF(VALUE(MID(A1090,2,10))&lt;100,"A0"&amp;VALUE(MID(A1090,2,10)),IF(VALUE(MID(A1090,2,10))&lt;1000,"A"&amp;VALUE(MID(A1090,2,10))))),IF(LEFT(A1090,1)="B",IF(VALUE(MID(A1090,2,10))&lt;10,"B00"&amp;VALUE(MID(A1090,2,10)),IF(VALUE(MID(A1090,2,10))&lt;100,"B0"&amp;VALUE(MID(A1090,2,10)),IF(VALUE(MID(A1090,2,10))&lt;1000,"B"&amp;VALUE(MID(A1090,2,10))))),A1090)),"_",IF(NOT(OR(C1090=1000,C1090&gt;1000)),MID(TEXT((C1090+1000)*1000,0),2,6),"keine Meter in Spalte km!!!"),IF(VALUE(I1090)=1,CONCATENATE("_",VLOOKUP(IF(V1090&gt;0,V1090,J1090),[1]Grundlage!$A$20:$B$181,2,0)),CONCATENATE("_",B1090))))</f>
        <v>UQ_A003_604230_N</v>
      </c>
      <c r="F1090" s="2" t="s">
        <v>691</v>
      </c>
      <c r="G1090" s="167">
        <f t="shared" si="211"/>
        <v>1241</v>
      </c>
      <c r="H1090">
        <f t="shared" si="212"/>
        <v>18</v>
      </c>
      <c r="I1090" s="2">
        <f t="shared" si="204"/>
        <v>3</v>
      </c>
      <c r="J1090" s="2">
        <f t="shared" si="205"/>
        <v>119</v>
      </c>
      <c r="K1090" s="13">
        <v>210</v>
      </c>
      <c r="L1090" s="2">
        <f t="shared" si="206"/>
        <v>15</v>
      </c>
      <c r="M1090" s="2">
        <f t="shared" si="207"/>
        <v>1</v>
      </c>
      <c r="N1090" s="2">
        <f t="shared" si="208"/>
        <v>14</v>
      </c>
      <c r="P1090" s="168">
        <v>49</v>
      </c>
      <c r="AT1090" s="19">
        <v>3</v>
      </c>
      <c r="AU1090" s="14">
        <v>119</v>
      </c>
      <c r="AV1090" s="14"/>
      <c r="AW1090" s="13"/>
      <c r="AX1090" s="13"/>
      <c r="AY1090" s="19">
        <v>1</v>
      </c>
      <c r="AZ1090" s="14">
        <f t="shared" si="213"/>
        <v>14</v>
      </c>
      <c r="BA1090" s="14"/>
      <c r="BB1090" s="13" t="s">
        <v>375</v>
      </c>
      <c r="BC1090" s="13"/>
      <c r="BD1090" s="13"/>
      <c r="BF1090" s="19" t="s">
        <v>468</v>
      </c>
    </row>
    <row r="1091" spans="1:58" ht="14.25" x14ac:dyDescent="0.2">
      <c r="A1091" t="str">
        <f t="shared" si="202"/>
        <v>A3</v>
      </c>
      <c r="B1091" s="2" t="s">
        <v>656</v>
      </c>
      <c r="C1091">
        <f t="shared" si="203"/>
        <v>604.23</v>
      </c>
      <c r="D1091" t="str">
        <f t="shared" si="210"/>
        <v>UFD</v>
      </c>
      <c r="E1091" s="169" t="str">
        <f>IF(OR(A1091="",B1091="",C1091=""),"eine der Spalten BAB, FR, km leer?",CONCATENATE(VLOOKUP(VALUE(I1091),[1]Grundlage!$A$1:$B$14,2,0),IF(LEFT(A1091,1)="A",IF(VALUE(MID(A1091,2,10))&lt;10,"A00"&amp;VALUE(MID(A1091,2,10)),IF(VALUE(MID(A1091,2,10))&lt;100,"A0"&amp;VALUE(MID(A1091,2,10)),IF(VALUE(MID(A1091,2,10))&lt;1000,"A"&amp;VALUE(MID(A1091,2,10))))),IF(LEFT(A1091,1)="B",IF(VALUE(MID(A1091,2,10))&lt;10,"B00"&amp;VALUE(MID(A1091,2,10)),IF(VALUE(MID(A1091,2,10))&lt;100,"B0"&amp;VALUE(MID(A1091,2,10)),IF(VALUE(MID(A1091,2,10))&lt;1000,"B"&amp;VALUE(MID(A1091,2,10))))),A1091)),"_",IF(NOT(OR(C1091=1000,C1091&gt;1000)),MID(TEXT((C1091+1000)*1000,0),2,6),"keine Meter in Spalte km!!!"),IF(VALUE(I1091)=1,CONCATENATE("_",VLOOKUP(IF(V1091&gt;0,V1091,J1091),[1]Grundlage!$A$20:$B$181,2,0)),CONCATENATE("_",B1091))))</f>
        <v>UQ_A003_604230_N</v>
      </c>
      <c r="F1091" s="2" t="s">
        <v>692</v>
      </c>
      <c r="G1091" s="167">
        <f t="shared" si="211"/>
        <v>1241</v>
      </c>
      <c r="H1091">
        <f t="shared" si="212"/>
        <v>18</v>
      </c>
      <c r="I1091" s="2">
        <f t="shared" si="204"/>
        <v>3</v>
      </c>
      <c r="J1091" s="2">
        <f t="shared" si="205"/>
        <v>121</v>
      </c>
      <c r="K1091" s="13">
        <v>210</v>
      </c>
      <c r="L1091" s="2">
        <f t="shared" si="206"/>
        <v>15</v>
      </c>
      <c r="M1091" s="2">
        <f t="shared" si="207"/>
        <v>1</v>
      </c>
      <c r="N1091" s="2">
        <f t="shared" si="208"/>
        <v>15</v>
      </c>
      <c r="P1091" s="168">
        <v>67</v>
      </c>
      <c r="AT1091" s="19">
        <v>3</v>
      </c>
      <c r="AU1091" s="14">
        <v>121</v>
      </c>
      <c r="AV1091" s="14"/>
      <c r="AW1091" s="13"/>
      <c r="AX1091" s="13"/>
      <c r="AY1091" s="19">
        <v>1</v>
      </c>
      <c r="AZ1091" s="14">
        <f t="shared" si="213"/>
        <v>15</v>
      </c>
      <c r="BA1091" s="14"/>
      <c r="BB1091" s="13" t="s">
        <v>394</v>
      </c>
      <c r="BC1091" s="13"/>
      <c r="BD1091" s="13"/>
      <c r="BF1091" s="19" t="s">
        <v>469</v>
      </c>
    </row>
    <row r="1092" spans="1:58" ht="14.25" x14ac:dyDescent="0.2">
      <c r="A1092" t="str">
        <f t="shared" si="202"/>
        <v>A3</v>
      </c>
      <c r="B1092" s="2" t="s">
        <v>656</v>
      </c>
      <c r="C1092">
        <f t="shared" si="203"/>
        <v>604.23</v>
      </c>
      <c r="D1092" t="str">
        <f t="shared" si="210"/>
        <v>UFD</v>
      </c>
      <c r="E1092" s="169" t="str">
        <f>IF(OR(A1092="",B1092="",C1092=""),"eine der Spalten BAB, FR, km leer?",CONCATENATE(VLOOKUP(VALUE(I1092),[1]Grundlage!$A$1:$B$14,2,0),IF(LEFT(A1092,1)="A",IF(VALUE(MID(A1092,2,10))&lt;10,"A00"&amp;VALUE(MID(A1092,2,10)),IF(VALUE(MID(A1092,2,10))&lt;100,"A0"&amp;VALUE(MID(A1092,2,10)),IF(VALUE(MID(A1092,2,10))&lt;1000,"A"&amp;VALUE(MID(A1092,2,10))))),IF(LEFT(A1092,1)="B",IF(VALUE(MID(A1092,2,10))&lt;10,"B00"&amp;VALUE(MID(A1092,2,10)),IF(VALUE(MID(A1092,2,10))&lt;100,"B0"&amp;VALUE(MID(A1092,2,10)),IF(VALUE(MID(A1092,2,10))&lt;1000,"B"&amp;VALUE(MID(A1092,2,10))))),A1092)),"_",IF(NOT(OR(C1092=1000,C1092&gt;1000)),MID(TEXT((C1092+1000)*1000,0),2,6),"keine Meter in Spalte km!!!"),IF(VALUE(I1092)=1,CONCATENATE("_",VLOOKUP(IF(V1092&gt;0,V1092,J1092),[1]Grundlage!$A$20:$B$181,2,0)),CONCATENATE("_",B1092))))</f>
        <v>UQ_A003_604230_N</v>
      </c>
      <c r="F1092" s="2" t="s">
        <v>699</v>
      </c>
      <c r="G1092" s="167">
        <f t="shared" si="211"/>
        <v>1241</v>
      </c>
      <c r="H1092">
        <f t="shared" si="212"/>
        <v>18</v>
      </c>
      <c r="I1092" s="2">
        <f t="shared" si="204"/>
        <v>3</v>
      </c>
      <c r="J1092" s="2">
        <f t="shared" si="205"/>
        <v>182</v>
      </c>
      <c r="K1092" s="13">
        <v>210</v>
      </c>
      <c r="L1092" s="2">
        <f t="shared" si="206"/>
        <v>15</v>
      </c>
      <c r="M1092" s="2">
        <f t="shared" si="207"/>
        <v>1</v>
      </c>
      <c r="N1092" s="2">
        <f t="shared" si="208"/>
        <v>16</v>
      </c>
      <c r="P1092" s="168">
        <v>72</v>
      </c>
      <c r="AT1092" s="19">
        <v>3</v>
      </c>
      <c r="AU1092" s="14">
        <v>182</v>
      </c>
      <c r="AV1092" s="14"/>
      <c r="AW1092" s="13"/>
      <c r="AX1092" s="13"/>
      <c r="AY1092" s="19">
        <v>1</v>
      </c>
      <c r="AZ1092" s="14">
        <f t="shared" si="213"/>
        <v>16</v>
      </c>
      <c r="BA1092" s="14"/>
      <c r="BB1092" s="13" t="s">
        <v>376</v>
      </c>
      <c r="BC1092" s="13"/>
      <c r="BD1092" s="13"/>
      <c r="BF1092" s="19" t="s">
        <v>470</v>
      </c>
    </row>
    <row r="1093" spans="1:58" ht="14.25" x14ac:dyDescent="0.2">
      <c r="A1093" t="str">
        <f t="shared" si="202"/>
        <v>A3</v>
      </c>
      <c r="B1093" s="2" t="s">
        <v>656</v>
      </c>
      <c r="C1093">
        <f t="shared" si="203"/>
        <v>604.23</v>
      </c>
      <c r="D1093" t="str">
        <f t="shared" si="210"/>
        <v>UFD</v>
      </c>
      <c r="E1093" s="169" t="str">
        <f>IF(OR(A1093="",B1093="",C1093=""),"eine der Spalten BAB, FR, km leer?",CONCATENATE(VLOOKUP(VALUE(I1093),[1]Grundlage!$A$1:$B$14,2,0),IF(LEFT(A1093,1)="A",IF(VALUE(MID(A1093,2,10))&lt;10,"A00"&amp;VALUE(MID(A1093,2,10)),IF(VALUE(MID(A1093,2,10))&lt;100,"A0"&amp;VALUE(MID(A1093,2,10)),IF(VALUE(MID(A1093,2,10))&lt;1000,"A"&amp;VALUE(MID(A1093,2,10))))),IF(LEFT(A1093,1)="B",IF(VALUE(MID(A1093,2,10))&lt;10,"B00"&amp;VALUE(MID(A1093,2,10)),IF(VALUE(MID(A1093,2,10))&lt;100,"B0"&amp;VALUE(MID(A1093,2,10)),IF(VALUE(MID(A1093,2,10))&lt;1000,"B"&amp;VALUE(MID(A1093,2,10))))),A1093)),"_",IF(NOT(OR(C1093=1000,C1093&gt;1000)),MID(TEXT((C1093+1000)*1000,0),2,6),"keine Meter in Spalte km!!!"),IF(VALUE(I1093)=1,CONCATENATE("_",VLOOKUP(IF(V1093&gt;0,V1093,J1093),[1]Grundlage!$A$20:$B$181,2,0)),CONCATENATE("_",B1093))))</f>
        <v>UQ_A003_604230_N</v>
      </c>
      <c r="F1093" s="2" t="s">
        <v>684</v>
      </c>
      <c r="G1093" s="167">
        <f t="shared" si="211"/>
        <v>1241</v>
      </c>
      <c r="H1093">
        <f t="shared" si="212"/>
        <v>18</v>
      </c>
      <c r="I1093" s="2">
        <f t="shared" si="204"/>
        <v>3</v>
      </c>
      <c r="J1093" s="2">
        <f t="shared" si="205"/>
        <v>16</v>
      </c>
      <c r="K1093" s="13">
        <v>210</v>
      </c>
      <c r="L1093" s="2">
        <f t="shared" si="206"/>
        <v>15</v>
      </c>
      <c r="M1093" s="2">
        <f t="shared" si="207"/>
        <v>1</v>
      </c>
      <c r="N1093" s="2">
        <f t="shared" si="208"/>
        <v>17</v>
      </c>
      <c r="P1093" s="168">
        <v>65</v>
      </c>
      <c r="AT1093" s="19">
        <v>3</v>
      </c>
      <c r="AU1093" s="14">
        <v>16</v>
      </c>
      <c r="AV1093" s="14"/>
      <c r="AW1093" s="13"/>
      <c r="AX1093" s="13"/>
      <c r="AY1093" s="19">
        <v>1</v>
      </c>
      <c r="AZ1093" s="14">
        <v>17</v>
      </c>
      <c r="BA1093" s="14"/>
      <c r="BB1093" s="13" t="s">
        <v>99</v>
      </c>
      <c r="BC1093" s="13"/>
      <c r="BD1093" s="13"/>
      <c r="BF1093" s="19" t="s">
        <v>471</v>
      </c>
    </row>
    <row r="1094" spans="1:58" ht="14.25" x14ac:dyDescent="0.2">
      <c r="A1094" t="str">
        <f t="shared" si="202"/>
        <v>A3</v>
      </c>
      <c r="C1094">
        <f t="shared" si="203"/>
        <v>604.23</v>
      </c>
      <c r="D1094" t="str">
        <f t="shared" si="210"/>
        <v/>
      </c>
      <c r="E1094" s="169" t="str">
        <f>IF(OR(A1094="",B1094="",C1094=""),"",CONCATENATE(VLOOKUP(VALUE(I1094),[1]Grundlage!$A$1:$B$14,2,0),IF(LEFT(A1094,1)="A",IF(VALUE(MID(A1094,2,10))&lt;10,"A00"&amp;VALUE(MID(A1094,2,10)),IF(VALUE(MID(A1094,2,10))&lt;100,"A0"&amp;VALUE(MID(A1094,2,10)),IF(VALUE(MID(A1094,2,10))&lt;1000,"A"&amp;VALUE(MID(A1094,2,10))))),IF(LEFT(A1094,1)="B",IF(VALUE(MID(A1094,2,10))&lt;10,"B00"&amp;VALUE(MID(A1094,2,10)),IF(VALUE(MID(A1094,2,10))&lt;100,"B0"&amp;VALUE(MID(A1094,2,10)),IF(VALUE(MID(A1094,2,10))&lt;1000,"B"&amp;VALUE(MID(A1094,2,10))))),A1094)),"_",IF(NOT(OR(C1094=1000,C1094&gt;1000)),MID(TEXT((C1094+1000)*1000,0),2,6),"keine Meter in Spalte km!!!"),IF(VALUE(I1094)=1,CONCATENATE("_",VLOOKUP(IF(V1094&gt;0,V1094,J1094),[1]Grundlage!$A$20:$B$181,2,0)),CONCATENATE("_",B1094))))</f>
        <v/>
      </c>
      <c r="F1094" s="2" t="s">
        <v>669</v>
      </c>
      <c r="G1094" s="167">
        <f t="shared" si="211"/>
        <v>1241</v>
      </c>
      <c r="H1094">
        <f t="shared" si="212"/>
        <v>18</v>
      </c>
      <c r="I1094" s="2">
        <f t="shared" si="204"/>
        <v>0</v>
      </c>
      <c r="J1094" s="2">
        <f t="shared" si="205"/>
        <v>0</v>
      </c>
      <c r="K1094" s="13">
        <v>210</v>
      </c>
      <c r="L1094" s="2">
        <f t="shared" si="206"/>
        <v>15</v>
      </c>
      <c r="M1094" s="2" t="str">
        <f t="shared" si="207"/>
        <v/>
      </c>
      <c r="N1094" s="2" t="str">
        <f t="shared" si="208"/>
        <v/>
      </c>
      <c r="P1094" s="168" t="str">
        <f t="shared" si="209"/>
        <v/>
      </c>
    </row>
    <row r="1095" spans="1:58" ht="14.25" x14ac:dyDescent="0.2">
      <c r="A1095" t="str">
        <f t="shared" si="202"/>
        <v>A3</v>
      </c>
      <c r="B1095" s="2" t="s">
        <v>655</v>
      </c>
      <c r="C1095">
        <f t="shared" si="203"/>
        <v>628.29999999999995</v>
      </c>
      <c r="D1095" t="str">
        <f t="shared" si="210"/>
        <v>SS</v>
      </c>
      <c r="E1095" s="169" t="str">
        <f>IF(OR(A1095="",B1095="",C1095=""),"eine der Spalten BAB, FR, km leer?",CONCATENATE(VLOOKUP(VALUE(I1095),[1]Grundlage!$A$1:$B$14,2,0),IF(LEFT(A1095,1)="A",IF(VALUE(MID(A1095,2,10))&lt;10,"A00"&amp;VALUE(MID(A1095,2,10)),IF(VALUE(MID(A1095,2,10))&lt;100,"A0"&amp;VALUE(MID(A1095,2,10)),IF(VALUE(MID(A1095,2,10))&lt;1000,"A"&amp;VALUE(MID(A1095,2,10))))),IF(LEFT(A1095,1)="B",IF(VALUE(MID(A1095,2,10))&lt;10,"B00"&amp;VALUE(MID(A1095,2,10)),IF(VALUE(MID(A1095,2,10))&lt;100,"B0"&amp;VALUE(MID(A1095,2,10)),IF(VALUE(MID(A1095,2,10))&lt;1000,"B"&amp;VALUE(MID(A1095,2,10))))),A1095)),"_",IF(NOT(OR(C1095=1000,C1095&gt;1000)),MID(TEXT((C1095+1000)*1000,0),2,6),"keine Meter in Spalte km!!!"),IF(VALUE(I1095)=1,CONCATENATE("_",VLOOKUP(IF(V1095&gt;0,V1095,J1095),[1]Grundlage!$A$20:$B$181,2,0)),CONCATENATE("_",B1095))))</f>
        <v>SSt_A003_628300_S</v>
      </c>
      <c r="F1095" s="2" t="s">
        <v>137</v>
      </c>
      <c r="G1095" s="167">
        <f t="shared" si="211"/>
        <v>1203</v>
      </c>
      <c r="H1095">
        <f t="shared" si="212"/>
        <v>24</v>
      </c>
      <c r="I1095" s="2">
        <f t="shared" si="204"/>
        <v>254</v>
      </c>
      <c r="J1095" s="2">
        <f t="shared" si="205"/>
        <v>0</v>
      </c>
      <c r="K1095" s="13">
        <v>210</v>
      </c>
      <c r="L1095" s="2">
        <f t="shared" si="206"/>
        <v>16</v>
      </c>
      <c r="M1095" s="2" t="str">
        <f t="shared" si="207"/>
        <v/>
      </c>
      <c r="N1095" s="2" t="str">
        <f t="shared" si="208"/>
        <v/>
      </c>
      <c r="P1095" s="168" t="str">
        <f t="shared" si="209"/>
        <v/>
      </c>
      <c r="AI1095" s="35">
        <v>628.29999999999995</v>
      </c>
      <c r="AJ1095" s="36" t="s">
        <v>19</v>
      </c>
      <c r="AK1095" s="36" t="s">
        <v>62</v>
      </c>
      <c r="AL1095" s="36"/>
      <c r="AM1095" s="36"/>
      <c r="AN1095" s="36"/>
      <c r="AO1095" s="36"/>
      <c r="AP1095" s="42">
        <v>307992</v>
      </c>
      <c r="AQ1095" s="66" t="s">
        <v>234</v>
      </c>
      <c r="AR1095" s="42" t="s">
        <v>264</v>
      </c>
      <c r="AS1095" s="42">
        <v>18</v>
      </c>
      <c r="AT1095" s="36"/>
      <c r="AU1095" s="36"/>
      <c r="AV1095" s="36"/>
      <c r="AW1095" s="36"/>
      <c r="AX1095" s="36">
        <v>16</v>
      </c>
      <c r="AY1095" s="36"/>
      <c r="AZ1095" s="36"/>
      <c r="BA1095" s="36"/>
      <c r="BB1095" s="37" t="s">
        <v>137</v>
      </c>
      <c r="BC1095" s="38"/>
      <c r="BD1095" s="96" t="s">
        <v>163</v>
      </c>
      <c r="BE1095" s="39" t="s">
        <v>64</v>
      </c>
      <c r="BF1095" s="19" t="s">
        <v>582</v>
      </c>
    </row>
    <row r="1096" spans="1:58" ht="14.25" x14ac:dyDescent="0.2">
      <c r="A1096" t="str">
        <f t="shared" si="202"/>
        <v>A3</v>
      </c>
      <c r="B1096" s="2" t="s">
        <v>655</v>
      </c>
      <c r="C1096">
        <f t="shared" si="203"/>
        <v>628.29999999999995</v>
      </c>
      <c r="D1096" t="str">
        <f t="shared" si="210"/>
        <v>UFD</v>
      </c>
      <c r="E1096" s="169" t="str">
        <f>IF(OR(A1096="",B1096="",C1096=""),"eine der Spalten BAB, FR, km leer?",CONCATENATE(VLOOKUP(VALUE(I1096),[1]Grundlage!$A$1:$B$14,2,0),IF(LEFT(A1096,1)="A",IF(VALUE(MID(A1096,2,10))&lt;10,"A00"&amp;VALUE(MID(A1096,2,10)),IF(VALUE(MID(A1096,2,10))&lt;100,"A0"&amp;VALUE(MID(A1096,2,10)),IF(VALUE(MID(A1096,2,10))&lt;1000,"A"&amp;VALUE(MID(A1096,2,10))))),IF(LEFT(A1096,1)="B",IF(VALUE(MID(A1096,2,10))&lt;10,"B00"&amp;VALUE(MID(A1096,2,10)),IF(VALUE(MID(A1096,2,10))&lt;100,"B0"&amp;VALUE(MID(A1096,2,10)),IF(VALUE(MID(A1096,2,10))&lt;1000,"B"&amp;VALUE(MID(A1096,2,10))))),A1096)),"_",IF(NOT(OR(C1096=1000,C1096&gt;1000)),MID(TEXT((C1096+1000)*1000,0),2,6),"keine Meter in Spalte km!!!"),IF(VALUE(I1096)=1,CONCATENATE("_",VLOOKUP(IF(V1096&gt;0,V1096,J1096),[1]Grundlage!$A$20:$B$181,2,0)),CONCATENATE("_",B1096))))</f>
        <v>UQ_A003_628300_S</v>
      </c>
      <c r="F1096" s="2" t="s">
        <v>269</v>
      </c>
      <c r="G1096" s="167">
        <f t="shared" si="211"/>
        <v>1203</v>
      </c>
      <c r="H1096">
        <f t="shared" si="212"/>
        <v>24</v>
      </c>
      <c r="I1096" s="2">
        <f t="shared" si="204"/>
        <v>3</v>
      </c>
      <c r="J1096" s="2">
        <f t="shared" si="205"/>
        <v>6</v>
      </c>
      <c r="K1096" s="13">
        <v>210</v>
      </c>
      <c r="L1096" s="2">
        <f t="shared" si="206"/>
        <v>16</v>
      </c>
      <c r="M1096" s="2">
        <f t="shared" si="207"/>
        <v>1</v>
      </c>
      <c r="N1096" s="2">
        <f t="shared" si="208"/>
        <v>1</v>
      </c>
      <c r="P1096" s="168">
        <f t="shared" si="209"/>
        <v>71</v>
      </c>
      <c r="AP1096" s="40"/>
      <c r="AQ1096" s="40"/>
      <c r="AR1096" s="40"/>
      <c r="AS1096" s="40"/>
      <c r="AT1096" s="19">
        <v>3</v>
      </c>
      <c r="AU1096" s="14">
        <v>6</v>
      </c>
      <c r="AV1096" s="27">
        <v>6</v>
      </c>
      <c r="AW1096" s="19"/>
      <c r="AX1096" s="19"/>
      <c r="AY1096" s="19">
        <v>1</v>
      </c>
      <c r="AZ1096" s="14">
        <v>1</v>
      </c>
      <c r="BA1096" s="27"/>
      <c r="BB1096" s="13" t="s">
        <v>269</v>
      </c>
      <c r="BC1096" s="2"/>
      <c r="BD1096" s="2"/>
      <c r="BF1096" s="19" t="s">
        <v>440</v>
      </c>
    </row>
    <row r="1097" spans="1:58" ht="14.25" x14ac:dyDescent="0.2">
      <c r="A1097" t="str">
        <f t="shared" si="202"/>
        <v>A3</v>
      </c>
      <c r="B1097" s="2" t="s">
        <v>655</v>
      </c>
      <c r="C1097">
        <f t="shared" si="203"/>
        <v>628.29999999999995</v>
      </c>
      <c r="D1097" t="str">
        <f t="shared" si="210"/>
        <v>UFD</v>
      </c>
      <c r="E1097" s="169" t="str">
        <f>IF(OR(A1097="",B1097="",C1097=""),"eine der Spalten BAB, FR, km leer?",CONCATENATE(VLOOKUP(VALUE(I1097),[1]Grundlage!$A$1:$B$14,2,0),IF(LEFT(A1097,1)="A",IF(VALUE(MID(A1097,2,10))&lt;10,"A00"&amp;VALUE(MID(A1097,2,10)),IF(VALUE(MID(A1097,2,10))&lt;100,"A0"&amp;VALUE(MID(A1097,2,10)),IF(VALUE(MID(A1097,2,10))&lt;1000,"A"&amp;VALUE(MID(A1097,2,10))))),IF(LEFT(A1097,1)="B",IF(VALUE(MID(A1097,2,10))&lt;10,"B00"&amp;VALUE(MID(A1097,2,10)),IF(VALUE(MID(A1097,2,10))&lt;100,"B0"&amp;VALUE(MID(A1097,2,10)),IF(VALUE(MID(A1097,2,10))&lt;1000,"B"&amp;VALUE(MID(A1097,2,10))))),A1097)),"_",IF(NOT(OR(C1097=1000,C1097&gt;1000)),MID(TEXT((C1097+1000)*1000,0),2,6),"keine Meter in Spalte km!!!"),IF(VALUE(I1097)=1,CONCATENATE("_",VLOOKUP(IF(V1097&gt;0,V1097,J1097),[1]Grundlage!$A$20:$B$181,2,0)),CONCATENATE("_",B1097))))</f>
        <v>UQ_A003_628300_S</v>
      </c>
      <c r="F1097" s="2" t="s">
        <v>270</v>
      </c>
      <c r="G1097" s="167">
        <f t="shared" si="211"/>
        <v>1203</v>
      </c>
      <c r="H1097">
        <f t="shared" si="212"/>
        <v>24</v>
      </c>
      <c r="I1097" s="2">
        <f t="shared" si="204"/>
        <v>3</v>
      </c>
      <c r="J1097" s="2">
        <f t="shared" si="205"/>
        <v>11</v>
      </c>
      <c r="K1097" s="13">
        <v>210</v>
      </c>
      <c r="L1097" s="2">
        <f t="shared" si="206"/>
        <v>16</v>
      </c>
      <c r="M1097" s="2">
        <f t="shared" si="207"/>
        <v>1</v>
      </c>
      <c r="N1097" s="2">
        <f t="shared" si="208"/>
        <v>2</v>
      </c>
      <c r="P1097" s="168">
        <f t="shared" si="209"/>
        <v>70</v>
      </c>
      <c r="AT1097" s="19">
        <v>3</v>
      </c>
      <c r="AU1097" s="14">
        <v>11</v>
      </c>
      <c r="AV1097" s="14" t="s">
        <v>78</v>
      </c>
      <c r="AW1097" s="13"/>
      <c r="AX1097" s="13"/>
      <c r="AY1097" s="19">
        <f>AY1096</f>
        <v>1</v>
      </c>
      <c r="AZ1097" s="14">
        <v>2</v>
      </c>
      <c r="BA1097" s="14"/>
      <c r="BB1097" s="13" t="s">
        <v>270</v>
      </c>
      <c r="BF1097" s="19" t="s">
        <v>583</v>
      </c>
    </row>
    <row r="1098" spans="1:58" ht="14.25" x14ac:dyDescent="0.2">
      <c r="A1098" t="str">
        <f t="shared" ref="A1098:A1106" si="214">IF(ISBLANK(AK1098),A1097,AK1098)</f>
        <v>A3</v>
      </c>
      <c r="B1098" s="2" t="s">
        <v>655</v>
      </c>
      <c r="C1098">
        <f t="shared" ref="C1098:C1106" si="215">IF(ISBLANK(AI1098),C1097,AI1098)</f>
        <v>628.29999999999995</v>
      </c>
      <c r="D1098" t="str">
        <f t="shared" si="210"/>
        <v>UFD</v>
      </c>
      <c r="E1098" s="169" t="str">
        <f>IF(OR(A1098="",B1098="",C1098=""),"eine der Spalten BAB, FR, km leer?",CONCATENATE(VLOOKUP(VALUE(I1098),[1]Grundlage!$A$1:$B$14,2,0),IF(LEFT(A1098,1)="A",IF(VALUE(MID(A1098,2,10))&lt;10,"A00"&amp;VALUE(MID(A1098,2,10)),IF(VALUE(MID(A1098,2,10))&lt;100,"A0"&amp;VALUE(MID(A1098,2,10)),IF(VALUE(MID(A1098,2,10))&lt;1000,"A"&amp;VALUE(MID(A1098,2,10))))),IF(LEFT(A1098,1)="B",IF(VALUE(MID(A1098,2,10))&lt;10,"B00"&amp;VALUE(MID(A1098,2,10)),IF(VALUE(MID(A1098,2,10))&lt;100,"B0"&amp;VALUE(MID(A1098,2,10)),IF(VALUE(MID(A1098,2,10))&lt;1000,"B"&amp;VALUE(MID(A1098,2,10))))),A1098)),"_",IF(NOT(OR(C1098=1000,C1098&gt;1000)),MID(TEXT((C1098+1000)*1000,0),2,6),"keine Meter in Spalte km!!!"),IF(VALUE(I1098)=1,CONCATENATE("_",VLOOKUP(IF(V1098&gt;0,V1098,J1098),[1]Grundlage!$A$20:$B$181,2,0)),CONCATENATE("_",B1098))))</f>
        <v>UQ_A003_628300_S</v>
      </c>
      <c r="F1098" s="2" t="s">
        <v>25</v>
      </c>
      <c r="G1098" s="167">
        <f t="shared" si="211"/>
        <v>1203</v>
      </c>
      <c r="H1098">
        <f t="shared" si="212"/>
        <v>24</v>
      </c>
      <c r="I1098" s="2">
        <f t="shared" ref="I1098:I1106" si="216">IF(D1098="SS",254,AT1098)</f>
        <v>3</v>
      </c>
      <c r="J1098" s="2">
        <f t="shared" ref="J1098:J1106" si="217">IF(D1098="SS",0,AU1098)</f>
        <v>12</v>
      </c>
      <c r="K1098" s="13">
        <v>210</v>
      </c>
      <c r="L1098" s="2">
        <f t="shared" ref="L1098:L1106" si="218">IF(ISBLANK(AX1098),L1097,AX1098)</f>
        <v>16</v>
      </c>
      <c r="M1098" s="2">
        <f t="shared" ref="M1098:M1106" si="219">IF(ISBLANK(AY1098),"",AY1098)</f>
        <v>1</v>
      </c>
      <c r="N1098" s="2">
        <f t="shared" ref="N1098:N1106" si="220">IF(ISBLANK(AZ1098),"",AZ1098)</f>
        <v>3</v>
      </c>
      <c r="P1098" s="168">
        <f t="shared" si="209"/>
        <v>48</v>
      </c>
      <c r="AT1098" s="19">
        <v>3</v>
      </c>
      <c r="AU1098" s="14">
        <v>12</v>
      </c>
      <c r="AV1098" s="14" t="s">
        <v>79</v>
      </c>
      <c r="AW1098" s="13"/>
      <c r="AX1098" s="13"/>
      <c r="AY1098" s="19">
        <v>1</v>
      </c>
      <c r="AZ1098" s="14">
        <v>3</v>
      </c>
      <c r="BA1098" s="14"/>
      <c r="BB1098" s="13" t="s">
        <v>25</v>
      </c>
      <c r="BF1098" s="19" t="s">
        <v>441</v>
      </c>
    </row>
    <row r="1099" spans="1:58" ht="14.25" x14ac:dyDescent="0.2">
      <c r="A1099" t="str">
        <f t="shared" si="214"/>
        <v>A3</v>
      </c>
      <c r="B1099" s="2" t="s">
        <v>655</v>
      </c>
      <c r="C1099">
        <f t="shared" si="215"/>
        <v>628.29999999999995</v>
      </c>
      <c r="D1099" t="str">
        <f t="shared" si="210"/>
        <v>UFD</v>
      </c>
      <c r="E1099" s="169" t="str">
        <f>IF(OR(A1099="",B1099="",C1099=""),"eine der Spalten BAB, FR, km leer?",CONCATENATE(VLOOKUP(VALUE(I1099),[1]Grundlage!$A$1:$B$14,2,0),IF(LEFT(A1099,1)="A",IF(VALUE(MID(A1099,2,10))&lt;10,"A00"&amp;VALUE(MID(A1099,2,10)),IF(VALUE(MID(A1099,2,10))&lt;100,"A0"&amp;VALUE(MID(A1099,2,10)),IF(VALUE(MID(A1099,2,10))&lt;1000,"A"&amp;VALUE(MID(A1099,2,10))))),IF(LEFT(A1099,1)="B",IF(VALUE(MID(A1099,2,10))&lt;10,"B00"&amp;VALUE(MID(A1099,2,10)),IF(VALUE(MID(A1099,2,10))&lt;100,"B0"&amp;VALUE(MID(A1099,2,10)),IF(VALUE(MID(A1099,2,10))&lt;1000,"B"&amp;VALUE(MID(A1099,2,10))))),A1099)),"_",IF(NOT(OR(C1099=1000,C1099&gt;1000)),MID(TEXT((C1099+1000)*1000,0),2,6),"keine Meter in Spalte km!!!"),IF(VALUE(I1099)=1,CONCATENATE("_",VLOOKUP(IF(V1099&gt;0,V1099,J1099),[1]Grundlage!$A$20:$B$181,2,0)),CONCATENATE("_",B1099))))</f>
        <v>UQ_A003_628300_S</v>
      </c>
      <c r="F1099" s="2" t="s">
        <v>26</v>
      </c>
      <c r="G1099" s="167">
        <f t="shared" si="211"/>
        <v>1203</v>
      </c>
      <c r="H1099">
        <f t="shared" si="212"/>
        <v>24</v>
      </c>
      <c r="I1099" s="2">
        <f t="shared" si="216"/>
        <v>3</v>
      </c>
      <c r="J1099" s="2">
        <f t="shared" si="217"/>
        <v>13</v>
      </c>
      <c r="K1099" s="13">
        <v>210</v>
      </c>
      <c r="L1099" s="2">
        <f t="shared" si="218"/>
        <v>16</v>
      </c>
      <c r="M1099" s="2">
        <f t="shared" si="219"/>
        <v>1</v>
      </c>
      <c r="N1099" s="2">
        <f t="shared" si="220"/>
        <v>4</v>
      </c>
      <c r="P1099" s="168">
        <f t="shared" ref="P1099:P1106" si="221">IF(AT1099&lt;&gt;3,"",IF(BB1099="Helligkeitssensor",61,IF(BB1099="Helligkeit",61,IF(BB1100="Lichtsensor",61,IF(BB1099="Lufttemperatur",48,IF(BB1099="Niederschlagsart",71,IF(BB1099="Niederschlagsintensität",53,IF(BB1099="relative Luftfeuchte RLF",55,IF(BB1099="Sichtweite",60,IF(BB1099="Sichtweite 1",60,IF(BB1099="Zustand der Fahrbahnoberfläche FBZ",79,IF(BB1099="Wasserfilmdicke WFD",72,IF(BB1099="Clusterkanal FG3","",IF(BB1099="Gefriertemperatur GT",65,IF(BB1099="Fahrbahnoberflächentemperatur FBT",49,VALUE(RIGHT(BB1099,2)))))))))))))))))</f>
        <v>55</v>
      </c>
      <c r="AT1099" s="19">
        <v>3</v>
      </c>
      <c r="AU1099" s="14">
        <v>13</v>
      </c>
      <c r="AV1099" s="14" t="s">
        <v>80</v>
      </c>
      <c r="AW1099" s="13"/>
      <c r="AX1099" s="13"/>
      <c r="AY1099" s="19">
        <v>1</v>
      </c>
      <c r="AZ1099" s="14">
        <v>4</v>
      </c>
      <c r="BA1099" s="14"/>
      <c r="BB1099" s="13" t="s">
        <v>26</v>
      </c>
      <c r="BF1099" s="19" t="s">
        <v>442</v>
      </c>
    </row>
    <row r="1100" spans="1:58" ht="14.25" x14ac:dyDescent="0.2">
      <c r="A1100" t="str">
        <f t="shared" si="214"/>
        <v>A3</v>
      </c>
      <c r="B1100" s="2" t="s">
        <v>655</v>
      </c>
      <c r="C1100">
        <f t="shared" si="215"/>
        <v>628.29999999999995</v>
      </c>
      <c r="D1100" t="str">
        <f t="shared" si="210"/>
        <v>UFD</v>
      </c>
      <c r="E1100" s="169" t="str">
        <f>IF(OR(A1100="",B1100="",C1100=""),"eine der Spalten BAB, FR, km leer?",CONCATENATE(VLOOKUP(VALUE(I1100),[1]Grundlage!$A$1:$B$14,2,0),IF(LEFT(A1100,1)="A",IF(VALUE(MID(A1100,2,10))&lt;10,"A00"&amp;VALUE(MID(A1100,2,10)),IF(VALUE(MID(A1100,2,10))&lt;100,"A0"&amp;VALUE(MID(A1100,2,10)),IF(VALUE(MID(A1100,2,10))&lt;1000,"A"&amp;VALUE(MID(A1100,2,10))))),IF(LEFT(A1100,1)="B",IF(VALUE(MID(A1100,2,10))&lt;10,"B00"&amp;VALUE(MID(A1100,2,10)),IF(VALUE(MID(A1100,2,10))&lt;100,"B0"&amp;VALUE(MID(A1100,2,10)),IF(VALUE(MID(A1100,2,10))&lt;1000,"B"&amp;VALUE(MID(A1100,2,10))))),A1100)),"_",IF(NOT(OR(C1100=1000,C1100&gt;1000)),MID(TEXT((C1100+1000)*1000,0),2,6),"keine Meter in Spalte km!!!"),IF(VALUE(I1100)=1,CONCATENATE("_",VLOOKUP(IF(V1100&gt;0,V1100,J1100),[1]Grundlage!$A$20:$B$181,2,0)),CONCATENATE("_",B1100))))</f>
        <v>UQ_A003_628300_S</v>
      </c>
      <c r="F1100" s="2" t="s">
        <v>27</v>
      </c>
      <c r="G1100" s="167">
        <f t="shared" si="211"/>
        <v>1203</v>
      </c>
      <c r="H1100">
        <f t="shared" si="212"/>
        <v>24</v>
      </c>
      <c r="I1100" s="2">
        <f t="shared" si="216"/>
        <v>3</v>
      </c>
      <c r="J1100" s="2">
        <f t="shared" si="217"/>
        <v>14</v>
      </c>
      <c r="K1100" s="13">
        <v>210</v>
      </c>
      <c r="L1100" s="2">
        <f t="shared" si="218"/>
        <v>16</v>
      </c>
      <c r="M1100" s="2">
        <f t="shared" si="219"/>
        <v>1</v>
      </c>
      <c r="N1100" s="2">
        <f t="shared" si="220"/>
        <v>5</v>
      </c>
      <c r="P1100" s="168">
        <f t="shared" si="221"/>
        <v>66</v>
      </c>
      <c r="AI1100" s="2"/>
      <c r="AT1100" s="19">
        <v>3</v>
      </c>
      <c r="AU1100" s="14">
        <v>14</v>
      </c>
      <c r="AV1100" s="14" t="s">
        <v>81</v>
      </c>
      <c r="AW1100" s="13"/>
      <c r="AX1100" s="13"/>
      <c r="AY1100" s="19">
        <v>1</v>
      </c>
      <c r="AZ1100" s="14">
        <v>5</v>
      </c>
      <c r="BA1100" s="14"/>
      <c r="BB1100" s="13" t="s">
        <v>27</v>
      </c>
      <c r="BC1100" s="2"/>
      <c r="BD1100" s="2"/>
      <c r="BF1100" s="19" t="s">
        <v>598</v>
      </c>
    </row>
    <row r="1101" spans="1:58" ht="14.25" x14ac:dyDescent="0.2">
      <c r="A1101" t="str">
        <f t="shared" si="214"/>
        <v>A3</v>
      </c>
      <c r="B1101" s="2" t="s">
        <v>655</v>
      </c>
      <c r="C1101">
        <f t="shared" si="215"/>
        <v>628.29999999999995</v>
      </c>
      <c r="D1101" t="str">
        <f t="shared" si="210"/>
        <v>UFD</v>
      </c>
      <c r="E1101" s="169" t="str">
        <f>IF(OR(A1101="",B1101="",C1101=""),"eine der Spalten BAB, FR, km leer?",CONCATENATE(VLOOKUP(VALUE(I1101),[1]Grundlage!$A$1:$B$14,2,0),IF(LEFT(A1101,1)="A",IF(VALUE(MID(A1101,2,10))&lt;10,"A00"&amp;VALUE(MID(A1101,2,10)),IF(VALUE(MID(A1101,2,10))&lt;100,"A0"&amp;VALUE(MID(A1101,2,10)),IF(VALUE(MID(A1101,2,10))&lt;1000,"A"&amp;VALUE(MID(A1101,2,10))))),IF(LEFT(A1101,1)="B",IF(VALUE(MID(A1101,2,10))&lt;10,"B00"&amp;VALUE(MID(A1101,2,10)),IF(VALUE(MID(A1101,2,10))&lt;100,"B0"&amp;VALUE(MID(A1101,2,10)),IF(VALUE(MID(A1101,2,10))&lt;1000,"B"&amp;VALUE(MID(A1101,2,10))))),A1101)),"_",IF(NOT(OR(C1101=1000,C1101&gt;1000)),MID(TEXT((C1101+1000)*1000,0),2,6),"keine Meter in Spalte km!!!"),IF(VALUE(I1101)=1,CONCATENATE("_",VLOOKUP(IF(V1101&gt;0,V1101,J1101),[1]Grundlage!$A$20:$B$181,2,0)),CONCATENATE("_",B1101))))</f>
        <v>UQ_A003_628300_S</v>
      </c>
      <c r="F1101" s="2" t="s">
        <v>28</v>
      </c>
      <c r="G1101" s="167">
        <f t="shared" si="211"/>
        <v>1203</v>
      </c>
      <c r="H1101">
        <f t="shared" si="212"/>
        <v>24</v>
      </c>
      <c r="I1101" s="2">
        <f t="shared" si="216"/>
        <v>3</v>
      </c>
      <c r="J1101" s="2">
        <f t="shared" si="217"/>
        <v>15</v>
      </c>
      <c r="K1101" s="13">
        <v>210</v>
      </c>
      <c r="L1101" s="2">
        <f t="shared" si="218"/>
        <v>16</v>
      </c>
      <c r="M1101" s="2">
        <f t="shared" si="219"/>
        <v>1</v>
      </c>
      <c r="N1101" s="2">
        <f t="shared" si="220"/>
        <v>6</v>
      </c>
      <c r="P1101" s="168">
        <f t="shared" si="221"/>
        <v>65</v>
      </c>
      <c r="AI1101" s="2"/>
      <c r="AT1101" s="19">
        <v>3</v>
      </c>
      <c r="AU1101" s="14">
        <v>15</v>
      </c>
      <c r="AV1101" s="14" t="s">
        <v>82</v>
      </c>
      <c r="AW1101" s="13"/>
      <c r="AX1101" s="13"/>
      <c r="AY1101" s="19">
        <v>1</v>
      </c>
      <c r="AZ1101" s="14">
        <v>6</v>
      </c>
      <c r="BA1101" s="14"/>
      <c r="BB1101" s="13" t="s">
        <v>28</v>
      </c>
      <c r="BC1101" s="2"/>
      <c r="BD1101" s="2"/>
      <c r="BF1101" s="19" t="s">
        <v>584</v>
      </c>
    </row>
    <row r="1102" spans="1:58" ht="14.25" x14ac:dyDescent="0.2">
      <c r="A1102" t="str">
        <f t="shared" si="214"/>
        <v>A3</v>
      </c>
      <c r="B1102" s="2" t="s">
        <v>655</v>
      </c>
      <c r="C1102">
        <f t="shared" si="215"/>
        <v>628.29999999999995</v>
      </c>
      <c r="D1102" t="str">
        <f t="shared" si="210"/>
        <v>UFD</v>
      </c>
      <c r="E1102" s="169" t="str">
        <f>IF(OR(A1102="",B1102="",C1102=""),"eine der Spalten BAB, FR, km leer?",CONCATENATE(VLOOKUP(VALUE(I1102),[1]Grundlage!$A$1:$B$14,2,0),IF(LEFT(A1102,1)="A",IF(VALUE(MID(A1102,2,10))&lt;10,"A00"&amp;VALUE(MID(A1102,2,10)),IF(VALUE(MID(A1102,2,10))&lt;100,"A0"&amp;VALUE(MID(A1102,2,10)),IF(VALUE(MID(A1102,2,10))&lt;1000,"A"&amp;VALUE(MID(A1102,2,10))))),IF(LEFT(A1102,1)="B",IF(VALUE(MID(A1102,2,10))&lt;10,"B00"&amp;VALUE(MID(A1102,2,10)),IF(VALUE(MID(A1102,2,10))&lt;100,"B0"&amp;VALUE(MID(A1102,2,10)),IF(VALUE(MID(A1102,2,10))&lt;1000,"B"&amp;VALUE(MID(A1102,2,10))))),A1102)),"_",IF(NOT(OR(C1102=1000,C1102&gt;1000)),MID(TEXT((C1102+1000)*1000,0),2,6),"keine Meter in Spalte km!!!"),IF(VALUE(I1102)=1,CONCATENATE("_",VLOOKUP(IF(V1102&gt;0,V1102,J1102),[1]Grundlage!$A$20:$B$181,2,0)),CONCATENATE("_",B1102))))</f>
        <v>UQ_A003_628300_S</v>
      </c>
      <c r="F1102" s="2" t="s">
        <v>29</v>
      </c>
      <c r="G1102" s="167">
        <f t="shared" si="211"/>
        <v>1203</v>
      </c>
      <c r="H1102">
        <f t="shared" si="212"/>
        <v>24</v>
      </c>
      <c r="I1102" s="2">
        <f t="shared" si="216"/>
        <v>3</v>
      </c>
      <c r="J1102" s="2">
        <f t="shared" si="217"/>
        <v>19</v>
      </c>
      <c r="K1102" s="13">
        <v>210</v>
      </c>
      <c r="L1102" s="2">
        <f t="shared" si="218"/>
        <v>16</v>
      </c>
      <c r="M1102" s="2">
        <f t="shared" si="219"/>
        <v>1</v>
      </c>
      <c r="N1102" s="2">
        <f t="shared" si="220"/>
        <v>7</v>
      </c>
      <c r="P1102" s="168">
        <f t="shared" si="221"/>
        <v>49</v>
      </c>
      <c r="AI1102" s="2"/>
      <c r="AT1102" s="19">
        <v>3</v>
      </c>
      <c r="AU1102" s="14">
        <v>19</v>
      </c>
      <c r="AV1102" s="14">
        <v>13</v>
      </c>
      <c r="AW1102" s="13"/>
      <c r="AX1102" s="13"/>
      <c r="AY1102" s="19">
        <v>1</v>
      </c>
      <c r="AZ1102" s="14">
        <v>7</v>
      </c>
      <c r="BA1102" s="14"/>
      <c r="BB1102" s="13" t="s">
        <v>29</v>
      </c>
      <c r="BC1102" s="2"/>
      <c r="BD1102" s="2"/>
      <c r="BF1102" s="19" t="s">
        <v>585</v>
      </c>
    </row>
    <row r="1103" spans="1:58" ht="14.25" x14ac:dyDescent="0.2">
      <c r="A1103" t="str">
        <f t="shared" si="214"/>
        <v>A3</v>
      </c>
      <c r="B1103" s="2" t="s">
        <v>655</v>
      </c>
      <c r="C1103">
        <f t="shared" si="215"/>
        <v>628.29999999999995</v>
      </c>
      <c r="D1103" t="str">
        <f t="shared" si="210"/>
        <v>UFD</v>
      </c>
      <c r="E1103" s="169" t="str">
        <f>IF(OR(A1103="",B1103="",C1103=""),"eine der Spalten BAB, FR, km leer?",CONCATENATE(VLOOKUP(VALUE(I1103),[1]Grundlage!$A$1:$B$14,2,0),IF(LEFT(A1103,1)="A",IF(VALUE(MID(A1103,2,10))&lt;10,"A00"&amp;VALUE(MID(A1103,2,10)),IF(VALUE(MID(A1103,2,10))&lt;100,"A0"&amp;VALUE(MID(A1103,2,10)),IF(VALUE(MID(A1103,2,10))&lt;1000,"A"&amp;VALUE(MID(A1103,2,10))))),IF(LEFT(A1103,1)="B",IF(VALUE(MID(A1103,2,10))&lt;10,"B00"&amp;VALUE(MID(A1103,2,10)),IF(VALUE(MID(A1103,2,10))&lt;100,"B0"&amp;VALUE(MID(A1103,2,10)),IF(VALUE(MID(A1103,2,10))&lt;1000,"B"&amp;VALUE(MID(A1103,2,10))))),A1103)),"_",IF(NOT(OR(C1103=1000,C1103&gt;1000)),MID(TEXT((C1103+1000)*1000,0),2,6),"keine Meter in Spalte km!!!"),IF(VALUE(I1103)=1,CONCATENATE("_",VLOOKUP(IF(V1103&gt;0,V1103,J1103),[1]Grundlage!$A$20:$B$181,2,0)),CONCATENATE("_",B1103))))</f>
        <v>UQ_A003_628300_S</v>
      </c>
      <c r="F1103" s="2" t="s">
        <v>30</v>
      </c>
      <c r="G1103" s="167">
        <f t="shared" si="211"/>
        <v>1203</v>
      </c>
      <c r="H1103">
        <f t="shared" si="212"/>
        <v>24</v>
      </c>
      <c r="I1103" s="2">
        <f t="shared" si="216"/>
        <v>3</v>
      </c>
      <c r="J1103" s="2">
        <f t="shared" si="217"/>
        <v>21</v>
      </c>
      <c r="K1103" s="13">
        <v>210</v>
      </c>
      <c r="L1103" s="2">
        <f t="shared" si="218"/>
        <v>16</v>
      </c>
      <c r="M1103" s="2">
        <f t="shared" si="219"/>
        <v>1</v>
      </c>
      <c r="N1103" s="2">
        <f t="shared" si="220"/>
        <v>8</v>
      </c>
      <c r="P1103" s="168">
        <f t="shared" si="221"/>
        <v>67</v>
      </c>
      <c r="AI1103" s="2"/>
      <c r="AT1103" s="19">
        <v>3</v>
      </c>
      <c r="AU1103" s="14">
        <v>21</v>
      </c>
      <c r="AV1103" s="14">
        <v>15</v>
      </c>
      <c r="AW1103" s="13"/>
      <c r="AX1103" s="13"/>
      <c r="AY1103" s="19">
        <v>1</v>
      </c>
      <c r="AZ1103" s="14">
        <v>8</v>
      </c>
      <c r="BA1103" s="14"/>
      <c r="BB1103" s="13" t="s">
        <v>30</v>
      </c>
      <c r="BC1103" s="2"/>
      <c r="BD1103" s="2"/>
      <c r="BF1103" s="19" t="s">
        <v>586</v>
      </c>
    </row>
    <row r="1104" spans="1:58" ht="14.25" x14ac:dyDescent="0.2">
      <c r="A1104" t="str">
        <f t="shared" si="214"/>
        <v>A3</v>
      </c>
      <c r="B1104" s="2" t="s">
        <v>655</v>
      </c>
      <c r="C1104">
        <f t="shared" si="215"/>
        <v>628.29999999999995</v>
      </c>
      <c r="D1104" t="str">
        <f t="shared" si="210"/>
        <v/>
      </c>
      <c r="E1104" s="169" t="str">
        <f>IF(OR(A1104="",B1104="",C1104=""),"eine der Spalten BAB, FR, km leer?",CONCATENATE(VLOOKUP(VALUE(I1104),[1]Grundlage!$A$1:$B$14,2,0),IF(LEFT(A1104,1)="A",IF(VALUE(MID(A1104,2,10))&lt;10,"A00"&amp;VALUE(MID(A1104,2,10)),IF(VALUE(MID(A1104,2,10))&lt;100,"A0"&amp;VALUE(MID(A1104,2,10)),IF(VALUE(MID(A1104,2,10))&lt;1000,"A"&amp;VALUE(MID(A1104,2,10))))),IF(LEFT(A1104,1)="B",IF(VALUE(MID(A1104,2,10))&lt;10,"B00"&amp;VALUE(MID(A1104,2,10)),IF(VALUE(MID(A1104,2,10))&lt;100,"B0"&amp;VALUE(MID(A1104,2,10)),IF(VALUE(MID(A1104,2,10))&lt;1000,"B"&amp;VALUE(MID(A1104,2,10))))),A1104)),"_",IF(NOT(OR(C1104=1000,C1104&gt;1000)),MID(TEXT((C1104+1000)*1000,0),2,6),"keine Meter in Spalte km!!!"),IF(VALUE(I1104)=1,CONCATENATE("_",VLOOKUP(IF(V1104&gt;0,V1104,J1104),[1]Grundlage!$A$20:$B$181,2,0)),CONCATENATE("_",B1104))))</f>
        <v>UQ_A003_628300_S</v>
      </c>
      <c r="F1104" s="2" t="s">
        <v>41</v>
      </c>
      <c r="G1104" s="167">
        <f t="shared" si="211"/>
        <v>1203</v>
      </c>
      <c r="H1104">
        <f t="shared" si="212"/>
        <v>24</v>
      </c>
      <c r="I1104" s="2">
        <f t="shared" si="216"/>
        <v>3</v>
      </c>
      <c r="J1104" s="2">
        <f t="shared" si="217"/>
        <v>24</v>
      </c>
      <c r="K1104" s="13">
        <v>210</v>
      </c>
      <c r="L1104" s="2">
        <f t="shared" si="218"/>
        <v>16</v>
      </c>
      <c r="M1104" s="2">
        <f t="shared" si="219"/>
        <v>1</v>
      </c>
      <c r="N1104" s="2">
        <f t="shared" si="220"/>
        <v>9</v>
      </c>
      <c r="P1104" s="168">
        <f t="shared" si="221"/>
        <v>69</v>
      </c>
      <c r="AI1104" s="2"/>
      <c r="AS1104" s="90"/>
      <c r="AT1104" s="141">
        <v>3</v>
      </c>
      <c r="AU1104" s="142">
        <v>24</v>
      </c>
      <c r="AV1104" s="142">
        <v>18</v>
      </c>
      <c r="AW1104" s="106"/>
      <c r="AX1104" s="106"/>
      <c r="AY1104" s="141">
        <v>1</v>
      </c>
      <c r="AZ1104" s="142">
        <v>9</v>
      </c>
      <c r="BA1104" s="142"/>
      <c r="BB1104" s="106" t="s">
        <v>41</v>
      </c>
      <c r="BC1104" s="2"/>
      <c r="BD1104" s="2"/>
      <c r="BF1104" s="19"/>
    </row>
    <row r="1105" spans="1:58" ht="14.25" x14ac:dyDescent="0.2">
      <c r="A1105" t="str">
        <f t="shared" si="214"/>
        <v>A3</v>
      </c>
      <c r="B1105" s="2" t="s">
        <v>655</v>
      </c>
      <c r="C1105">
        <f t="shared" si="215"/>
        <v>628.29999999999995</v>
      </c>
      <c r="D1105" t="str">
        <f t="shared" si="210"/>
        <v>UFD</v>
      </c>
      <c r="E1105" s="169" t="str">
        <f>IF(OR(A1105="",B1105="",C1105=""),"eine der Spalten BAB, FR, km leer?",CONCATENATE(VLOOKUP(VALUE(I1105),[1]Grundlage!$A$1:$B$14,2,0),IF(LEFT(A1105,1)="A",IF(VALUE(MID(A1105,2,10))&lt;10,"A00"&amp;VALUE(MID(A1105,2,10)),IF(VALUE(MID(A1105,2,10))&lt;100,"A0"&amp;VALUE(MID(A1105,2,10)),IF(VALUE(MID(A1105,2,10))&lt;1000,"A"&amp;VALUE(MID(A1105,2,10))))),IF(LEFT(A1105,1)="B",IF(VALUE(MID(A1105,2,10))&lt;10,"B00"&amp;VALUE(MID(A1105,2,10)),IF(VALUE(MID(A1105,2,10))&lt;100,"B0"&amp;VALUE(MID(A1105,2,10)),IF(VALUE(MID(A1105,2,10))&lt;1000,"B"&amp;VALUE(MID(A1105,2,10))))),A1105)),"_",IF(NOT(OR(C1105=1000,C1105&gt;1000)),MID(TEXT((C1105+1000)*1000,0),2,6),"keine Meter in Spalte km!!!"),IF(VALUE(I1105)=1,CONCATENATE("_",VLOOKUP(IF(V1105&gt;0,V1105,J1105),[1]Grundlage!$A$20:$B$181,2,0)),CONCATENATE("_",B1105))))</f>
        <v>UQ_A003_628300_S</v>
      </c>
      <c r="F1105" s="2" t="s">
        <v>271</v>
      </c>
      <c r="G1105" s="167">
        <f t="shared" si="211"/>
        <v>1203</v>
      </c>
      <c r="H1105">
        <f t="shared" si="212"/>
        <v>24</v>
      </c>
      <c r="I1105" s="2">
        <f t="shared" si="216"/>
        <v>3</v>
      </c>
      <c r="J1105" s="2">
        <f t="shared" si="217"/>
        <v>67</v>
      </c>
      <c r="K1105" s="13">
        <v>210</v>
      </c>
      <c r="L1105" s="2">
        <f t="shared" si="218"/>
        <v>16</v>
      </c>
      <c r="M1105" s="2">
        <f t="shared" si="219"/>
        <v>1</v>
      </c>
      <c r="N1105" s="2">
        <f t="shared" si="220"/>
        <v>10</v>
      </c>
      <c r="P1105" s="168">
        <f t="shared" si="221"/>
        <v>53</v>
      </c>
      <c r="AI1105" s="2"/>
      <c r="AT1105" s="19">
        <v>3</v>
      </c>
      <c r="AU1105" s="14">
        <v>67</v>
      </c>
      <c r="AV1105" s="14">
        <v>43</v>
      </c>
      <c r="AW1105" s="13"/>
      <c r="AX1105" s="13"/>
      <c r="AY1105" s="19">
        <v>1</v>
      </c>
      <c r="AZ1105" s="14">
        <v>10</v>
      </c>
      <c r="BA1105" s="34"/>
      <c r="BB1105" s="13" t="s">
        <v>271</v>
      </c>
      <c r="BC1105" s="2"/>
      <c r="BD1105" s="2"/>
      <c r="BF1105" s="19" t="s">
        <v>444</v>
      </c>
    </row>
    <row r="1106" spans="1:58" ht="14.25" x14ac:dyDescent="0.2">
      <c r="A1106" t="str">
        <f t="shared" si="214"/>
        <v>A3</v>
      </c>
      <c r="B1106" s="2" t="s">
        <v>655</v>
      </c>
      <c r="C1106">
        <f t="shared" si="215"/>
        <v>628.29999999999995</v>
      </c>
      <c r="D1106" t="str">
        <f t="shared" si="210"/>
        <v>UFD</v>
      </c>
      <c r="E1106" s="169" t="str">
        <f>IF(OR(A1106="",B1106="",C1106=""),"eine der Spalten BAB, FR, km leer?",CONCATENATE(VLOOKUP(VALUE(I1106),[1]Grundlage!$A$1:$B$14,2,0),IF(LEFT(A1106,1)="A",IF(VALUE(MID(A1106,2,10))&lt;10,"A00"&amp;VALUE(MID(A1106,2,10)),IF(VALUE(MID(A1106,2,10))&lt;100,"A0"&amp;VALUE(MID(A1106,2,10)),IF(VALUE(MID(A1106,2,10))&lt;1000,"A"&amp;VALUE(MID(A1106,2,10))))),IF(LEFT(A1106,1)="B",IF(VALUE(MID(A1106,2,10))&lt;10,"B00"&amp;VALUE(MID(A1106,2,10)),IF(VALUE(MID(A1106,2,10))&lt;100,"B0"&amp;VALUE(MID(A1106,2,10)),IF(VALUE(MID(A1106,2,10))&lt;1000,"B"&amp;VALUE(MID(A1106,2,10))))),A1106)),"_",IF(NOT(OR(C1106=1000,C1106&gt;1000)),MID(TEXT((C1106+1000)*1000,0),2,6),"keine Meter in Spalte km!!!"),IF(VALUE(I1106)=1,CONCATENATE("_",VLOOKUP(IF(V1106&gt;0,V1106,J1106),[1]Grundlage!$A$20:$B$181,2,0)),CONCATENATE("_",B1106))))</f>
        <v>UQ_A003_628300_S</v>
      </c>
      <c r="F1106" s="2" t="s">
        <v>272</v>
      </c>
      <c r="G1106" s="167">
        <f t="shared" si="211"/>
        <v>1203</v>
      </c>
      <c r="H1106">
        <f t="shared" si="212"/>
        <v>24</v>
      </c>
      <c r="I1106" s="2">
        <f t="shared" si="216"/>
        <v>3</v>
      </c>
      <c r="J1106" s="2">
        <f t="shared" si="217"/>
        <v>82</v>
      </c>
      <c r="K1106" s="13">
        <v>210</v>
      </c>
      <c r="L1106" s="2">
        <f t="shared" si="218"/>
        <v>16</v>
      </c>
      <c r="M1106" s="2">
        <f t="shared" si="219"/>
        <v>1</v>
      </c>
      <c r="N1106" s="2">
        <f t="shared" si="220"/>
        <v>11</v>
      </c>
      <c r="P1106" s="168">
        <f t="shared" si="221"/>
        <v>72</v>
      </c>
      <c r="AT1106" s="19">
        <v>3</v>
      </c>
      <c r="AU1106" s="14">
        <v>82</v>
      </c>
      <c r="AV1106" s="14">
        <v>52</v>
      </c>
      <c r="AW1106" s="13"/>
      <c r="AX1106" s="13"/>
      <c r="AY1106" s="19">
        <v>1</v>
      </c>
      <c r="AZ1106" s="14">
        <v>11</v>
      </c>
      <c r="BA1106" s="34"/>
      <c r="BB1106" s="13" t="s">
        <v>272</v>
      </c>
      <c r="BF1106" s="19" t="s">
        <v>588</v>
      </c>
    </row>
    <row r="1107" spans="1:58" x14ac:dyDescent="0.2">
      <c r="BF1107" s="19"/>
    </row>
    <row r="1108" spans="1:58" x14ac:dyDescent="0.2">
      <c r="BF1108" s="19"/>
    </row>
    <row r="1109" spans="1:58" x14ac:dyDescent="0.2">
      <c r="BF1109" s="19"/>
    </row>
    <row r="1110" spans="1:58" x14ac:dyDescent="0.2">
      <c r="BF1110" s="19"/>
    </row>
  </sheetData>
  <autoFilter ref="A1:BN1110" xr:uid="{00000000-0009-0000-0000-000000000000}"/>
  <mergeCells count="3">
    <mergeCell ref="AP2:AS2"/>
    <mergeCell ref="BD935:BD942"/>
    <mergeCell ref="AL2:AO2"/>
  </mergeCells>
  <phoneticPr fontId="0" type="noConversion"/>
  <printOptions gridLines="1" gridLinesSet="0"/>
  <pageMargins left="0.70866141732283472" right="0" top="0.74803149606299213" bottom="0.74803149606299213" header="0.31496062992125984" footer="0.31496062992125984"/>
  <pageSetup paperSize="9" scale="49" fitToHeight="0" orientation="landscape" horizontalDpi="300" verticalDpi="300" r:id="rId1"/>
  <headerFooter alignWithMargins="0">
    <oddHeader>&amp;L&amp;"Arial,Fett"&amp;14SWIS Suedbayern&amp;"Arial,Standard"&amp;10
&amp;"Arial,Fett"Konfigurationstabelle&amp;R&amp;G</oddHeader>
    <oddFooter>Seite &amp;P&amp;RKonfigurationstabelle</oddFooter>
  </headerFooter>
  <rowBreaks count="20" manualBreakCount="20">
    <brk id="69" max="16383" man="1"/>
    <brk id="110" min="34" max="52" man="1"/>
    <brk id="153" min="34" max="52" man="1"/>
    <brk id="194" min="34" max="52" man="1"/>
    <brk id="235" min="34" max="52" man="1"/>
    <brk id="288" min="34" max="52" man="1"/>
    <brk id="413" min="34" max="52" man="1"/>
    <brk id="457" min="34" max="52" man="1"/>
    <brk id="502" min="34" max="52" man="1"/>
    <brk id="586" min="34" max="52" man="1"/>
    <brk id="627" min="34" max="52" man="1"/>
    <brk id="680" min="34" max="52" man="1"/>
    <brk id="735" min="34" max="52" man="1"/>
    <brk id="780" min="34" max="52" man="1"/>
    <brk id="833" min="34" max="52" man="1"/>
    <brk id="882" min="34" max="52" man="1"/>
    <brk id="932" min="34" max="52" man="1"/>
    <brk id="987" min="34" max="52" man="1"/>
    <brk id="1031" min="34" max="52" man="1"/>
    <brk id="1074" min="34" max="52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8"/>
  <sheetViews>
    <sheetView workbookViewId="0">
      <selection activeCell="F9" sqref="F9"/>
    </sheetView>
  </sheetViews>
  <sheetFormatPr baseColWidth="10" defaultRowHeight="12.75" x14ac:dyDescent="0.2"/>
  <sheetData>
    <row r="3" spans="2:6" x14ac:dyDescent="0.2">
      <c r="B3" t="s">
        <v>89</v>
      </c>
      <c r="D3">
        <v>10</v>
      </c>
      <c r="E3" t="s">
        <v>95</v>
      </c>
    </row>
    <row r="4" spans="2:6" x14ac:dyDescent="0.2">
      <c r="B4" t="s">
        <v>287</v>
      </c>
      <c r="D4">
        <v>16</v>
      </c>
      <c r="E4" t="str">
        <f>DEC2HEX(D4)</f>
        <v>10</v>
      </c>
      <c r="F4" t="s">
        <v>496</v>
      </c>
    </row>
    <row r="5" spans="2:6" x14ac:dyDescent="0.2">
      <c r="B5" t="s">
        <v>494</v>
      </c>
      <c r="D5">
        <v>11</v>
      </c>
      <c r="E5" t="s">
        <v>78</v>
      </c>
      <c r="F5" t="s">
        <v>496</v>
      </c>
    </row>
    <row r="6" spans="2:6" x14ac:dyDescent="0.2">
      <c r="B6" t="s">
        <v>495</v>
      </c>
      <c r="D6">
        <v>5</v>
      </c>
      <c r="E6">
        <v>5</v>
      </c>
      <c r="F6" t="s">
        <v>496</v>
      </c>
    </row>
    <row r="7" spans="2:6" x14ac:dyDescent="0.2">
      <c r="B7" t="s">
        <v>104</v>
      </c>
      <c r="D7">
        <v>6</v>
      </c>
      <c r="E7">
        <v>6</v>
      </c>
    </row>
    <row r="8" spans="2:6" x14ac:dyDescent="0.2">
      <c r="B8" t="s">
        <v>206</v>
      </c>
      <c r="D8">
        <v>9</v>
      </c>
      <c r="E8">
        <v>9</v>
      </c>
      <c r="F8" t="s">
        <v>496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zoomScale="80" zoomScaleNormal="80" workbookViewId="0">
      <selection activeCell="A45" sqref="A45:E45"/>
    </sheetView>
  </sheetViews>
  <sheetFormatPr baseColWidth="10" defaultRowHeight="12.75" x14ac:dyDescent="0.2"/>
  <cols>
    <col min="1" max="1" width="12" customWidth="1"/>
    <col min="3" max="3" width="16.140625" customWidth="1"/>
    <col min="5" max="5" width="88.5703125" customWidth="1"/>
    <col min="8" max="8" width="19.140625" customWidth="1"/>
    <col min="12" max="12" width="15.140625" customWidth="1"/>
    <col min="13" max="13" width="13.5703125" customWidth="1"/>
  </cols>
  <sheetData>
    <row r="1" spans="1:12" x14ac:dyDescent="0.2">
      <c r="A1" s="24"/>
      <c r="B1" s="24"/>
      <c r="C1" s="24"/>
      <c r="D1" s="24"/>
      <c r="E1" s="24"/>
    </row>
    <row r="2" spans="1:12" x14ac:dyDescent="0.2">
      <c r="A2" s="24"/>
      <c r="B2" s="24"/>
      <c r="C2" s="24"/>
      <c r="D2" s="24"/>
      <c r="E2" s="24"/>
    </row>
    <row r="3" spans="1:12" x14ac:dyDescent="0.2">
      <c r="A3" s="24"/>
      <c r="B3" s="24"/>
      <c r="C3" s="24"/>
      <c r="D3" s="24"/>
      <c r="E3" s="24"/>
    </row>
    <row r="4" spans="1:12" ht="34.5" customHeight="1" x14ac:dyDescent="0.2">
      <c r="A4" s="64" t="s">
        <v>178</v>
      </c>
      <c r="B4" s="64" t="s">
        <v>179</v>
      </c>
      <c r="C4" s="64" t="s">
        <v>180</v>
      </c>
      <c r="D4" s="64"/>
      <c r="E4" s="64" t="s">
        <v>181</v>
      </c>
    </row>
    <row r="5" spans="1:12" x14ac:dyDescent="0.2">
      <c r="A5" s="64"/>
      <c r="B5" s="64"/>
      <c r="C5" s="64"/>
      <c r="D5" s="64"/>
      <c r="E5" s="64"/>
    </row>
    <row r="6" spans="1:12" x14ac:dyDescent="0.2">
      <c r="A6" s="64" t="s">
        <v>183</v>
      </c>
      <c r="B6" s="64"/>
      <c r="C6" s="64" t="s">
        <v>197</v>
      </c>
      <c r="D6" s="64"/>
      <c r="E6" s="64" t="s">
        <v>150</v>
      </c>
    </row>
    <row r="7" spans="1:12" x14ac:dyDescent="0.2">
      <c r="A7" s="116" t="s">
        <v>182</v>
      </c>
      <c r="B7" s="64"/>
      <c r="C7" s="64" t="s">
        <v>197</v>
      </c>
      <c r="D7" s="64"/>
      <c r="E7" s="116" t="s">
        <v>151</v>
      </c>
      <c r="F7" s="2"/>
      <c r="G7" s="2"/>
      <c r="H7" s="2"/>
      <c r="I7" s="2"/>
    </row>
    <row r="8" spans="1:12" x14ac:dyDescent="0.2">
      <c r="A8" s="64" t="s">
        <v>184</v>
      </c>
      <c r="B8" s="64"/>
      <c r="C8" s="64" t="s">
        <v>197</v>
      </c>
      <c r="D8" s="64"/>
      <c r="E8" s="65" t="s">
        <v>153</v>
      </c>
      <c r="F8" s="2"/>
      <c r="G8" s="2"/>
      <c r="H8" s="2"/>
      <c r="I8" s="2"/>
    </row>
    <row r="9" spans="1:12" x14ac:dyDescent="0.2">
      <c r="A9" s="64" t="s">
        <v>185</v>
      </c>
      <c r="B9" s="64"/>
      <c r="C9" s="64" t="s">
        <v>197</v>
      </c>
      <c r="D9" s="64"/>
      <c r="E9" s="65" t="s">
        <v>156</v>
      </c>
      <c r="F9" s="2"/>
      <c r="G9" s="2"/>
      <c r="H9" s="2"/>
      <c r="I9" s="2"/>
    </row>
    <row r="10" spans="1:12" x14ac:dyDescent="0.2">
      <c r="A10" s="64" t="s">
        <v>186</v>
      </c>
      <c r="B10" s="64"/>
      <c r="C10" s="64" t="s">
        <v>197</v>
      </c>
      <c r="D10" s="64"/>
      <c r="E10" s="65" t="s">
        <v>157</v>
      </c>
      <c r="F10" s="2"/>
      <c r="G10" s="2"/>
      <c r="H10" s="2"/>
      <c r="I10" s="2"/>
    </row>
    <row r="11" spans="1:12" x14ac:dyDescent="0.2">
      <c r="A11" s="64" t="s">
        <v>187</v>
      </c>
      <c r="B11" s="64"/>
      <c r="C11" s="64" t="s">
        <v>197</v>
      </c>
      <c r="D11" s="64"/>
      <c r="E11" s="65" t="s">
        <v>158</v>
      </c>
      <c r="F11" s="2"/>
      <c r="G11" s="2"/>
      <c r="H11" s="2"/>
      <c r="I11" s="2"/>
    </row>
    <row r="12" spans="1:12" x14ac:dyDescent="0.2">
      <c r="A12" s="64" t="s">
        <v>188</v>
      </c>
      <c r="B12" s="64"/>
      <c r="C12" s="64" t="s">
        <v>197</v>
      </c>
      <c r="D12" s="64"/>
      <c r="E12" s="65" t="s">
        <v>159</v>
      </c>
      <c r="F12" s="2"/>
      <c r="G12" s="2"/>
      <c r="H12" s="2"/>
      <c r="I12" s="2"/>
    </row>
    <row r="13" spans="1:12" x14ac:dyDescent="0.2">
      <c r="A13" s="64" t="s">
        <v>189</v>
      </c>
      <c r="B13" s="64"/>
      <c r="C13" s="64" t="s">
        <v>197</v>
      </c>
      <c r="D13" s="64"/>
      <c r="E13" s="65" t="s">
        <v>160</v>
      </c>
      <c r="F13" s="2"/>
      <c r="G13" s="2"/>
      <c r="H13" s="2"/>
      <c r="I13" s="2"/>
    </row>
    <row r="14" spans="1:12" x14ac:dyDescent="0.2">
      <c r="A14" s="64" t="s">
        <v>190</v>
      </c>
      <c r="B14" s="64"/>
      <c r="C14" s="64" t="s">
        <v>197</v>
      </c>
      <c r="D14" s="64"/>
      <c r="E14" s="65" t="s">
        <v>161</v>
      </c>
      <c r="F14" s="2"/>
      <c r="G14" s="2"/>
      <c r="H14" s="2"/>
      <c r="I14" s="2"/>
    </row>
    <row r="15" spans="1:12" x14ac:dyDescent="0.2">
      <c r="A15" s="64" t="s">
        <v>191</v>
      </c>
      <c r="B15" s="64"/>
      <c r="C15" s="64" t="s">
        <v>197</v>
      </c>
      <c r="D15" s="64"/>
      <c r="E15" s="65" t="s">
        <v>162</v>
      </c>
      <c r="F15" s="2"/>
      <c r="G15" s="2"/>
      <c r="H15" s="2"/>
      <c r="I15" s="2"/>
    </row>
    <row r="16" spans="1:12" x14ac:dyDescent="0.2">
      <c r="A16" s="64" t="s">
        <v>192</v>
      </c>
      <c r="B16" s="117">
        <f>B17</f>
        <v>41303</v>
      </c>
      <c r="C16" s="64" t="s">
        <v>196</v>
      </c>
      <c r="D16" s="64"/>
      <c r="E16" s="65" t="s">
        <v>195</v>
      </c>
      <c r="F16" s="60" t="s">
        <v>163</v>
      </c>
      <c r="H16" s="59" t="s">
        <v>177</v>
      </c>
      <c r="I16" s="2"/>
      <c r="J16" s="63"/>
      <c r="K16" s="24"/>
      <c r="L16" s="63"/>
    </row>
    <row r="17" spans="1:9" x14ac:dyDescent="0.2">
      <c r="A17" s="64" t="s">
        <v>193</v>
      </c>
      <c r="B17" s="117">
        <v>41303</v>
      </c>
      <c r="C17" s="64" t="s">
        <v>196</v>
      </c>
      <c r="D17" s="64"/>
      <c r="E17" s="65" t="s">
        <v>194</v>
      </c>
      <c r="F17" s="2"/>
      <c r="G17" s="2"/>
      <c r="H17" s="2"/>
      <c r="I17" s="2"/>
    </row>
    <row r="18" spans="1:9" x14ac:dyDescent="0.2">
      <c r="A18" s="64" t="s">
        <v>209</v>
      </c>
      <c r="B18" s="117">
        <v>41307</v>
      </c>
      <c r="C18" s="64" t="s">
        <v>210</v>
      </c>
      <c r="D18" s="64"/>
      <c r="E18" s="65" t="s">
        <v>211</v>
      </c>
      <c r="F18" s="2"/>
      <c r="G18" s="2"/>
      <c r="H18" s="2"/>
      <c r="I18" s="2"/>
    </row>
    <row r="19" spans="1:9" x14ac:dyDescent="0.2">
      <c r="A19" s="64" t="s">
        <v>265</v>
      </c>
      <c r="B19" s="117">
        <v>41332</v>
      </c>
      <c r="C19" s="64" t="s">
        <v>210</v>
      </c>
      <c r="D19" s="64"/>
      <c r="E19" s="65" t="s">
        <v>266</v>
      </c>
      <c r="F19" s="2"/>
      <c r="G19" s="2"/>
      <c r="H19" s="2"/>
      <c r="I19" s="2"/>
    </row>
    <row r="20" spans="1:9" x14ac:dyDescent="0.2">
      <c r="A20" s="118" t="s">
        <v>267</v>
      </c>
      <c r="B20" s="119">
        <v>41459</v>
      </c>
      <c r="C20" s="118" t="s">
        <v>210</v>
      </c>
      <c r="D20" s="13"/>
      <c r="E20" s="120" t="s">
        <v>268</v>
      </c>
      <c r="F20" s="2"/>
      <c r="G20" s="2"/>
      <c r="H20" s="2"/>
      <c r="I20" s="2"/>
    </row>
    <row r="21" spans="1:9" x14ac:dyDescent="0.2">
      <c r="A21" s="121" t="s">
        <v>273</v>
      </c>
      <c r="B21" s="122">
        <v>41470</v>
      </c>
      <c r="C21" s="121" t="s">
        <v>274</v>
      </c>
      <c r="D21" s="121"/>
      <c r="E21" s="121" t="s">
        <v>275</v>
      </c>
      <c r="F21" s="2"/>
      <c r="G21" s="2"/>
      <c r="H21" s="2"/>
      <c r="I21" s="2"/>
    </row>
    <row r="22" spans="1:9" ht="51" x14ac:dyDescent="0.2">
      <c r="A22" s="123" t="s">
        <v>276</v>
      </c>
      <c r="B22" s="124">
        <v>41555</v>
      </c>
      <c r="C22" s="111" t="s">
        <v>274</v>
      </c>
      <c r="D22" s="111"/>
      <c r="E22" s="125" t="s">
        <v>284</v>
      </c>
      <c r="F22" s="2"/>
      <c r="G22" s="2"/>
      <c r="H22" s="2"/>
      <c r="I22" s="2"/>
    </row>
    <row r="23" spans="1:9" x14ac:dyDescent="0.2">
      <c r="A23" s="21" t="s">
        <v>288</v>
      </c>
      <c r="B23" s="119">
        <v>41654</v>
      </c>
      <c r="C23" s="13" t="s">
        <v>210</v>
      </c>
      <c r="D23" s="13"/>
      <c r="E23" s="101" t="s">
        <v>292</v>
      </c>
      <c r="F23" s="2"/>
      <c r="G23" s="2"/>
      <c r="H23" s="2"/>
      <c r="I23" s="2"/>
    </row>
    <row r="24" spans="1:9" ht="51" x14ac:dyDescent="0.2">
      <c r="A24" s="126" t="s">
        <v>295</v>
      </c>
      <c r="B24" s="127">
        <v>41779</v>
      </c>
      <c r="C24" s="128" t="s">
        <v>274</v>
      </c>
      <c r="D24" s="57"/>
      <c r="E24" s="129" t="s">
        <v>296</v>
      </c>
      <c r="F24" s="2"/>
      <c r="G24" s="2"/>
      <c r="H24" s="2"/>
      <c r="I24" s="2"/>
    </row>
    <row r="25" spans="1:9" x14ac:dyDescent="0.2">
      <c r="A25" s="21" t="s">
        <v>298</v>
      </c>
      <c r="B25" s="119">
        <v>41806</v>
      </c>
      <c r="C25" s="13" t="s">
        <v>274</v>
      </c>
      <c r="D25" s="13"/>
      <c r="E25" s="13" t="s">
        <v>302</v>
      </c>
      <c r="F25" s="2"/>
      <c r="G25" s="2"/>
      <c r="H25" s="2"/>
      <c r="I25" s="2"/>
    </row>
    <row r="26" spans="1:9" x14ac:dyDescent="0.2">
      <c r="A26" s="24" t="s">
        <v>303</v>
      </c>
      <c r="B26" s="119">
        <v>41893</v>
      </c>
      <c r="C26" s="13" t="s">
        <v>274</v>
      </c>
      <c r="D26" s="13"/>
      <c r="E26" s="13" t="s">
        <v>304</v>
      </c>
      <c r="F26" s="2"/>
      <c r="G26" s="2"/>
      <c r="H26" s="2"/>
      <c r="I26" s="2"/>
    </row>
    <row r="27" spans="1:9" x14ac:dyDescent="0.2">
      <c r="A27" s="24" t="s">
        <v>308</v>
      </c>
      <c r="B27" s="130">
        <v>42318</v>
      </c>
      <c r="C27" s="24" t="s">
        <v>274</v>
      </c>
      <c r="D27" s="24"/>
      <c r="E27" s="24" t="s">
        <v>309</v>
      </c>
    </row>
    <row r="28" spans="1:9" x14ac:dyDescent="0.2">
      <c r="A28" s="24" t="s">
        <v>310</v>
      </c>
      <c r="B28" s="130">
        <v>42339</v>
      </c>
      <c r="C28" s="24" t="s">
        <v>274</v>
      </c>
      <c r="D28" s="24"/>
      <c r="E28" s="24" t="s">
        <v>311</v>
      </c>
    </row>
    <row r="29" spans="1:9" x14ac:dyDescent="0.2">
      <c r="A29" s="24" t="s">
        <v>313</v>
      </c>
      <c r="B29" s="130">
        <v>42346</v>
      </c>
      <c r="C29" s="24" t="s">
        <v>274</v>
      </c>
      <c r="D29" s="24"/>
      <c r="E29" s="24" t="s">
        <v>314</v>
      </c>
    </row>
    <row r="30" spans="1:9" x14ac:dyDescent="0.2">
      <c r="A30" s="24" t="s">
        <v>317</v>
      </c>
      <c r="B30" s="130">
        <v>42567</v>
      </c>
      <c r="C30" s="24" t="s">
        <v>274</v>
      </c>
      <c r="D30" s="24"/>
      <c r="E30" s="24" t="s">
        <v>318</v>
      </c>
    </row>
    <row r="31" spans="1:9" x14ac:dyDescent="0.2">
      <c r="A31" s="131" t="s">
        <v>341</v>
      </c>
      <c r="B31" s="132">
        <v>42621</v>
      </c>
      <c r="C31" s="131" t="s">
        <v>274</v>
      </c>
      <c r="D31" s="131"/>
      <c r="E31" s="133" t="s">
        <v>342</v>
      </c>
    </row>
    <row r="32" spans="1:9" x14ac:dyDescent="0.2">
      <c r="A32" s="24" t="s">
        <v>345</v>
      </c>
      <c r="B32" s="130">
        <v>42627</v>
      </c>
      <c r="C32" s="24" t="s">
        <v>274</v>
      </c>
      <c r="D32" s="24"/>
      <c r="E32" s="24" t="s">
        <v>344</v>
      </c>
    </row>
    <row r="33" spans="1:5" x14ac:dyDescent="0.2">
      <c r="A33" s="24" t="s">
        <v>362</v>
      </c>
      <c r="B33" s="130">
        <v>42685</v>
      </c>
      <c r="C33" s="24" t="s">
        <v>274</v>
      </c>
      <c r="D33" s="24"/>
      <c r="E33" s="24" t="s">
        <v>363</v>
      </c>
    </row>
    <row r="34" spans="1:5" x14ac:dyDescent="0.2">
      <c r="A34" s="24" t="s">
        <v>366</v>
      </c>
      <c r="B34" s="130">
        <v>42792</v>
      </c>
      <c r="C34" s="24" t="s">
        <v>274</v>
      </c>
      <c r="D34" s="24"/>
      <c r="E34" s="24" t="s">
        <v>367</v>
      </c>
    </row>
    <row r="35" spans="1:5" ht="25.5" x14ac:dyDescent="0.2">
      <c r="A35" s="24" t="s">
        <v>370</v>
      </c>
      <c r="B35" s="130">
        <v>42795</v>
      </c>
      <c r="C35" s="24" t="s">
        <v>274</v>
      </c>
      <c r="D35" s="24"/>
      <c r="E35" s="134" t="s">
        <v>371</v>
      </c>
    </row>
    <row r="36" spans="1:5" x14ac:dyDescent="0.2">
      <c r="A36" s="24" t="s">
        <v>395</v>
      </c>
      <c r="B36" s="130">
        <v>42874</v>
      </c>
      <c r="C36" s="24" t="s">
        <v>274</v>
      </c>
      <c r="D36" s="24"/>
      <c r="E36" s="24" t="s">
        <v>396</v>
      </c>
    </row>
    <row r="37" spans="1:5" ht="25.5" x14ac:dyDescent="0.2">
      <c r="A37" s="24" t="s">
        <v>399</v>
      </c>
      <c r="B37" s="130">
        <v>42905</v>
      </c>
      <c r="C37" s="24" t="s">
        <v>274</v>
      </c>
      <c r="D37" s="24"/>
      <c r="E37" s="134" t="s">
        <v>406</v>
      </c>
    </row>
    <row r="38" spans="1:5" x14ac:dyDescent="0.2">
      <c r="A38" s="24" t="s">
        <v>411</v>
      </c>
      <c r="B38" s="130">
        <v>43058</v>
      </c>
      <c r="C38" s="24" t="s">
        <v>274</v>
      </c>
      <c r="D38" s="24"/>
      <c r="E38" s="24" t="s">
        <v>412</v>
      </c>
    </row>
    <row r="39" spans="1:5" x14ac:dyDescent="0.2">
      <c r="A39" s="24" t="s">
        <v>416</v>
      </c>
      <c r="B39" s="130">
        <v>43308</v>
      </c>
      <c r="C39" s="24" t="s">
        <v>274</v>
      </c>
      <c r="D39" s="24"/>
      <c r="E39" s="24" t="s">
        <v>417</v>
      </c>
    </row>
    <row r="40" spans="1:5" x14ac:dyDescent="0.2">
      <c r="A40" s="24" t="s">
        <v>427</v>
      </c>
      <c r="B40" s="130">
        <v>43395</v>
      </c>
      <c r="C40" s="24" t="s">
        <v>274</v>
      </c>
      <c r="D40" s="24"/>
      <c r="E40" s="24" t="s">
        <v>428</v>
      </c>
    </row>
    <row r="41" spans="1:5" x14ac:dyDescent="0.2">
      <c r="A41" s="24" t="s">
        <v>560</v>
      </c>
      <c r="B41" s="130">
        <v>43612</v>
      </c>
      <c r="C41" s="24" t="s">
        <v>274</v>
      </c>
      <c r="D41" s="24"/>
      <c r="E41" s="24" t="s">
        <v>603</v>
      </c>
    </row>
    <row r="42" spans="1:5" x14ac:dyDescent="0.2">
      <c r="A42" s="24" t="s">
        <v>608</v>
      </c>
      <c r="B42" s="130">
        <v>43623</v>
      </c>
      <c r="C42" s="24" t="s">
        <v>274</v>
      </c>
      <c r="D42" s="24"/>
      <c r="E42" s="24" t="s">
        <v>609</v>
      </c>
    </row>
    <row r="43" spans="1:5" x14ac:dyDescent="0.2">
      <c r="A43" s="144" t="s">
        <v>618</v>
      </c>
      <c r="B43" s="145">
        <v>43728</v>
      </c>
      <c r="C43" s="144" t="s">
        <v>274</v>
      </c>
      <c r="D43" s="144"/>
      <c r="E43" s="144" t="s">
        <v>626</v>
      </c>
    </row>
    <row r="44" spans="1:5" x14ac:dyDescent="0.2">
      <c r="A44" s="160" t="s">
        <v>627</v>
      </c>
      <c r="B44" s="161">
        <v>43734</v>
      </c>
      <c r="C44" s="160" t="s">
        <v>274</v>
      </c>
      <c r="D44" s="160"/>
      <c r="E44" s="160" t="s">
        <v>628</v>
      </c>
    </row>
    <row r="45" spans="1:5" x14ac:dyDescent="0.2">
      <c r="A45" s="114" t="s">
        <v>631</v>
      </c>
      <c r="B45" s="115">
        <v>43861</v>
      </c>
      <c r="C45" s="114" t="s">
        <v>274</v>
      </c>
      <c r="D45" s="114"/>
      <c r="E45" s="114" t="s">
        <v>632</v>
      </c>
    </row>
  </sheetData>
  <phoneticPr fontId="6" type="noConversion"/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5"/>
  <sheetViews>
    <sheetView workbookViewId="0">
      <selection activeCell="B4" sqref="B4:J5"/>
    </sheetView>
  </sheetViews>
  <sheetFormatPr baseColWidth="10" defaultRowHeight="12.75" x14ac:dyDescent="0.2"/>
  <sheetData>
    <row r="2" spans="2:10" x14ac:dyDescent="0.2">
      <c r="B2" s="2" t="s">
        <v>269</v>
      </c>
    </row>
    <row r="3" spans="2:10" x14ac:dyDescent="0.2">
      <c r="B3" s="2" t="s">
        <v>270</v>
      </c>
    </row>
    <row r="4" spans="2:10" x14ac:dyDescent="0.2">
      <c r="B4" s="74">
        <v>3</v>
      </c>
      <c r="C4" s="75">
        <v>67</v>
      </c>
      <c r="D4" s="75">
        <v>43</v>
      </c>
      <c r="E4" s="73"/>
      <c r="F4" s="73"/>
      <c r="G4" s="74">
        <v>63</v>
      </c>
      <c r="H4" s="75">
        <v>11</v>
      </c>
      <c r="I4" s="75" t="s">
        <v>78</v>
      </c>
      <c r="J4" s="73" t="s">
        <v>271</v>
      </c>
    </row>
    <row r="5" spans="2:10" x14ac:dyDescent="0.2">
      <c r="B5" s="74">
        <v>3</v>
      </c>
      <c r="C5" s="75">
        <v>82</v>
      </c>
      <c r="D5" s="75">
        <v>52</v>
      </c>
      <c r="E5" s="73"/>
      <c r="F5" s="73"/>
      <c r="G5" s="74">
        <v>63</v>
      </c>
      <c r="H5" s="75">
        <v>12</v>
      </c>
      <c r="I5" s="75" t="s">
        <v>79</v>
      </c>
      <c r="J5" s="73" t="s">
        <v>272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1"/>
  <sheetViews>
    <sheetView topLeftCell="A52" workbookViewId="0">
      <selection activeCell="A81" sqref="A81"/>
    </sheetView>
  </sheetViews>
  <sheetFormatPr baseColWidth="10" defaultRowHeight="12.75" x14ac:dyDescent="0.2"/>
  <cols>
    <col min="1" max="1" width="35.140625" customWidth="1"/>
    <col min="2" max="2" width="1.42578125" customWidth="1"/>
    <col min="3" max="3" width="0.5703125" customWidth="1"/>
    <col min="4" max="4" width="29.7109375" customWidth="1"/>
    <col min="5" max="5" width="2.85546875" customWidth="1"/>
    <col min="6" max="6" width="2.28515625" customWidth="1"/>
    <col min="7" max="7" width="33.85546875" customWidth="1"/>
  </cols>
  <sheetData>
    <row r="1" spans="1:7" x14ac:dyDescent="0.2">
      <c r="A1" s="37" t="s">
        <v>67</v>
      </c>
      <c r="D1" s="37" t="s">
        <v>125</v>
      </c>
      <c r="G1" s="37" t="s">
        <v>50</v>
      </c>
    </row>
    <row r="2" spans="1:7" x14ac:dyDescent="0.2">
      <c r="A2" s="82" t="s">
        <v>269</v>
      </c>
      <c r="D2" s="80" t="s">
        <v>269</v>
      </c>
      <c r="G2" s="80" t="s">
        <v>269</v>
      </c>
    </row>
    <row r="3" spans="1:7" x14ac:dyDescent="0.2">
      <c r="A3" s="82" t="s">
        <v>270</v>
      </c>
      <c r="D3" s="80" t="s">
        <v>270</v>
      </c>
      <c r="G3" s="80" t="s">
        <v>270</v>
      </c>
    </row>
    <row r="4" spans="1:7" x14ac:dyDescent="0.2">
      <c r="A4" s="2" t="s">
        <v>25</v>
      </c>
      <c r="D4" s="2" t="s">
        <v>25</v>
      </c>
      <c r="G4" s="2" t="s">
        <v>25</v>
      </c>
    </row>
    <row r="5" spans="1:7" x14ac:dyDescent="0.2">
      <c r="A5" s="2" t="s">
        <v>26</v>
      </c>
      <c r="D5" s="2" t="s">
        <v>26</v>
      </c>
      <c r="G5" s="2" t="s">
        <v>26</v>
      </c>
    </row>
    <row r="6" spans="1:7" x14ac:dyDescent="0.2">
      <c r="A6" s="2" t="s">
        <v>27</v>
      </c>
      <c r="D6" s="2" t="s">
        <v>27</v>
      </c>
      <c r="G6" s="2" t="s">
        <v>27</v>
      </c>
    </row>
    <row r="7" spans="1:7" x14ac:dyDescent="0.2">
      <c r="A7" s="2" t="s">
        <v>28</v>
      </c>
      <c r="D7" s="2" t="s">
        <v>28</v>
      </c>
      <c r="G7" s="2" t="s">
        <v>28</v>
      </c>
    </row>
    <row r="8" spans="1:7" x14ac:dyDescent="0.2">
      <c r="A8" s="2" t="s">
        <v>29</v>
      </c>
      <c r="D8" s="2" t="s">
        <v>29</v>
      </c>
      <c r="G8" s="2" t="s">
        <v>29</v>
      </c>
    </row>
    <row r="9" spans="1:7" x14ac:dyDescent="0.2">
      <c r="A9" s="2" t="s">
        <v>30</v>
      </c>
      <c r="D9" s="2" t="s">
        <v>30</v>
      </c>
      <c r="G9" s="2" t="s">
        <v>30</v>
      </c>
    </row>
    <row r="10" spans="1:7" x14ac:dyDescent="0.2">
      <c r="A10" s="83" t="s">
        <v>40</v>
      </c>
      <c r="D10" s="2" t="s">
        <v>41</v>
      </c>
      <c r="G10" s="83" t="s">
        <v>40</v>
      </c>
    </row>
    <row r="11" spans="1:7" x14ac:dyDescent="0.2">
      <c r="A11" s="2" t="s">
        <v>41</v>
      </c>
      <c r="D11" s="80" t="s">
        <v>271</v>
      </c>
      <c r="G11" s="2" t="s">
        <v>41</v>
      </c>
    </row>
    <row r="12" spans="1:7" x14ac:dyDescent="0.2">
      <c r="A12" s="2" t="s">
        <v>42</v>
      </c>
      <c r="D12" s="80" t="s">
        <v>272</v>
      </c>
      <c r="G12" s="80" t="s">
        <v>271</v>
      </c>
    </row>
    <row r="13" spans="1:7" x14ac:dyDescent="0.2">
      <c r="A13" s="2" t="s">
        <v>43</v>
      </c>
      <c r="G13" s="80" t="s">
        <v>272</v>
      </c>
    </row>
    <row r="14" spans="1:7" x14ac:dyDescent="0.2">
      <c r="A14" s="80" t="s">
        <v>271</v>
      </c>
      <c r="D14" s="37" t="s">
        <v>126</v>
      </c>
      <c r="G14" s="2"/>
    </row>
    <row r="15" spans="1:7" x14ac:dyDescent="0.2">
      <c r="A15" s="80" t="s">
        <v>272</v>
      </c>
      <c r="D15" s="80" t="s">
        <v>269</v>
      </c>
      <c r="G15" s="37" t="s">
        <v>55</v>
      </c>
    </row>
    <row r="16" spans="1:7" x14ac:dyDescent="0.2">
      <c r="A16" s="2"/>
      <c r="D16" s="80" t="s">
        <v>270</v>
      </c>
      <c r="G16" s="80" t="s">
        <v>269</v>
      </c>
    </row>
    <row r="17" spans="1:7" x14ac:dyDescent="0.2">
      <c r="A17" s="37" t="s">
        <v>69</v>
      </c>
      <c r="D17" s="2" t="s">
        <v>25</v>
      </c>
      <c r="G17" s="80" t="s">
        <v>270</v>
      </c>
    </row>
    <row r="18" spans="1:7" x14ac:dyDescent="0.2">
      <c r="A18" s="82" t="s">
        <v>269</v>
      </c>
      <c r="D18" s="2" t="s">
        <v>26</v>
      </c>
      <c r="G18" s="2" t="s">
        <v>25</v>
      </c>
    </row>
    <row r="19" spans="1:7" x14ac:dyDescent="0.2">
      <c r="A19" s="82" t="s">
        <v>270</v>
      </c>
      <c r="D19" s="2" t="s">
        <v>27</v>
      </c>
      <c r="G19" s="2" t="s">
        <v>26</v>
      </c>
    </row>
    <row r="20" spans="1:7" x14ac:dyDescent="0.2">
      <c r="A20" s="2" t="s">
        <v>25</v>
      </c>
      <c r="D20" s="2" t="s">
        <v>28</v>
      </c>
      <c r="G20" s="2" t="s">
        <v>27</v>
      </c>
    </row>
    <row r="21" spans="1:7" x14ac:dyDescent="0.2">
      <c r="A21" s="2" t="s">
        <v>26</v>
      </c>
      <c r="D21" s="2" t="s">
        <v>29</v>
      </c>
      <c r="G21" s="2" t="s">
        <v>28</v>
      </c>
    </row>
    <row r="22" spans="1:7" x14ac:dyDescent="0.2">
      <c r="A22" s="2" t="s">
        <v>27</v>
      </c>
      <c r="D22" s="2" t="s">
        <v>30</v>
      </c>
      <c r="G22" s="2" t="s">
        <v>29</v>
      </c>
    </row>
    <row r="23" spans="1:7" x14ac:dyDescent="0.2">
      <c r="A23" s="2" t="s">
        <v>28</v>
      </c>
      <c r="D23" s="2" t="s">
        <v>41</v>
      </c>
      <c r="G23" s="2" t="s">
        <v>30</v>
      </c>
    </row>
    <row r="24" spans="1:7" x14ac:dyDescent="0.2">
      <c r="A24" s="2" t="s">
        <v>29</v>
      </c>
      <c r="D24" s="80" t="s">
        <v>271</v>
      </c>
      <c r="G24" s="83" t="s">
        <v>40</v>
      </c>
    </row>
    <row r="25" spans="1:7" x14ac:dyDescent="0.2">
      <c r="A25" s="2" t="s">
        <v>30</v>
      </c>
      <c r="D25" s="80" t="s">
        <v>272</v>
      </c>
      <c r="G25" s="2" t="s">
        <v>41</v>
      </c>
    </row>
    <row r="26" spans="1:7" x14ac:dyDescent="0.2">
      <c r="A26" s="2" t="s">
        <v>41</v>
      </c>
      <c r="G26" s="80" t="s">
        <v>271</v>
      </c>
    </row>
    <row r="27" spans="1:7" x14ac:dyDescent="0.2">
      <c r="A27" s="80" t="s">
        <v>42</v>
      </c>
      <c r="D27" s="72" t="s">
        <v>294</v>
      </c>
      <c r="G27" s="80" t="s">
        <v>272</v>
      </c>
    </row>
    <row r="28" spans="1:7" x14ac:dyDescent="0.2">
      <c r="A28" s="80" t="s">
        <v>43</v>
      </c>
      <c r="D28" s="80" t="s">
        <v>269</v>
      </c>
      <c r="G28" s="2"/>
    </row>
    <row r="29" spans="1:7" x14ac:dyDescent="0.2">
      <c r="A29" s="80" t="s">
        <v>271</v>
      </c>
      <c r="D29" s="80" t="s">
        <v>270</v>
      </c>
      <c r="G29" s="37" t="s">
        <v>56</v>
      </c>
    </row>
    <row r="30" spans="1:7" x14ac:dyDescent="0.2">
      <c r="A30" s="80" t="s">
        <v>272</v>
      </c>
      <c r="D30" s="2" t="s">
        <v>25</v>
      </c>
      <c r="G30" s="80" t="s">
        <v>269</v>
      </c>
    </row>
    <row r="31" spans="1:7" x14ac:dyDescent="0.2">
      <c r="A31" s="2"/>
      <c r="D31" s="2" t="s">
        <v>26</v>
      </c>
      <c r="G31" s="80" t="s">
        <v>270</v>
      </c>
    </row>
    <row r="32" spans="1:7" x14ac:dyDescent="0.2">
      <c r="A32" s="37" t="s">
        <v>128</v>
      </c>
      <c r="D32" s="2" t="s">
        <v>27</v>
      </c>
      <c r="G32" s="2" t="s">
        <v>25</v>
      </c>
    </row>
    <row r="33" spans="1:7" x14ac:dyDescent="0.2">
      <c r="A33" s="80" t="s">
        <v>269</v>
      </c>
      <c r="D33" s="2" t="s">
        <v>28</v>
      </c>
      <c r="G33" s="2" t="s">
        <v>26</v>
      </c>
    </row>
    <row r="34" spans="1:7" x14ac:dyDescent="0.2">
      <c r="A34" s="80" t="s">
        <v>270</v>
      </c>
      <c r="D34" s="2" t="s">
        <v>29</v>
      </c>
      <c r="G34" s="2" t="s">
        <v>27</v>
      </c>
    </row>
    <row r="35" spans="1:7" x14ac:dyDescent="0.2">
      <c r="A35" s="2" t="s">
        <v>25</v>
      </c>
      <c r="D35" s="2" t="s">
        <v>30</v>
      </c>
      <c r="G35" s="2" t="s">
        <v>28</v>
      </c>
    </row>
    <row r="36" spans="1:7" x14ac:dyDescent="0.2">
      <c r="A36" s="2" t="s">
        <v>26</v>
      </c>
      <c r="D36" s="2" t="s">
        <v>41</v>
      </c>
      <c r="G36" s="2" t="s">
        <v>29</v>
      </c>
    </row>
    <row r="37" spans="1:7" x14ac:dyDescent="0.2">
      <c r="A37" s="2" t="s">
        <v>27</v>
      </c>
      <c r="D37" s="80" t="s">
        <v>271</v>
      </c>
      <c r="G37" s="2" t="s">
        <v>30</v>
      </c>
    </row>
    <row r="38" spans="1:7" x14ac:dyDescent="0.2">
      <c r="A38" s="2" t="s">
        <v>28</v>
      </c>
      <c r="D38" s="80" t="s">
        <v>272</v>
      </c>
      <c r="G38" s="2" t="s">
        <v>42</v>
      </c>
    </row>
    <row r="39" spans="1:7" x14ac:dyDescent="0.2">
      <c r="A39" s="2" t="s">
        <v>29</v>
      </c>
      <c r="G39" s="2" t="s">
        <v>43</v>
      </c>
    </row>
    <row r="40" spans="1:7" x14ac:dyDescent="0.2">
      <c r="A40" s="2" t="s">
        <v>30</v>
      </c>
      <c r="D40" s="37" t="s">
        <v>130</v>
      </c>
      <c r="G40" s="80" t="s">
        <v>271</v>
      </c>
    </row>
    <row r="41" spans="1:7" x14ac:dyDescent="0.2">
      <c r="A41" s="80" t="s">
        <v>271</v>
      </c>
      <c r="D41" s="82" t="s">
        <v>269</v>
      </c>
      <c r="G41" s="80" t="s">
        <v>272</v>
      </c>
    </row>
    <row r="42" spans="1:7" x14ac:dyDescent="0.2">
      <c r="A42" s="80" t="s">
        <v>272</v>
      </c>
      <c r="D42" s="82" t="s">
        <v>270</v>
      </c>
    </row>
    <row r="43" spans="1:7" x14ac:dyDescent="0.2">
      <c r="D43" s="2" t="s">
        <v>25</v>
      </c>
      <c r="G43" s="37" t="s">
        <v>65</v>
      </c>
    </row>
    <row r="44" spans="1:7" x14ac:dyDescent="0.2">
      <c r="A44" s="37" t="s">
        <v>63</v>
      </c>
      <c r="D44" s="2" t="s">
        <v>26</v>
      </c>
      <c r="G44" s="80" t="s">
        <v>269</v>
      </c>
    </row>
    <row r="45" spans="1:7" x14ac:dyDescent="0.2">
      <c r="A45" s="80" t="s">
        <v>269</v>
      </c>
      <c r="D45" s="2" t="s">
        <v>27</v>
      </c>
      <c r="G45" s="80" t="s">
        <v>270</v>
      </c>
    </row>
    <row r="46" spans="1:7" x14ac:dyDescent="0.2">
      <c r="A46" s="80" t="s">
        <v>270</v>
      </c>
      <c r="D46" s="2" t="s">
        <v>28</v>
      </c>
      <c r="G46" s="2" t="s">
        <v>25</v>
      </c>
    </row>
    <row r="47" spans="1:7" x14ac:dyDescent="0.2">
      <c r="A47" s="2" t="s">
        <v>25</v>
      </c>
      <c r="D47" s="2" t="s">
        <v>29</v>
      </c>
      <c r="G47" s="2" t="s">
        <v>26</v>
      </c>
    </row>
    <row r="48" spans="1:7" x14ac:dyDescent="0.2">
      <c r="A48" s="2" t="s">
        <v>26</v>
      </c>
      <c r="D48" s="2" t="s">
        <v>30</v>
      </c>
      <c r="G48" s="2" t="s">
        <v>27</v>
      </c>
    </row>
    <row r="49" spans="1:7" x14ac:dyDescent="0.2">
      <c r="A49" s="2" t="s">
        <v>27</v>
      </c>
      <c r="D49" s="2" t="s">
        <v>41</v>
      </c>
      <c r="G49" s="2" t="s">
        <v>28</v>
      </c>
    </row>
    <row r="50" spans="1:7" x14ac:dyDescent="0.2">
      <c r="A50" s="2" t="s">
        <v>28</v>
      </c>
      <c r="D50" s="80" t="s">
        <v>271</v>
      </c>
      <c r="G50" s="2" t="s">
        <v>29</v>
      </c>
    </row>
    <row r="51" spans="1:7" x14ac:dyDescent="0.2">
      <c r="A51" s="2" t="s">
        <v>29</v>
      </c>
      <c r="D51" s="80" t="s">
        <v>272</v>
      </c>
      <c r="G51" s="2" t="s">
        <v>30</v>
      </c>
    </row>
    <row r="52" spans="1:7" x14ac:dyDescent="0.2">
      <c r="A52" s="2" t="s">
        <v>30</v>
      </c>
      <c r="G52" s="80" t="s">
        <v>271</v>
      </c>
    </row>
    <row r="53" spans="1:7" x14ac:dyDescent="0.2">
      <c r="A53" s="83" t="s">
        <v>40</v>
      </c>
      <c r="D53" s="37" t="s">
        <v>73</v>
      </c>
      <c r="G53" s="80" t="s">
        <v>272</v>
      </c>
    </row>
    <row r="54" spans="1:7" x14ac:dyDescent="0.2">
      <c r="A54" s="2" t="s">
        <v>41</v>
      </c>
      <c r="D54" s="80" t="s">
        <v>269</v>
      </c>
    </row>
    <row r="55" spans="1:7" x14ac:dyDescent="0.2">
      <c r="A55" s="2" t="s">
        <v>42</v>
      </c>
      <c r="D55" s="80" t="s">
        <v>270</v>
      </c>
    </row>
    <row r="56" spans="1:7" x14ac:dyDescent="0.2">
      <c r="A56" s="2" t="s">
        <v>43</v>
      </c>
      <c r="D56" s="2" t="s">
        <v>25</v>
      </c>
    </row>
    <row r="57" spans="1:7" x14ac:dyDescent="0.2">
      <c r="A57" s="80" t="s">
        <v>271</v>
      </c>
      <c r="D57" s="2" t="s">
        <v>26</v>
      </c>
    </row>
    <row r="58" spans="1:7" x14ac:dyDescent="0.2">
      <c r="A58" s="80" t="s">
        <v>272</v>
      </c>
      <c r="D58" s="2" t="s">
        <v>27</v>
      </c>
    </row>
    <row r="59" spans="1:7" x14ac:dyDescent="0.2">
      <c r="D59" s="2" t="s">
        <v>28</v>
      </c>
    </row>
    <row r="60" spans="1:7" x14ac:dyDescent="0.2">
      <c r="A60" s="37" t="s">
        <v>131</v>
      </c>
      <c r="D60" s="2" t="s">
        <v>29</v>
      </c>
    </row>
    <row r="61" spans="1:7" x14ac:dyDescent="0.2">
      <c r="A61" s="82" t="s">
        <v>269</v>
      </c>
      <c r="D61" s="2" t="s">
        <v>30</v>
      </c>
    </row>
    <row r="62" spans="1:7" x14ac:dyDescent="0.2">
      <c r="A62" s="82" t="s">
        <v>270</v>
      </c>
      <c r="D62" s="80" t="s">
        <v>271</v>
      </c>
    </row>
    <row r="63" spans="1:7" x14ac:dyDescent="0.2">
      <c r="A63" s="2" t="s">
        <v>25</v>
      </c>
      <c r="D63" s="80" t="s">
        <v>272</v>
      </c>
    </row>
    <row r="64" spans="1:7" x14ac:dyDescent="0.2">
      <c r="A64" s="2" t="s">
        <v>26</v>
      </c>
    </row>
    <row r="65" spans="1:1" x14ac:dyDescent="0.2">
      <c r="A65" s="2" t="s">
        <v>27</v>
      </c>
    </row>
    <row r="66" spans="1:1" x14ac:dyDescent="0.2">
      <c r="A66" s="2" t="s">
        <v>28</v>
      </c>
    </row>
    <row r="67" spans="1:1" x14ac:dyDescent="0.2">
      <c r="A67" s="2" t="s">
        <v>29</v>
      </c>
    </row>
    <row r="68" spans="1:1" x14ac:dyDescent="0.2">
      <c r="A68" s="2" t="s">
        <v>30</v>
      </c>
    </row>
    <row r="69" spans="1:1" x14ac:dyDescent="0.2">
      <c r="A69" s="2" t="s">
        <v>41</v>
      </c>
    </row>
    <row r="70" spans="1:1" x14ac:dyDescent="0.2">
      <c r="A70" s="80" t="s">
        <v>271</v>
      </c>
    </row>
    <row r="71" spans="1:1" x14ac:dyDescent="0.2">
      <c r="A71" s="80" t="s">
        <v>272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12"/>
  <sheetViews>
    <sheetView workbookViewId="0">
      <selection activeCell="C4" sqref="C4"/>
    </sheetView>
  </sheetViews>
  <sheetFormatPr baseColWidth="10" defaultRowHeight="12.75" x14ac:dyDescent="0.2"/>
  <sheetData>
    <row r="3" spans="1:4" x14ac:dyDescent="0.2">
      <c r="B3" t="s">
        <v>77</v>
      </c>
      <c r="C3" t="s">
        <v>76</v>
      </c>
    </row>
    <row r="5" spans="1:4" x14ac:dyDescent="0.2">
      <c r="A5" t="s">
        <v>306</v>
      </c>
      <c r="B5" s="19">
        <v>2</v>
      </c>
      <c r="C5" s="19"/>
      <c r="D5" s="26" t="s">
        <v>71</v>
      </c>
    </row>
    <row r="6" spans="1:4" x14ac:dyDescent="0.2">
      <c r="A6" t="s">
        <v>306</v>
      </c>
      <c r="B6" s="19">
        <v>3</v>
      </c>
      <c r="C6" s="19"/>
      <c r="D6" s="26" t="s">
        <v>73</v>
      </c>
    </row>
    <row r="7" spans="1:4" x14ac:dyDescent="0.2">
      <c r="A7" t="s">
        <v>306</v>
      </c>
      <c r="B7" s="19">
        <v>4</v>
      </c>
      <c r="C7" s="19"/>
      <c r="D7" s="26" t="s">
        <v>147</v>
      </c>
    </row>
    <row r="8" spans="1:4" x14ac:dyDescent="0.2">
      <c r="A8" t="s">
        <v>306</v>
      </c>
      <c r="B8" s="19">
        <v>15</v>
      </c>
      <c r="C8" s="19" t="s">
        <v>82</v>
      </c>
      <c r="D8" s="26" t="s">
        <v>117</v>
      </c>
    </row>
    <row r="9" spans="1:4" x14ac:dyDescent="0.2">
      <c r="A9" t="s">
        <v>306</v>
      </c>
      <c r="B9" s="19">
        <v>16</v>
      </c>
      <c r="C9" s="19">
        <v>10</v>
      </c>
      <c r="D9" s="26" t="s">
        <v>119</v>
      </c>
    </row>
    <row r="10" spans="1:4" x14ac:dyDescent="0.2">
      <c r="A10" t="s">
        <v>306</v>
      </c>
      <c r="B10" s="19">
        <v>17</v>
      </c>
      <c r="C10" s="19">
        <v>11</v>
      </c>
      <c r="D10" s="26" t="s">
        <v>120</v>
      </c>
    </row>
    <row r="11" spans="1:4" x14ac:dyDescent="0.2">
      <c r="A11" t="s">
        <v>306</v>
      </c>
      <c r="B11" s="19">
        <v>18</v>
      </c>
      <c r="C11" s="19">
        <v>12</v>
      </c>
      <c r="D11" s="26" t="s">
        <v>123</v>
      </c>
    </row>
    <row r="12" spans="1:4" x14ac:dyDescent="0.2">
      <c r="A12" t="s">
        <v>306</v>
      </c>
      <c r="B12" s="19">
        <v>19</v>
      </c>
      <c r="C12" s="19">
        <v>13</v>
      </c>
      <c r="D12" s="26" t="s">
        <v>124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22"/>
  <sheetViews>
    <sheetView workbookViewId="0">
      <selection activeCell="K36" sqref="K36"/>
    </sheetView>
  </sheetViews>
  <sheetFormatPr baseColWidth="10" defaultRowHeight="12.75" x14ac:dyDescent="0.2"/>
  <sheetData>
    <row r="2" spans="1:4" x14ac:dyDescent="0.2">
      <c r="B2" t="s">
        <v>77</v>
      </c>
      <c r="C2" t="s">
        <v>76</v>
      </c>
    </row>
    <row r="3" spans="1:4" x14ac:dyDescent="0.2">
      <c r="B3" s="87">
        <v>28</v>
      </c>
      <c r="C3" s="87">
        <v>22</v>
      </c>
      <c r="D3" t="s">
        <v>305</v>
      </c>
    </row>
    <row r="4" spans="1:4" x14ac:dyDescent="0.2">
      <c r="B4" s="57">
        <v>26</v>
      </c>
      <c r="C4" s="57">
        <v>20</v>
      </c>
      <c r="D4" s="86" t="s">
        <v>207</v>
      </c>
    </row>
    <row r="5" spans="1:4" x14ac:dyDescent="0.2">
      <c r="B5" s="57">
        <v>27</v>
      </c>
      <c r="C5" s="57">
        <v>21</v>
      </c>
      <c r="D5" s="86" t="s">
        <v>208</v>
      </c>
    </row>
    <row r="6" spans="1:4" x14ac:dyDescent="0.2">
      <c r="B6" s="57">
        <v>25</v>
      </c>
      <c r="C6" s="57">
        <v>19</v>
      </c>
      <c r="D6" s="86" t="s">
        <v>175</v>
      </c>
    </row>
    <row r="7" spans="1:4" x14ac:dyDescent="0.2">
      <c r="B7" s="57">
        <v>24</v>
      </c>
      <c r="C7" s="57">
        <v>18</v>
      </c>
      <c r="D7" s="86" t="s">
        <v>174</v>
      </c>
    </row>
    <row r="8" spans="1:4" x14ac:dyDescent="0.2">
      <c r="B8" s="57">
        <v>23</v>
      </c>
      <c r="C8" s="57">
        <v>17</v>
      </c>
      <c r="D8" s="86" t="s">
        <v>172</v>
      </c>
    </row>
    <row r="9" spans="1:4" x14ac:dyDescent="0.2">
      <c r="B9" s="57">
        <v>22</v>
      </c>
      <c r="C9" s="57">
        <v>16</v>
      </c>
      <c r="D9" s="86" t="s">
        <v>170</v>
      </c>
    </row>
    <row r="10" spans="1:4" x14ac:dyDescent="0.2">
      <c r="A10" t="s">
        <v>306</v>
      </c>
      <c r="B10" s="19">
        <v>19</v>
      </c>
      <c r="C10" s="19">
        <v>13</v>
      </c>
      <c r="D10" s="26" t="s">
        <v>61</v>
      </c>
    </row>
    <row r="11" spans="1:4" x14ac:dyDescent="0.2">
      <c r="A11" t="s">
        <v>306</v>
      </c>
      <c r="B11" s="19">
        <v>18</v>
      </c>
      <c r="C11" s="19">
        <v>12</v>
      </c>
      <c r="D11" s="26" t="s">
        <v>155</v>
      </c>
    </row>
    <row r="12" spans="1:4" x14ac:dyDescent="0.2">
      <c r="A12" t="s">
        <v>306</v>
      </c>
      <c r="B12" s="19">
        <v>12</v>
      </c>
      <c r="C12" s="19" t="s">
        <v>79</v>
      </c>
      <c r="D12" s="26" t="s">
        <v>132</v>
      </c>
    </row>
    <row r="13" spans="1:4" x14ac:dyDescent="0.2">
      <c r="A13" t="s">
        <v>306</v>
      </c>
      <c r="B13" s="19">
        <v>11</v>
      </c>
      <c r="C13" s="19" t="s">
        <v>78</v>
      </c>
      <c r="D13" s="26" t="s">
        <v>131</v>
      </c>
    </row>
    <row r="14" spans="1:4" x14ac:dyDescent="0.2">
      <c r="A14" t="s">
        <v>306</v>
      </c>
      <c r="B14" s="19">
        <v>9</v>
      </c>
      <c r="C14" s="19">
        <v>9</v>
      </c>
      <c r="D14" s="26" t="s">
        <v>130</v>
      </c>
    </row>
    <row r="15" spans="1:4" x14ac:dyDescent="0.2">
      <c r="A15" t="s">
        <v>306</v>
      </c>
      <c r="B15" s="19">
        <v>8</v>
      </c>
      <c r="C15" s="19">
        <v>8</v>
      </c>
      <c r="D15" s="26" t="s">
        <v>129</v>
      </c>
    </row>
    <row r="16" spans="1:4" x14ac:dyDescent="0.2">
      <c r="A16" t="s">
        <v>306</v>
      </c>
      <c r="B16" s="19">
        <v>7</v>
      </c>
      <c r="C16" s="19">
        <v>7</v>
      </c>
      <c r="D16" s="26" t="s">
        <v>128</v>
      </c>
    </row>
    <row r="17" spans="1:4" x14ac:dyDescent="0.2">
      <c r="A17" t="s">
        <v>306</v>
      </c>
      <c r="B17" s="19">
        <v>4</v>
      </c>
      <c r="C17" s="19">
        <v>4</v>
      </c>
      <c r="D17" s="26" t="s">
        <v>69</v>
      </c>
    </row>
    <row r="18" spans="1:4" x14ac:dyDescent="0.2">
      <c r="A18" t="s">
        <v>306</v>
      </c>
      <c r="B18" s="19">
        <v>3</v>
      </c>
      <c r="C18" s="19">
        <v>3</v>
      </c>
      <c r="D18" s="26" t="s">
        <v>67</v>
      </c>
    </row>
    <row r="21" spans="1:4" x14ac:dyDescent="0.2">
      <c r="C21" s="19"/>
    </row>
    <row r="22" spans="1:4" x14ac:dyDescent="0.2">
      <c r="C22" s="19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N12"/>
  <sheetViews>
    <sheetView workbookViewId="0">
      <selection activeCell="L7" sqref="L7"/>
    </sheetView>
  </sheetViews>
  <sheetFormatPr baseColWidth="10" defaultRowHeight="12.75" x14ac:dyDescent="0.2"/>
  <sheetData>
    <row r="3" spans="1:14" x14ac:dyDescent="0.2">
      <c r="B3" t="s">
        <v>77</v>
      </c>
      <c r="C3" t="s">
        <v>76</v>
      </c>
      <c r="G3" t="s">
        <v>349</v>
      </c>
      <c r="I3" t="s">
        <v>350</v>
      </c>
    </row>
    <row r="4" spans="1:14" x14ac:dyDescent="0.2">
      <c r="L4" t="s">
        <v>358</v>
      </c>
      <c r="M4" t="s">
        <v>359</v>
      </c>
      <c r="N4" t="s">
        <v>360</v>
      </c>
    </row>
    <row r="5" spans="1:14" x14ac:dyDescent="0.2">
      <c r="A5" t="s">
        <v>306</v>
      </c>
      <c r="B5" s="19">
        <v>1</v>
      </c>
      <c r="C5" s="19"/>
      <c r="D5" s="26" t="s">
        <v>59</v>
      </c>
      <c r="G5" t="s">
        <v>354</v>
      </c>
      <c r="I5" t="s">
        <v>352</v>
      </c>
      <c r="L5">
        <v>50</v>
      </c>
      <c r="M5">
        <v>50</v>
      </c>
      <c r="N5">
        <v>100</v>
      </c>
    </row>
    <row r="6" spans="1:14" x14ac:dyDescent="0.2">
      <c r="A6" t="s">
        <v>306</v>
      </c>
      <c r="B6" s="19">
        <v>3</v>
      </c>
      <c r="C6" s="19"/>
      <c r="D6" s="26" t="s">
        <v>346</v>
      </c>
      <c r="G6" t="s">
        <v>351</v>
      </c>
      <c r="I6" t="s">
        <v>353</v>
      </c>
      <c r="J6" t="s">
        <v>357</v>
      </c>
    </row>
    <row r="7" spans="1:14" x14ac:dyDescent="0.2">
      <c r="A7" t="s">
        <v>306</v>
      </c>
      <c r="B7" s="19">
        <v>4</v>
      </c>
      <c r="C7" s="19"/>
      <c r="D7" s="26" t="s">
        <v>347</v>
      </c>
      <c r="G7" t="s">
        <v>354</v>
      </c>
      <c r="I7" t="s">
        <v>352</v>
      </c>
    </row>
    <row r="8" spans="1:14" x14ac:dyDescent="0.2">
      <c r="A8" t="s">
        <v>306</v>
      </c>
      <c r="B8" s="19">
        <v>20</v>
      </c>
      <c r="C8" s="19"/>
      <c r="D8" s="26" t="s">
        <v>106</v>
      </c>
      <c r="G8" t="s">
        <v>351</v>
      </c>
      <c r="I8" t="s">
        <v>353</v>
      </c>
      <c r="J8" t="s">
        <v>357</v>
      </c>
    </row>
    <row r="9" spans="1:14" x14ac:dyDescent="0.2">
      <c r="A9" t="s">
        <v>306</v>
      </c>
      <c r="B9" s="19">
        <v>21</v>
      </c>
      <c r="C9" s="19"/>
      <c r="D9" s="26" t="s">
        <v>107</v>
      </c>
      <c r="G9" t="s">
        <v>355</v>
      </c>
      <c r="I9" t="s">
        <v>356</v>
      </c>
      <c r="N9">
        <v>100</v>
      </c>
    </row>
    <row r="10" spans="1:14" x14ac:dyDescent="0.2">
      <c r="A10" t="s">
        <v>306</v>
      </c>
      <c r="B10" s="19">
        <v>151</v>
      </c>
      <c r="C10" s="19"/>
      <c r="D10" s="26" t="s">
        <v>348</v>
      </c>
      <c r="I10" t="s">
        <v>356</v>
      </c>
      <c r="L10">
        <v>50</v>
      </c>
      <c r="M10">
        <v>50</v>
      </c>
      <c r="N10">
        <v>80</v>
      </c>
    </row>
    <row r="11" spans="1:14" x14ac:dyDescent="0.2">
      <c r="A11" t="s">
        <v>306</v>
      </c>
      <c r="B11" s="19"/>
      <c r="C11" s="19"/>
      <c r="D11" s="26"/>
    </row>
    <row r="12" spans="1:14" x14ac:dyDescent="0.2">
      <c r="A12" t="s">
        <v>306</v>
      </c>
      <c r="B12" s="19"/>
      <c r="C12" s="19"/>
      <c r="D12" s="2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2</vt:i4>
      </vt:variant>
    </vt:vector>
  </HeadingPairs>
  <TitlesOfParts>
    <vt:vector size="10" baseType="lpstr">
      <vt:lpstr>KonfTab</vt:lpstr>
      <vt:lpstr>Kohlberg Tunnel</vt:lpstr>
      <vt:lpstr>Änderung + Legende</vt:lpstr>
      <vt:lpstr>Tabelle1</vt:lpstr>
      <vt:lpstr>Tabelle2</vt:lpstr>
      <vt:lpstr>München Nord</vt:lpstr>
      <vt:lpstr>Pentling</vt:lpstr>
      <vt:lpstr>Rosenheim</vt:lpstr>
      <vt:lpstr>KonfTab!Druckbereich</vt:lpstr>
      <vt:lpstr>KonfTab!Drucktitel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2002-01-18T13:48:42Z</dcterms:created>
  <dc:creator>Alexander Dieterich</dc:creator>
  <cp:lastModifiedBy>Andrea Haug</cp:lastModifiedBy>
  <cp:lastPrinted>2018-12-30T06:40:10Z</cp:lastPrinted>
  <dcterms:modified xsi:type="dcterms:W3CDTF">2024-01-24T08:40:40Z</dcterms:modified>
  <dc:subject>SWIS Stationen Suedbayern</dc:subject>
  <dc:title>Konfigurationstabelle</dc:title>
</cp:coreProperties>
</file>